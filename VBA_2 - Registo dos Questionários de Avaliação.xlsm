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eLivro"/>
  <mc:AlternateContent xmlns:mc="http://schemas.openxmlformats.org/markup-compatibility/2006">
    <mc:Choice Requires="x15">
      <x15ac:absPath xmlns:x15ac="http://schemas.microsoft.com/office/spreadsheetml/2010/11/ac" url="C:\Users\joaogrilo\Desktop\"/>
    </mc:Choice>
  </mc:AlternateContent>
  <xr:revisionPtr revIDLastSave="0" documentId="13_ncr:1_{CDEBD2F2-0DDF-4887-BED7-AFD3A6A60160}" xr6:coauthVersionLast="47" xr6:coauthVersionMax="47" xr10:uidLastSave="{00000000-0000-0000-0000-000000000000}"/>
  <workbookProtection workbookAlgorithmName="SHA-512" workbookHashValue="QOpbDKsYPhzrxw22GPRAE2Wf1fJOdrHs0zas9N7IbKPCItcEi4kIZ7OOeCj0CPI5bDovGOu2a+qoaBjBsLuS7g==" workbookSaltValue="+34Y9gJbrG9kiOXtPjMDdw==" workbookSpinCount="100000" lockStructure="1"/>
  <bookViews>
    <workbookView xWindow="-120" yWindow="-120" windowWidth="29040" windowHeight="15840" xr2:uid="{00000000-000D-0000-FFFF-FFFF00000000}"/>
  </bookViews>
  <sheets>
    <sheet name="Questionários_FP" sheetId="1" r:id="rId1"/>
    <sheet name="TAB_F_Presencial" sheetId="3" r:id="rId2"/>
    <sheet name="Formadores" sheetId="2" r:id="rId3"/>
  </sheets>
  <definedNames>
    <definedName name="_xlnm._FilterDatabase" localSheetId="2" hidden="1">Formadores!$B$1:$B$3219</definedName>
    <definedName name="_xlnm.Print_Area" localSheetId="0">Questionários_FP!$AJ$203:$AS$355</definedName>
    <definedName name="_xlnm.Print_Area" localSheetId="1">TAB_F_Presencial!$BA$3:$BG$6</definedName>
    <definedName name="Conhecimento_da_Ação">OFFSET(Questionários_FP!$BH$2,0,0,COUNTA(Questionários_FP!$BH:$BH) - 1,1)</definedName>
    <definedName name="Nome_Formadores">OFFSET(Formadores!$B$3,0,0,COUNTA(Formadores!$B:$B) - 1,1)</definedName>
    <definedName name="_xlnm.Print_Titles" localSheetId="1">TAB_F_Presencial!$5:$5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1048568" i="1" l="1"/>
  <c r="AX1048567" i="1"/>
  <c r="AX1048566" i="1"/>
  <c r="AX1048565" i="1"/>
  <c r="AX1048564" i="1"/>
  <c r="AX1048563" i="1"/>
  <c r="AX1048562" i="1"/>
  <c r="AX1048561" i="1"/>
  <c r="AX1048560" i="1"/>
  <c r="AX1048559" i="1"/>
  <c r="AX1048558" i="1"/>
  <c r="AX1048557" i="1"/>
  <c r="BC1048536" i="1"/>
  <c r="BC1048535" i="1"/>
  <c r="BC1048534" i="1"/>
  <c r="BC1048533" i="1"/>
  <c r="BC1048532" i="1"/>
  <c r="BC1048531" i="1"/>
  <c r="BC1048530" i="1"/>
  <c r="BC1048529" i="1"/>
  <c r="BC1048528" i="1"/>
  <c r="BC1048527" i="1"/>
  <c r="BC1048526" i="1"/>
  <c r="BC1048525" i="1"/>
  <c r="BC1048524" i="1"/>
  <c r="BC1048523" i="1"/>
  <c r="BC1048522" i="1"/>
  <c r="BC1048521" i="1"/>
  <c r="BC1048520" i="1"/>
  <c r="BC1048519" i="1"/>
  <c r="BC1048518" i="1"/>
  <c r="BC1048517" i="1"/>
  <c r="BC1048516" i="1"/>
  <c r="BC1048515" i="1"/>
  <c r="BC1048514" i="1"/>
  <c r="BC1048513" i="1"/>
  <c r="BC1048512" i="1"/>
  <c r="BC1048511" i="1"/>
  <c r="BC1048510" i="1"/>
  <c r="BC1048509" i="1"/>
  <c r="BC1048508" i="1"/>
  <c r="BC1048507" i="1"/>
  <c r="AM270" i="1"/>
  <c r="AM262" i="1"/>
  <c r="AM263" i="1"/>
  <c r="AM264" i="1"/>
  <c r="AM265" i="1"/>
  <c r="AM266" i="1"/>
  <c r="AM261" i="1"/>
  <c r="AM255" i="1"/>
  <c r="AM256" i="1"/>
  <c r="AM257" i="1"/>
  <c r="AM258" i="1"/>
  <c r="AM259" i="1"/>
  <c r="AM254" i="1"/>
  <c r="AM248" i="1"/>
  <c r="AM249" i="1"/>
  <c r="AM250" i="1"/>
  <c r="AM251" i="1"/>
  <c r="AM252" i="1"/>
  <c r="AM247" i="1"/>
  <c r="AM240" i="1"/>
  <c r="AM245" i="1"/>
  <c r="AM241" i="1"/>
  <c r="AM242" i="1"/>
  <c r="AM243" i="1"/>
  <c r="AM244" i="1"/>
  <c r="AM233" i="1"/>
  <c r="AM238" i="1"/>
  <c r="AM234" i="1"/>
  <c r="AM235" i="1"/>
  <c r="AM236" i="1"/>
  <c r="AM237" i="1"/>
  <c r="AK233" i="1"/>
  <c r="AM229" i="1"/>
  <c r="AM228" i="1"/>
  <c r="AM227" i="1"/>
  <c r="AM226" i="1"/>
  <c r="AM225" i="1"/>
  <c r="AM224" i="1"/>
  <c r="AM223" i="1"/>
  <c r="AM220" i="1"/>
  <c r="AM219" i="1"/>
  <c r="AM218" i="1"/>
  <c r="AM216" i="1"/>
  <c r="AL505" i="1"/>
  <c r="AL507" i="1"/>
  <c r="AS1048448" i="1"/>
  <c r="AS1048447" i="1"/>
  <c r="AS1048446" i="1"/>
  <c r="AS1048445" i="1"/>
  <c r="AS1048444" i="1"/>
  <c r="AJ503" i="1"/>
  <c r="AL503" i="1"/>
  <c r="BF1048465" i="1"/>
  <c r="BC1048468" i="1"/>
  <c r="BC1048469" i="1"/>
  <c r="BC1048470" i="1"/>
  <c r="BC1048471" i="1"/>
  <c r="BC1048472" i="1"/>
  <c r="BC1048473" i="1"/>
  <c r="BC1048474" i="1"/>
  <c r="BC1048475" i="1"/>
  <c r="BC1048476" i="1"/>
  <c r="AU1048468" i="1"/>
  <c r="AU1048469" i="1"/>
  <c r="AU1048470" i="1"/>
  <c r="AU1048471" i="1"/>
  <c r="AU1048472" i="1"/>
  <c r="AU1048473" i="1"/>
  <c r="AU1048474" i="1"/>
  <c r="AU1048475" i="1"/>
  <c r="AU1048476" i="1"/>
  <c r="AK213" i="1"/>
  <c r="AK212" i="1"/>
  <c r="AV1048517" i="1"/>
  <c r="AV1048512" i="1"/>
  <c r="AV1048507" i="1"/>
  <c r="AV1048532" i="1"/>
  <c r="AV1048527" i="1"/>
  <c r="AV1048522" i="1"/>
  <c r="AS207" i="1" l="1"/>
  <c r="AO233" i="1"/>
  <c r="AM230" i="1"/>
  <c r="AM267" i="1"/>
  <c r="BB1048507" i="1"/>
  <c r="AO216" i="1"/>
  <c r="AM221" i="1"/>
  <c r="BF1048475" i="1"/>
  <c r="BF1048476" i="1"/>
  <c r="BF1048474" i="1"/>
  <c r="BF1048472" i="1"/>
  <c r="BF1048473" i="1"/>
  <c r="BF1048471" i="1"/>
  <c r="BF1048470" i="1"/>
  <c r="BF1048469" i="1"/>
  <c r="BC1048477" i="1"/>
  <c r="BF1048477" i="1" s="1"/>
  <c r="AT1048465" i="1"/>
  <c r="BB1048468" i="1" s="1"/>
  <c r="BF1048468" i="1"/>
  <c r="AK209" i="1"/>
  <c r="BB1048476" i="1" l="1"/>
  <c r="BB1048472" i="1"/>
  <c r="BB1048473" i="1"/>
  <c r="BB1048474" i="1"/>
  <c r="BB1048475" i="1"/>
  <c r="BB1048469" i="1"/>
  <c r="AU1048477" i="1"/>
  <c r="BB1048477" i="1" s="1"/>
  <c r="BB1048470" i="1"/>
  <c r="BB1048471" i="1"/>
  <c r="AK262" i="1"/>
  <c r="AK263" i="1"/>
  <c r="AK264" i="1"/>
  <c r="AK265" i="1"/>
  <c r="AK266" i="1"/>
  <c r="AK261" i="1"/>
  <c r="AK254" i="1"/>
  <c r="AK255" i="1"/>
  <c r="AK256" i="1"/>
  <c r="AK257" i="1"/>
  <c r="AK258" i="1"/>
  <c r="AK259" i="1"/>
  <c r="AK247" i="1"/>
  <c r="AK248" i="1"/>
  <c r="AK249" i="1"/>
  <c r="AK250" i="1"/>
  <c r="AK251" i="1"/>
  <c r="AK252" i="1"/>
  <c r="AK241" i="1"/>
  <c r="AK242" i="1"/>
  <c r="AK243" i="1"/>
  <c r="AK244" i="1"/>
  <c r="AK245" i="1"/>
  <c r="AK240" i="1"/>
  <c r="AK234" i="1"/>
  <c r="AK235" i="1"/>
  <c r="AK236" i="1"/>
  <c r="AK237" i="1"/>
  <c r="AK238" i="1"/>
  <c r="AK207" i="1"/>
  <c r="AP266" i="1" l="1"/>
  <c r="AO261" i="1"/>
  <c r="AP227" i="1"/>
  <c r="AR219" i="1"/>
  <c r="AS226" i="1"/>
  <c r="AO238" i="1"/>
  <c r="AO242" i="1"/>
  <c r="AR251" i="1"/>
  <c r="AP264" i="1"/>
  <c r="AQ247" i="1"/>
  <c r="AP218" i="1"/>
  <c r="AQ225" i="1"/>
  <c r="AS227" i="1"/>
  <c r="AP238" i="1"/>
  <c r="AO226" i="1"/>
  <c r="AP223" i="1"/>
  <c r="AQ218" i="1"/>
  <c r="AQ228" i="1"/>
  <c r="AR225" i="1"/>
  <c r="AS220" i="1"/>
  <c r="AO270" i="1"/>
  <c r="AO234" i="1"/>
  <c r="AP235" i="1"/>
  <c r="AR235" i="1"/>
  <c r="AQ233" i="1"/>
  <c r="AP244" i="1"/>
  <c r="AR243" i="1"/>
  <c r="AR240" i="1"/>
  <c r="AP249" i="1"/>
  <c r="AS250" i="1"/>
  <c r="AS247" i="1"/>
  <c r="AQ258" i="1"/>
  <c r="AS256" i="1"/>
  <c r="AO265" i="1"/>
  <c r="AQ264" i="1"/>
  <c r="AS263" i="1"/>
  <c r="AQ234" i="1"/>
  <c r="AS262" i="1"/>
  <c r="AO227" i="1"/>
  <c r="AP224" i="1"/>
  <c r="AQ219" i="1"/>
  <c r="AQ229" i="1"/>
  <c r="AR226" i="1"/>
  <c r="AS223" i="1"/>
  <c r="AP270" i="1"/>
  <c r="AO235" i="1"/>
  <c r="AQ237" i="1"/>
  <c r="AS238" i="1"/>
  <c r="AR233" i="1"/>
  <c r="AP243" i="1"/>
  <c r="AR242" i="1"/>
  <c r="AR245" i="1"/>
  <c r="AQ251" i="1"/>
  <c r="AS249" i="1"/>
  <c r="AS252" i="1"/>
  <c r="AQ257" i="1"/>
  <c r="AO259" i="1"/>
  <c r="AO264" i="1"/>
  <c r="AQ263" i="1"/>
  <c r="AO266" i="1"/>
  <c r="AP240" i="1"/>
  <c r="AS255" i="1"/>
  <c r="AO218" i="1"/>
  <c r="AO228" i="1"/>
  <c r="AP225" i="1"/>
  <c r="AQ220" i="1"/>
  <c r="AR216" i="1"/>
  <c r="AR227" i="1"/>
  <c r="AS224" i="1"/>
  <c r="AQ270" i="1"/>
  <c r="AO236" i="1"/>
  <c r="AQ236" i="1"/>
  <c r="AS237" i="1"/>
  <c r="AS233" i="1"/>
  <c r="AP242" i="1"/>
  <c r="AR241" i="1"/>
  <c r="AS245" i="1"/>
  <c r="AQ250" i="1"/>
  <c r="AO247" i="1"/>
  <c r="AO258" i="1"/>
  <c r="AQ256" i="1"/>
  <c r="AP254" i="1"/>
  <c r="AO263" i="1"/>
  <c r="AR265" i="1"/>
  <c r="AR261" i="1"/>
  <c r="AS254" i="1"/>
  <c r="AO219" i="1"/>
  <c r="AO229" i="1"/>
  <c r="AP226" i="1"/>
  <c r="AQ223" i="1"/>
  <c r="AR218" i="1"/>
  <c r="AR228" i="1"/>
  <c r="AS225" i="1"/>
  <c r="AR270" i="1"/>
  <c r="AO237" i="1"/>
  <c r="AQ235" i="1"/>
  <c r="AS236" i="1"/>
  <c r="AO241" i="1"/>
  <c r="AP241" i="1"/>
  <c r="AS244" i="1"/>
  <c r="AO251" i="1"/>
  <c r="AQ249" i="1"/>
  <c r="AO252" i="1"/>
  <c r="AO257" i="1"/>
  <c r="AR258" i="1"/>
  <c r="AP259" i="1"/>
  <c r="AP265" i="1"/>
  <c r="AR264" i="1"/>
  <c r="AS266" i="1"/>
  <c r="AP216" i="1"/>
  <c r="AR229" i="1"/>
  <c r="AS270" i="1"/>
  <c r="AS235" i="1"/>
  <c r="AS243" i="1"/>
  <c r="AP247" i="1"/>
  <c r="AR257" i="1"/>
  <c r="AS261" i="1"/>
  <c r="AP228" i="1"/>
  <c r="AS216" i="1"/>
  <c r="AS234" i="1"/>
  <c r="AQ243" i="1"/>
  <c r="AO249" i="1"/>
  <c r="AP252" i="1"/>
  <c r="AR256" i="1"/>
  <c r="AP263" i="1"/>
  <c r="AR266" i="1"/>
  <c r="AO224" i="1"/>
  <c r="AP219" i="1"/>
  <c r="AP229" i="1"/>
  <c r="AQ226" i="1"/>
  <c r="AR223" i="1"/>
  <c r="AS218" i="1"/>
  <c r="AS228" i="1"/>
  <c r="AP237" i="1"/>
  <c r="AR237" i="1"/>
  <c r="AO244" i="1"/>
  <c r="AQ242" i="1"/>
  <c r="AP245" i="1"/>
  <c r="AP251" i="1"/>
  <c r="AR249" i="1"/>
  <c r="AQ252" i="1"/>
  <c r="AP257" i="1"/>
  <c r="AS258" i="1"/>
  <c r="AR259" i="1"/>
  <c r="AP262" i="1"/>
  <c r="AS265" i="1"/>
  <c r="AQ266" i="1"/>
  <c r="AR248" i="1"/>
  <c r="AO220" i="1"/>
  <c r="AQ224" i="1"/>
  <c r="AQ238" i="1"/>
  <c r="AQ244" i="1"/>
  <c r="AO250" i="1"/>
  <c r="AO256" i="1"/>
  <c r="AQ254" i="1"/>
  <c r="AR263" i="1"/>
  <c r="AO223" i="1"/>
  <c r="AR220" i="1"/>
  <c r="AR238" i="1"/>
  <c r="AO243" i="1"/>
  <c r="AS242" i="1"/>
  <c r="AR250" i="1"/>
  <c r="AP258" i="1"/>
  <c r="AS259" i="1"/>
  <c r="AR262" i="1"/>
  <c r="AS241" i="1"/>
  <c r="AO225" i="1"/>
  <c r="AP220" i="1"/>
  <c r="AQ216" i="1"/>
  <c r="AQ227" i="1"/>
  <c r="AR224" i="1"/>
  <c r="AS219" i="1"/>
  <c r="AS229" i="1"/>
  <c r="AP236" i="1"/>
  <c r="AR236" i="1"/>
  <c r="AP233" i="1"/>
  <c r="AO245" i="1"/>
  <c r="AR244" i="1"/>
  <c r="AQ245" i="1"/>
  <c r="AP250" i="1"/>
  <c r="AS251" i="1"/>
  <c r="AR252" i="1"/>
  <c r="AP256" i="1"/>
  <c r="AS257" i="1"/>
  <c r="AQ259" i="1"/>
  <c r="AQ265" i="1"/>
  <c r="AS264" i="1"/>
  <c r="AP234" i="1"/>
  <c r="AQ241" i="1"/>
  <c r="AO248" i="1"/>
  <c r="AO262" i="1"/>
  <c r="AQ262" i="1"/>
  <c r="AR234" i="1"/>
  <c r="AQ248" i="1"/>
  <c r="AS248" i="1"/>
  <c r="AP255" i="1"/>
  <c r="AR255" i="1"/>
  <c r="AP248" i="1"/>
  <c r="AO255" i="1"/>
  <c r="AQ255" i="1"/>
  <c r="AO240" i="1"/>
  <c r="AQ240" i="1"/>
  <c r="AR247" i="1"/>
  <c r="AO254" i="1"/>
  <c r="AP261" i="1"/>
  <c r="AQ261" i="1"/>
  <c r="AS240" i="1"/>
  <c r="AR254" i="1"/>
  <c r="T68" i="1"/>
  <c r="BB1048526" i="1" l="1"/>
  <c r="BB1048536" i="1"/>
  <c r="BB1048519" i="1"/>
  <c r="BB1048531" i="1"/>
  <c r="BB1048525" i="1"/>
  <c r="BB1048513" i="1"/>
  <c r="BB1048523" i="1"/>
  <c r="BB1048528" i="1"/>
  <c r="BB1048535" i="1"/>
  <c r="BB1048530" i="1"/>
  <c r="BB1048534" i="1"/>
  <c r="BB1048518" i="1"/>
  <c r="BB1048514" i="1"/>
  <c r="BB1048529" i="1"/>
  <c r="BB1048533" i="1"/>
  <c r="BB1048520" i="1"/>
  <c r="BB1048521" i="1"/>
  <c r="BB1048524" i="1"/>
  <c r="BB1048515" i="1"/>
  <c r="BB1048516" i="1"/>
  <c r="T74" i="1"/>
  <c r="T70" i="1"/>
  <c r="T69" i="1"/>
  <c r="T63" i="1"/>
  <c r="T62" i="1"/>
  <c r="T61" i="1"/>
  <c r="T60" i="1"/>
  <c r="T67" i="1"/>
  <c r="T66" i="1"/>
  <c r="T65" i="1"/>
  <c r="T64" i="1"/>
  <c r="BB1048512" i="1" l="1"/>
  <c r="AS208" i="1"/>
  <c r="BB1048532" i="1"/>
  <c r="AS212" i="1"/>
  <c r="BB1048527" i="1"/>
  <c r="AS211" i="1"/>
  <c r="BB1048522" i="1"/>
  <c r="AS210" i="1"/>
  <c r="BB1048517" i="1"/>
  <c r="AS209" i="1"/>
  <c r="BB1048509" i="1"/>
  <c r="AM253" i="1"/>
  <c r="BB1048510" i="1"/>
  <c r="AM260" i="1"/>
  <c r="BB1048508" i="1"/>
  <c r="AM246" i="1"/>
  <c r="BB1048511" i="1"/>
  <c r="AM239" i="1"/>
  <c r="T71" i="1"/>
  <c r="T72" i="1"/>
  <c r="T73" i="1"/>
  <c r="T75" i="1"/>
  <c r="T76" i="1"/>
  <c r="T77" i="1"/>
  <c r="T78" i="1"/>
  <c r="T79" i="1"/>
  <c r="AM268" i="1" l="1"/>
  <c r="AM271" i="1" s="1"/>
</calcChain>
</file>

<file path=xl/sharedStrings.xml><?xml version="1.0" encoding="utf-8"?>
<sst xmlns="http://schemas.openxmlformats.org/spreadsheetml/2006/main" count="4962" uniqueCount="1457">
  <si>
    <t>Tratamento dos Questionários de Avaliação da Ação / Módulo de Formação - Registo Manual dos Inquéritos de Formação Presencial</t>
  </si>
  <si>
    <t>Formador 1</t>
  </si>
  <si>
    <t>Formador 2</t>
  </si>
  <si>
    <t>Formador 4</t>
  </si>
  <si>
    <t>Formador 3</t>
  </si>
  <si>
    <t>Formador 5</t>
  </si>
  <si>
    <t>Formador 6</t>
  </si>
  <si>
    <t>Código da Ação</t>
  </si>
  <si>
    <t>Designação da Ação</t>
  </si>
  <si>
    <t>1.1 - Utilidade dos temas tratados</t>
  </si>
  <si>
    <t>2.2 - Desenvolvimento do Programa</t>
  </si>
  <si>
    <t>2.3 - Conhecimentos Adquiridos</t>
  </si>
  <si>
    <t>3.1 - Materiais e/ou equipamentos utilizados</t>
  </si>
  <si>
    <t>3.2 - Documentação distribuída</t>
  </si>
  <si>
    <t>3.3.1 - Serviços de Apoio: Receção / Segurança</t>
  </si>
  <si>
    <t>3.3.2 - Serviços de Apoio: Bar</t>
  </si>
  <si>
    <t>3.3.3 - Serviços de Apoio: CRC</t>
  </si>
  <si>
    <t>3.3.4 - Atendimento ao Cliente / Formando</t>
  </si>
  <si>
    <t>3.4 - Instalações onde decorreu a ação / módulo</t>
  </si>
  <si>
    <t>4.1 - Conhecimentos e Competências Técnicas</t>
  </si>
  <si>
    <t>4.3 - Pontualidade</t>
  </si>
  <si>
    <t>4.2 - Comunicação e Competências Pedagógicas</t>
  </si>
  <si>
    <t>4.4 - Relação Formador/Formando</t>
  </si>
  <si>
    <t>4.5 - Empenhamento na Ação</t>
  </si>
  <si>
    <t>5.1 - Avaliação Geral da Ação / Módulo</t>
  </si>
  <si>
    <t>Respostas dos Formandos (escala de 1 a 5)</t>
  </si>
  <si>
    <t>Critérios</t>
  </si>
  <si>
    <t>2 - Desenvolvimento Da Ação / Módulo</t>
  </si>
  <si>
    <t>1 - Conceção Da Ação / Módulo</t>
  </si>
  <si>
    <t>3 - Organização Da Ação E Serviços De Apoio</t>
  </si>
  <si>
    <t>5 - Avaliação Geral Da Ação</t>
  </si>
  <si>
    <t>Comentários / Sugestões Finais</t>
  </si>
  <si>
    <t>Nº</t>
  </si>
  <si>
    <t>Como tomou conhecimento da ação?</t>
  </si>
  <si>
    <t>Outra? Qual?</t>
  </si>
  <si>
    <t>Lista de validação de dados</t>
  </si>
  <si>
    <t>Imprensa</t>
  </si>
  <si>
    <t>Empresa</t>
  </si>
  <si>
    <t>Site do Cencal</t>
  </si>
  <si>
    <t>Amigos/Conhecidos</t>
  </si>
  <si>
    <t>Instalações do Cencal</t>
  </si>
  <si>
    <t>Outra. Qual?</t>
  </si>
  <si>
    <t>Redes Sociais</t>
  </si>
  <si>
    <t>Nº CAP</t>
  </si>
  <si>
    <t>Curso Escolar</t>
  </si>
  <si>
    <t>Almerinda da Purificação Silva Santos</t>
  </si>
  <si>
    <t>Ana Patrícia Rosa Agostinho Dos Santos Janeiro</t>
  </si>
  <si>
    <t>407724</t>
  </si>
  <si>
    <t>Psicologia</t>
  </si>
  <si>
    <t>Ana Paula Ricardo Nascimento</t>
  </si>
  <si>
    <t>82</t>
  </si>
  <si>
    <t>Serviço Social</t>
  </si>
  <si>
    <t>Anabela Rodrigues Pereira</t>
  </si>
  <si>
    <t>António Augusto Isidoro Ferreira Dinis</t>
  </si>
  <si>
    <t>3147</t>
  </si>
  <si>
    <t>António Manuel Pereira Da Anunciação</t>
  </si>
  <si>
    <t>Carla Cristina Dos Santos Ferreira</t>
  </si>
  <si>
    <t>8489</t>
  </si>
  <si>
    <t>Engenharia de Produção Industrial</t>
  </si>
  <si>
    <t>Cláudia Dos Santos Araújo Feio</t>
  </si>
  <si>
    <t>408322</t>
  </si>
  <si>
    <t>História</t>
  </si>
  <si>
    <t>Ema Maria Pires Carriço</t>
  </si>
  <si>
    <t>EDF 9336/99 DL</t>
  </si>
  <si>
    <t>Relações Humanas e Comunicação Organizacional</t>
  </si>
  <si>
    <t>Hermínia Maria da Silva Lourenço Couto</t>
  </si>
  <si>
    <t>3142</t>
  </si>
  <si>
    <t>Joaquim Tavares Braz</t>
  </si>
  <si>
    <t>1100</t>
  </si>
  <si>
    <t>Engenharia; Gestão</t>
  </si>
  <si>
    <t>José Luiz De Almeida Silva</t>
  </si>
  <si>
    <t>847</t>
  </si>
  <si>
    <t>Economia</t>
  </si>
  <si>
    <t>Luísa Maria Oliveira Farinha Henriques Marques</t>
  </si>
  <si>
    <t>Maria Da Conceição Vicente Martins</t>
  </si>
  <si>
    <t>EDF 281/98 DL</t>
  </si>
  <si>
    <t>Ciências Políticas e Sociais</t>
  </si>
  <si>
    <t>Maria Dulce Oliveira Dos Santos</t>
  </si>
  <si>
    <t>842</t>
  </si>
  <si>
    <t>Design</t>
  </si>
  <si>
    <t>Maria Jesus Sheriff Prosper</t>
  </si>
  <si>
    <t>1144</t>
  </si>
  <si>
    <t>Design e Tecnologia para a Cerâmica</t>
  </si>
  <si>
    <t>Maria Manuela Pereira Dinis Baroso</t>
  </si>
  <si>
    <t>Cap</t>
  </si>
  <si>
    <t>Engenharia Química</t>
  </si>
  <si>
    <t>Maria Tereza Fialho Nunes De Oliveira Antunes Dos Santos</t>
  </si>
  <si>
    <t>EDF 2542/98 DCR</t>
  </si>
  <si>
    <t>Paulo Jorge Pereira Tomás</t>
  </si>
  <si>
    <t>66</t>
  </si>
  <si>
    <t>Ricardo José Diogo Cordeiro</t>
  </si>
  <si>
    <t>5862</t>
  </si>
  <si>
    <t>Tecnologias de Informação Empresarial</t>
  </si>
  <si>
    <t>Rosa Fernandes Rocha</t>
  </si>
  <si>
    <t>4636</t>
  </si>
  <si>
    <t>Engenharia Cerâmica e do Vidro</t>
  </si>
  <si>
    <t>Susana Margarida Gonçalves Da Costa</t>
  </si>
  <si>
    <t>404855/2006</t>
  </si>
  <si>
    <t>Vera Albertina Espinosa Morais Fortes</t>
  </si>
  <si>
    <t>8555</t>
  </si>
  <si>
    <t>Química Tecnológica</t>
  </si>
  <si>
    <t>Evaristo José De Sousa</t>
  </si>
  <si>
    <t>17315</t>
  </si>
  <si>
    <t>Contabilidade</t>
  </si>
  <si>
    <t>José Manuel Cardoso de Almeida</t>
  </si>
  <si>
    <t>José Carlos Plácido Dias Matos</t>
  </si>
  <si>
    <t>6732</t>
  </si>
  <si>
    <t>João Vasco de Oliveira Mateus</t>
  </si>
  <si>
    <t>Engenharia de Electrónica e Computadores</t>
  </si>
  <si>
    <t>Luis Filipe Mendes Marques</t>
  </si>
  <si>
    <t>1944</t>
  </si>
  <si>
    <t>Mário José Barros Simões</t>
  </si>
  <si>
    <t>3148</t>
  </si>
  <si>
    <t>Educação Tecnológica</t>
  </si>
  <si>
    <t>Paulo Alexandre Carvalho Fialho</t>
  </si>
  <si>
    <t>9621</t>
  </si>
  <si>
    <t>Ana Cristina Freitas De Jesus Raimundo</t>
  </si>
  <si>
    <t>4821</t>
  </si>
  <si>
    <t>Línguas e Literaturas Modernas variante: Estudos Portugueses</t>
  </si>
  <si>
    <t>Ana Maria Neves Pereira de Melo</t>
  </si>
  <si>
    <t>Alcides Rosa dos Santos</t>
  </si>
  <si>
    <t>Anabela Novo Moura</t>
  </si>
  <si>
    <t>Maria de Lourdes Mendes da Silva Nogueira</t>
  </si>
  <si>
    <t>10796</t>
  </si>
  <si>
    <t>Línguas e Literaturas Modernas - variante Estudos Ingleses e Alemães</t>
  </si>
  <si>
    <t>Sandra Maria Martins Susano</t>
  </si>
  <si>
    <t>23215</t>
  </si>
  <si>
    <t>Linguística</t>
  </si>
  <si>
    <t>Paulo Óscar De Freitas E Vasconcelos Faria Gonçalves</t>
  </si>
  <si>
    <t>26847</t>
  </si>
  <si>
    <t>Vitor Manuel Pinto Nunes</t>
  </si>
  <si>
    <t>2538</t>
  </si>
  <si>
    <t>José Hugo Henriques Marques</t>
  </si>
  <si>
    <t>18810</t>
  </si>
  <si>
    <t>Línguas e Literaturas Modernas - variante Estudos Portugueses e Ingleses</t>
  </si>
  <si>
    <t>Ana Maria José Moreira da Silva Sobral</t>
  </si>
  <si>
    <t>Artes Plásticas-Escultura</t>
  </si>
  <si>
    <t>Maria Tereza Do Coito Lima</t>
  </si>
  <si>
    <t>37044/2004</t>
  </si>
  <si>
    <t>José Rafael Belchior Ricardo do Nascimento</t>
  </si>
  <si>
    <t>1174</t>
  </si>
  <si>
    <t>Administração e Gestão de Empresas; Psicologia</t>
  </si>
  <si>
    <t>Carla Sofia da Cunha Gomes Pedroso</t>
  </si>
  <si>
    <t>EDF29591/2003DL</t>
  </si>
  <si>
    <t>Design - Arte Gráfica (Ciclo básico)</t>
  </si>
  <si>
    <t>Ana Isabel e Sousa do Carmo</t>
  </si>
  <si>
    <t>25962</t>
  </si>
  <si>
    <t>Tecnologia e Artes Gráficas</t>
  </si>
  <si>
    <t>Luis Manuel Costa Filipe</t>
  </si>
  <si>
    <t>Engenharia Informática</t>
  </si>
  <si>
    <t>João Pedro Ribeiro Coelho Caldas Lopes</t>
  </si>
  <si>
    <t>25518</t>
  </si>
  <si>
    <t>Engenharia Física</t>
  </si>
  <si>
    <t>Cristina Maria Ribeiro da Silva Ramos e Horta</t>
  </si>
  <si>
    <t>22868</t>
  </si>
  <si>
    <t>Dulce Maria Almeida Mateus Caetano</t>
  </si>
  <si>
    <t>14612</t>
  </si>
  <si>
    <t>Ciências Matemáticas</t>
  </si>
  <si>
    <t>Pedro Miguel Cristovão Marques</t>
  </si>
  <si>
    <t>13485</t>
  </si>
  <si>
    <t>Comunicação e Design Multimédia</t>
  </si>
  <si>
    <t>Luis Filipe Ferreira Branco de Oliveira</t>
  </si>
  <si>
    <t>20804</t>
  </si>
  <si>
    <t>Pedro Dinis Teixeira Rocha Oliveira Loio</t>
  </si>
  <si>
    <t>Pedro Nuno Correia Delgado</t>
  </si>
  <si>
    <t>23239</t>
  </si>
  <si>
    <t>Helena Paula Ceia dos Santos</t>
  </si>
  <si>
    <t>44245</t>
  </si>
  <si>
    <t>Paulo Jorge Baptista</t>
  </si>
  <si>
    <t>José Francisco Rocha Reis Vidigal</t>
  </si>
  <si>
    <t>EDF 400327/2006 DL</t>
  </si>
  <si>
    <t>Marco Guilherme Negrão Mangas de Almeida Jesus</t>
  </si>
  <si>
    <t>António Manuel Teixeira Catarino</t>
  </si>
  <si>
    <t>6338</t>
  </si>
  <si>
    <t>Sociologia</t>
  </si>
  <si>
    <t>Manuel José Cozinheiro Fidalgo Rafael</t>
  </si>
  <si>
    <t>431205</t>
  </si>
  <si>
    <t>Medicina</t>
  </si>
  <si>
    <t>Manuel Augusto Miranda Bernardo</t>
  </si>
  <si>
    <t>Ricardo Jorge Pereira Gomes</t>
  </si>
  <si>
    <t>38778</t>
  </si>
  <si>
    <t>Ana Paula Ribeiro Arrabaça Cebola</t>
  </si>
  <si>
    <t>18490/2003</t>
  </si>
  <si>
    <t>Pedro Dos Santos Vicente</t>
  </si>
  <si>
    <t>407490</t>
  </si>
  <si>
    <t>&lt;hle/</t>
  </si>
  <si>
    <t>Anna Clara Leal Rodrigues</t>
  </si>
  <si>
    <t>29728</t>
  </si>
  <si>
    <t>Administração e Gestão de Empresas</t>
  </si>
  <si>
    <t>Sérgio Rocha Félix</t>
  </si>
  <si>
    <t>Paulino Luis da Costa de Carvalho</t>
  </si>
  <si>
    <t>Rui Manuel Fontes Coelho</t>
  </si>
  <si>
    <t>António do Couto de Sousa</t>
  </si>
  <si>
    <t>Patricia da Silveira Santos Barros</t>
  </si>
  <si>
    <t>Tânia Maria Bettencourt Girão</t>
  </si>
  <si>
    <t>44987</t>
  </si>
  <si>
    <t>Eva Rafael Coelho Santiago</t>
  </si>
  <si>
    <t>409182</t>
  </si>
  <si>
    <t>Sílvia Machado Abreu</t>
  </si>
  <si>
    <t>408396</t>
  </si>
  <si>
    <t>Dina Maria Da Silva Tereso</t>
  </si>
  <si>
    <t>2410-466</t>
  </si>
  <si>
    <t>Comércio e Marketing</t>
  </si>
  <si>
    <t>Fernanda Ferraria Jorge</t>
  </si>
  <si>
    <t>2442</t>
  </si>
  <si>
    <t>Filomena Maria Conde Rodrigues da Silva Meneses</t>
  </si>
  <si>
    <t>Fátima de Jesus Lopes de Sá Cachada</t>
  </si>
  <si>
    <t>Jorge de Sousa Varela</t>
  </si>
  <si>
    <t>Direito</t>
  </si>
  <si>
    <t>Mário António Carvalho Santos</t>
  </si>
  <si>
    <t>Pedro José Marques Veiga Libório</t>
  </si>
  <si>
    <t>Ana Isabel Da Graça Francisco Vigia</t>
  </si>
  <si>
    <t>406092</t>
  </si>
  <si>
    <t>Engenharia do Ambiente</t>
  </si>
  <si>
    <t>João António Jesus Neto</t>
  </si>
  <si>
    <t>Laura Maria Marques Machado Carvalho</t>
  </si>
  <si>
    <t>José António Sacramento Marques</t>
  </si>
  <si>
    <t>Carlos Manuel Tavares Melo</t>
  </si>
  <si>
    <t>Ana Rute de Almeida Vicente</t>
  </si>
  <si>
    <t>Nuno Fernando Neves Branco Santos</t>
  </si>
  <si>
    <t>3203</t>
  </si>
  <si>
    <t>Sónia Margarida Carreira da Conceição</t>
  </si>
  <si>
    <t>44844/2005</t>
  </si>
  <si>
    <t>Cláudio Alfredo Guiomar De Oliveira</t>
  </si>
  <si>
    <t>466555</t>
  </si>
  <si>
    <t>António Jorge Coimbra de Jesus Caiado</t>
  </si>
  <si>
    <t>Rui Jorge da Silva Rebelo</t>
  </si>
  <si>
    <t>José Carlos da Costa Azevedo</t>
  </si>
  <si>
    <t>Ricardo Filipe Trindade Santos</t>
  </si>
  <si>
    <t>452951</t>
  </si>
  <si>
    <t>Liliana Isabel Eustáquio Figueira E Costa</t>
  </si>
  <si>
    <t>416129</t>
  </si>
  <si>
    <t>Filosofia</t>
  </si>
  <si>
    <t>Micaela De Sousa Castanheiro</t>
  </si>
  <si>
    <t>25754</t>
  </si>
  <si>
    <t>Curso técnico superior de Informática ramo de Informática e Gestão</t>
  </si>
  <si>
    <t>Nadine Lise Albertine Gueniou</t>
  </si>
  <si>
    <t>17883</t>
  </si>
  <si>
    <t>António Geraldo de Bem Fernandes de Sousa Lamas</t>
  </si>
  <si>
    <t>Blandina Leandro da Silva</t>
  </si>
  <si>
    <t>49018</t>
  </si>
  <si>
    <t>Línguas e Literaturas Modernas variante Estudos Franceses e Ingleses</t>
  </si>
  <si>
    <t>Ana Luisa Murraças Galego</t>
  </si>
  <si>
    <t>Samuel Fernando Santana Dias</t>
  </si>
  <si>
    <t>492306</t>
  </si>
  <si>
    <t>Rui Miguel Ferreira Gaspar</t>
  </si>
  <si>
    <t>4229</t>
  </si>
  <si>
    <t>Vasco Fernando Amaral das Neves</t>
  </si>
  <si>
    <t>Carla Patricia Correia Luis</t>
  </si>
  <si>
    <t>EDF 49650/2005</t>
  </si>
  <si>
    <t>Línguas e Literaturas Modernas - variante: Estudos Portugueses e Franceses</t>
  </si>
  <si>
    <t>Ana Paula Domingues Agostinho André</t>
  </si>
  <si>
    <t>220</t>
  </si>
  <si>
    <t>Inês Veríssimo Fonseca Martins</t>
  </si>
  <si>
    <t>Manuel Brás Aires</t>
  </si>
  <si>
    <t>Ana Júlia Cardoso Henriques</t>
  </si>
  <si>
    <t>416568/2006</t>
  </si>
  <si>
    <t>Liane Cristina Eusébio dos Santos Machado</t>
  </si>
  <si>
    <t>464649/2008 DL</t>
  </si>
  <si>
    <t>Microbiologia</t>
  </si>
  <si>
    <t>Carla Patrício Dias Rijo</t>
  </si>
  <si>
    <t>483176</t>
  </si>
  <si>
    <t>Tradução</t>
  </si>
  <si>
    <t>Marta Cristina Costa De Oliveira</t>
  </si>
  <si>
    <t>EDF 498570/2009</t>
  </si>
  <si>
    <t>Tânia Filipa Vilares Marquês</t>
  </si>
  <si>
    <t>46481</t>
  </si>
  <si>
    <t>Paula Cristina dos Santos Bernardes</t>
  </si>
  <si>
    <t>Ana Rute Madaleno Santos</t>
  </si>
  <si>
    <t>Marta Filipa Cadima Lisboa</t>
  </si>
  <si>
    <t>505916</t>
  </si>
  <si>
    <t>Maria Celina Ferreira Nobre Carlos</t>
  </si>
  <si>
    <t>486066</t>
  </si>
  <si>
    <t>Cátia Alexandra Serrador Lino</t>
  </si>
  <si>
    <t>476371</t>
  </si>
  <si>
    <t>Comunicação Empresarial</t>
  </si>
  <si>
    <t>Adélia Maria De Sousa Ferreira Rato</t>
  </si>
  <si>
    <t>14199/2001 DC</t>
  </si>
  <si>
    <t>Cecilia Sofia Ferreira Matias</t>
  </si>
  <si>
    <t>Anabela da Silva Rebelo Barosa</t>
  </si>
  <si>
    <t>Lídia Cristina Batista Ferreira</t>
  </si>
  <si>
    <t>8200</t>
  </si>
  <si>
    <t>Contabilidade; Administração e Gestão de Empresas</t>
  </si>
  <si>
    <t>Miguel Ângelo Simões Matos</t>
  </si>
  <si>
    <t>8123</t>
  </si>
  <si>
    <t>Francisco José da Silva Páscoa</t>
  </si>
  <si>
    <t>13147/99 DL</t>
  </si>
  <si>
    <t>Fernando Carlos Perpétua</t>
  </si>
  <si>
    <t>Cátia Cristina Bernardes da Silva</t>
  </si>
  <si>
    <t>492203/2009</t>
  </si>
  <si>
    <t>Maria João Custódio Marques Luis Gregório</t>
  </si>
  <si>
    <t>508245</t>
  </si>
  <si>
    <t>Nicholas Brent Taylor</t>
  </si>
  <si>
    <t>Natércia Maria Enxuto de Oliveira</t>
  </si>
  <si>
    <t>Vânia Neto Lourenço Lopes</t>
  </si>
  <si>
    <t>EDF 401138/2006 DL</t>
  </si>
  <si>
    <t>Comunicação e Relações Económicas</t>
  </si>
  <si>
    <t>Sandra Maria Cristino Nogueira</t>
  </si>
  <si>
    <t>Ana Isabel da Costa Dionísio</t>
  </si>
  <si>
    <t>92</t>
  </si>
  <si>
    <t>Aurélio José dos Santos Cavaleiro</t>
  </si>
  <si>
    <t>519712</t>
  </si>
  <si>
    <t>Design Multimédia</t>
  </si>
  <si>
    <t>Júlia da Rocha Fernandes de Sousa</t>
  </si>
  <si>
    <t>Marta Pimenta Penas</t>
  </si>
  <si>
    <t>23369</t>
  </si>
  <si>
    <t>Sandra Isabel Jordão de Sousa</t>
  </si>
  <si>
    <t>31842/2004 DC</t>
  </si>
  <si>
    <t>Dina Gabriela Vieira Mendes</t>
  </si>
  <si>
    <t>Enfermagem</t>
  </si>
  <si>
    <t>Jenny Gil Sousa</t>
  </si>
  <si>
    <t>Animação Sócio-Educativa ou Cultural</t>
  </si>
  <si>
    <t>Catarina Maria Ribeiro Henriques</t>
  </si>
  <si>
    <t>Nuno Daniel Martins Cerveira Cunha Cerca</t>
  </si>
  <si>
    <t>483126</t>
  </si>
  <si>
    <t>Cátia Rebelo De Sousa</t>
  </si>
  <si>
    <t>404520</t>
  </si>
  <si>
    <t>António Joaquim Lopes Caetano</t>
  </si>
  <si>
    <t>Clara Sofia Romão Varela</t>
  </si>
  <si>
    <t>2005-002</t>
  </si>
  <si>
    <t>Filomena Margarida Monteiro Leitão</t>
  </si>
  <si>
    <t>Walli Hawes</t>
  </si>
  <si>
    <t>Filomena Maria dos Santos Calmeiro</t>
  </si>
  <si>
    <t>17920</t>
  </si>
  <si>
    <t>Línguas e Secretariado</t>
  </si>
  <si>
    <t>Margarida Maria Gonçalves Ângelo</t>
  </si>
  <si>
    <t>EDF 446371/2007 DC</t>
  </si>
  <si>
    <t>Telma Calado Ferreira</t>
  </si>
  <si>
    <t>497241</t>
  </si>
  <si>
    <t>Alda Susana Pinheiro Cova</t>
  </si>
  <si>
    <t>29027</t>
  </si>
  <si>
    <t>Fernando Manuel da Costa Esperança Pereira</t>
  </si>
  <si>
    <t>13227</t>
  </si>
  <si>
    <t>Nelson Cintra Couto</t>
  </si>
  <si>
    <t>581181/2012</t>
  </si>
  <si>
    <t>Engenharia Mecânica</t>
  </si>
  <si>
    <t>Susana Salvação Barbosa Urbano Antunes</t>
  </si>
  <si>
    <t>23662</t>
  </si>
  <si>
    <t>João Paulo da Silva Antunes</t>
  </si>
  <si>
    <t>424487</t>
  </si>
  <si>
    <t>Sandra Mónica Costa Correia De Oliveira Marques</t>
  </si>
  <si>
    <t>575926</t>
  </si>
  <si>
    <t>Carlos Manuel Armindo</t>
  </si>
  <si>
    <t>Vasco manuel Baptista Maio Gomes</t>
  </si>
  <si>
    <t>30916/2004</t>
  </si>
  <si>
    <t>Ana Teresa Arroja Vitória da Silva Gil</t>
  </si>
  <si>
    <t>27825/2002</t>
  </si>
  <si>
    <t>Alfredo Joaquim Poeiras</t>
  </si>
  <si>
    <t>27005/2004</t>
  </si>
  <si>
    <t>José  Nascimento Oliveira Marques</t>
  </si>
  <si>
    <t>508059/2009</t>
  </si>
  <si>
    <t>Maria de Fátima Ruivo Simões</t>
  </si>
  <si>
    <t>406378</t>
  </si>
  <si>
    <t>Bruno Miguel Marques da Silva</t>
  </si>
  <si>
    <t>496098/2009</t>
  </si>
  <si>
    <t>Contabilidade e Administração</t>
  </si>
  <si>
    <t>Aida Catarina Henriques Pereira</t>
  </si>
  <si>
    <t>522458/2010</t>
  </si>
  <si>
    <t>Fernanda Maria Isabel Castelhano</t>
  </si>
  <si>
    <t>EDF 531811/2010 DL</t>
  </si>
  <si>
    <t>Fernando Alberto Caldeira Miguel</t>
  </si>
  <si>
    <t>Nuno Miguel Abreu Vaz</t>
  </si>
  <si>
    <t>28709/2004</t>
  </si>
  <si>
    <t>Joaquim José Feliciano Vinhais</t>
  </si>
  <si>
    <t>1174797</t>
  </si>
  <si>
    <t>Humberto Jorge Duarte Ferreira</t>
  </si>
  <si>
    <t>30652/2004</t>
  </si>
  <si>
    <t>Francisco José da Silva Bagulho</t>
  </si>
  <si>
    <t>513812</t>
  </si>
  <si>
    <t>Rui Miguel Norberto Nunes</t>
  </si>
  <si>
    <t>458444/2007</t>
  </si>
  <si>
    <t>Administração e Gestão de Empresas; Gestão Financeira</t>
  </si>
  <si>
    <t>Anabela Vitorino Costa</t>
  </si>
  <si>
    <t>CCP EDF 20336/2001 D</t>
  </si>
  <si>
    <t>Emidio Galassi</t>
  </si>
  <si>
    <t>Vera Lúcia Cardoso Duarte</t>
  </si>
  <si>
    <t>432040/2007</t>
  </si>
  <si>
    <t>Engenharia</t>
  </si>
  <si>
    <t>Joana Filipa Costa Gonçalves</t>
  </si>
  <si>
    <t>572755/2011</t>
  </si>
  <si>
    <t>Patricia Isabel Duarte dos Santos</t>
  </si>
  <si>
    <t>20860/2001</t>
  </si>
  <si>
    <t>Teresa Maria Castro de Almeida</t>
  </si>
  <si>
    <t>38510/2003</t>
  </si>
  <si>
    <t>Artes Plásticas (Ciclo básico)</t>
  </si>
  <si>
    <t>João Cravo Nunes da Silva Granja</t>
  </si>
  <si>
    <t>481674/2008</t>
  </si>
  <si>
    <t>Alexandre Manuel Loureiro Pinto</t>
  </si>
  <si>
    <t>410966/2006</t>
  </si>
  <si>
    <t>Engenharia Electrotécnica</t>
  </si>
  <si>
    <t>Nuno Fonseca Miguel</t>
  </si>
  <si>
    <t>445683/2007</t>
  </si>
  <si>
    <t>Eduardo Jorge Oliveira Nogueira</t>
  </si>
  <si>
    <t>531671/2010</t>
  </si>
  <si>
    <t>Ana da Conceição de Jesus Fontes</t>
  </si>
  <si>
    <t>32708/2004</t>
  </si>
  <si>
    <t>Lurdes Ribeiro Valentim</t>
  </si>
  <si>
    <t>484140/2008</t>
  </si>
  <si>
    <t>Ana Rita Rodrigues Jorge</t>
  </si>
  <si>
    <t>EDF 530773/2010 DL</t>
  </si>
  <si>
    <t>Educação Social</t>
  </si>
  <si>
    <t>Blandina Manuela dos Santos Pires</t>
  </si>
  <si>
    <t>467634/2008</t>
  </si>
  <si>
    <t>Turismo</t>
  </si>
  <si>
    <t>Célia Maria Cunha Ferreira</t>
  </si>
  <si>
    <t>637/98</t>
  </si>
  <si>
    <t>Administração e Marketing</t>
  </si>
  <si>
    <t>Pedro Miguel Gaspar de Oliveira Ferreira</t>
  </si>
  <si>
    <t>577754/2011</t>
  </si>
  <si>
    <t>Marisa Alexandra Fernandes Godinho</t>
  </si>
  <si>
    <t>EDF 23525/2004 DC</t>
  </si>
  <si>
    <t>Ana Catarina Carreira Boarqueiro</t>
  </si>
  <si>
    <t>F583785/2012</t>
  </si>
  <si>
    <t>Liúba Magda Costa Cardoso</t>
  </si>
  <si>
    <t>593716/2012</t>
  </si>
  <si>
    <t>Maria de Fátima Coelho Pires Gomes</t>
  </si>
  <si>
    <t>457630/2007</t>
  </si>
  <si>
    <t>Educação de Infância</t>
  </si>
  <si>
    <t>Fúlvia Martins Correia</t>
  </si>
  <si>
    <t>37875/2004</t>
  </si>
  <si>
    <t>Engenharia da Energia e Ambiente</t>
  </si>
  <si>
    <t>Elisa Pinelas Paulo Higino</t>
  </si>
  <si>
    <t>47786/2005 DL</t>
  </si>
  <si>
    <t>Joana Alexandrina Gomes Da Silva</t>
  </si>
  <si>
    <t>Helena Isabel Funcheira Justino</t>
  </si>
  <si>
    <t>23435/2001</t>
  </si>
  <si>
    <t>Línguas e Literaturas Modernas variante de Estudos Portugueses e Espanhóis</t>
  </si>
  <si>
    <t>Raquel da Silva e Cruz</t>
  </si>
  <si>
    <t>Luis Fernando Cardeira Filipe</t>
  </si>
  <si>
    <t>Mónica Alexandra Pereira Gomes Martins</t>
  </si>
  <si>
    <t>486761/2008</t>
  </si>
  <si>
    <t>Sérgio Paulo da Mota Bernardo</t>
  </si>
  <si>
    <t>581922/2012</t>
  </si>
  <si>
    <t>Arlinda Maria Baltazar Sarmento</t>
  </si>
  <si>
    <t>51363/2004</t>
  </si>
  <si>
    <t>Hugo Manuel Duarte de Carvalho</t>
  </si>
  <si>
    <t>441511/2007</t>
  </si>
  <si>
    <t>Cláudia Alexandra Mateus Ramalho</t>
  </si>
  <si>
    <t>585920/2012</t>
  </si>
  <si>
    <t>Carla Alexandra da Silva Alves Duarte Siopa</t>
  </si>
  <si>
    <t>4677/98</t>
  </si>
  <si>
    <t>Sara Viviana Santos Ferreira</t>
  </si>
  <si>
    <t>495566/2009</t>
  </si>
  <si>
    <t>Sandra Maria Leal Eusébio Coutinho</t>
  </si>
  <si>
    <t>Engenharia da Produção - opções: Produção Agrícola; Produção Animal; Produção Hortofrutícola; Produção Agro- Pecuária; Produção Agro-Pecuária Tropical; Protecção da Produção Agrícola</t>
  </si>
  <si>
    <t>Joaquim António Ramalho Tavares</t>
  </si>
  <si>
    <t>Emanuel Filipe Marques Silva</t>
  </si>
  <si>
    <t>EDF 485576/2008 DL</t>
  </si>
  <si>
    <t>Susana Isabel Henriques Dos Santos</t>
  </si>
  <si>
    <t>24718/2002</t>
  </si>
  <si>
    <t>Salomé Baptista Fernandes</t>
  </si>
  <si>
    <t>514797/2009</t>
  </si>
  <si>
    <t>Luis Miguel Gaspar Ribeiro Francisco</t>
  </si>
  <si>
    <t>24367/2004</t>
  </si>
  <si>
    <t>Tânia Isabel Vigia Bulhões</t>
  </si>
  <si>
    <t>562604/2011</t>
  </si>
  <si>
    <t>Pedro Guilherme Santos Marques</t>
  </si>
  <si>
    <t>506223/2009</t>
  </si>
  <si>
    <t>Ana Maria Luis Leitão Pinheiro</t>
  </si>
  <si>
    <t>45474/2005</t>
  </si>
  <si>
    <t>Engenharia dos Materiais</t>
  </si>
  <si>
    <t>Catarina Maria Machado da Caridade Fernandes</t>
  </si>
  <si>
    <t>Ciências Físico-Químicas</t>
  </si>
  <si>
    <t>Ana Margarida Espirito Santo Ferreira Neto</t>
  </si>
  <si>
    <t>16494/2002</t>
  </si>
  <si>
    <t>Jorge Afonso Baião Constantino</t>
  </si>
  <si>
    <t>EDF 889/98</t>
  </si>
  <si>
    <t>Ciências Empresariais</t>
  </si>
  <si>
    <t>Stefania Barale</t>
  </si>
  <si>
    <t>441215/2007</t>
  </si>
  <si>
    <t>Paula Cristina Vicente Oliveira Caetano</t>
  </si>
  <si>
    <t>Eurico Fialho André</t>
  </si>
  <si>
    <t>Andreia Ferreira Nabais</t>
  </si>
  <si>
    <t>44848/2005</t>
  </si>
  <si>
    <t>Ana Luisa Cadima Lisboa</t>
  </si>
  <si>
    <t>562005/2011</t>
  </si>
  <si>
    <t>Design Arte Gráfica (Ciclo especial)</t>
  </si>
  <si>
    <t>Anacleto Jordão Crespo dos Santos</t>
  </si>
  <si>
    <t>5697/99</t>
  </si>
  <si>
    <t>Engenharia e Gestão Industrial</t>
  </si>
  <si>
    <t>Rui Manuel Sousa Resende</t>
  </si>
  <si>
    <t>466606/2008</t>
  </si>
  <si>
    <t>Engenharia Civil</t>
  </si>
  <si>
    <t>Leonel Inácio Paulo</t>
  </si>
  <si>
    <t>Ana Margarida Paciência Dinis</t>
  </si>
  <si>
    <t>Arte e Comunicação ramo de Audiovisual; ramo Fotográfico; ramo de Multimédia</t>
  </si>
  <si>
    <t>Vanessa Cristina Pires Feliciano</t>
  </si>
  <si>
    <t>549826/2010</t>
  </si>
  <si>
    <t>Angélica Margarida Félix Mateus</t>
  </si>
  <si>
    <t>567040/2011</t>
  </si>
  <si>
    <t>Cláudio Miguel Jorge Duarte</t>
  </si>
  <si>
    <t>Tiago Custódio de Sousa Dória</t>
  </si>
  <si>
    <t>16880/2002</t>
  </si>
  <si>
    <t>Elisabete Figueiredo Ribeiro Laureano</t>
  </si>
  <si>
    <t>6724/98</t>
  </si>
  <si>
    <t>Mariete Félix Ezequiel</t>
  </si>
  <si>
    <t>14853/2002</t>
  </si>
  <si>
    <t>Susana Maria Ascensão Carreira</t>
  </si>
  <si>
    <t>28424/2003</t>
  </si>
  <si>
    <t>Nadea Cristina Morgado Santos</t>
  </si>
  <si>
    <t>32248/2003</t>
  </si>
  <si>
    <t>Recursos Humanos</t>
  </si>
  <si>
    <t>Rita Alexandra Santos Marçalo</t>
  </si>
  <si>
    <t>551392/2010</t>
  </si>
  <si>
    <t>Mónica Sofia De Sena Peralta</t>
  </si>
  <si>
    <t>Susana Isabel Rodrigues Fernandes</t>
  </si>
  <si>
    <t>516398/2009</t>
  </si>
  <si>
    <t>Nicola Da Conceição Lourenço</t>
  </si>
  <si>
    <t>41876/2004</t>
  </si>
  <si>
    <t>Sara de Sousa Silva</t>
  </si>
  <si>
    <t>596863/2012</t>
  </si>
  <si>
    <t>Vânia Ferreira Serrazina</t>
  </si>
  <si>
    <t>46436/2005</t>
  </si>
  <si>
    <t>Saúde Ambiental</t>
  </si>
  <si>
    <t>Marlene Francisco Henriques</t>
  </si>
  <si>
    <t>460234/2007</t>
  </si>
  <si>
    <t>Vitor Manuel Nogueira Gonçalves - Baraça</t>
  </si>
  <si>
    <t>Cristiana Vieira Calvário</t>
  </si>
  <si>
    <t>Não Sei de Cor</t>
  </si>
  <si>
    <t>David João Geraldes Camocho</t>
  </si>
  <si>
    <t>402424/2006</t>
  </si>
  <si>
    <t>Alfredo Gregório Calado Roque</t>
  </si>
  <si>
    <t>F609167/2013</t>
  </si>
  <si>
    <t>Alexandra Margarida Simões Gordalina Da Silva</t>
  </si>
  <si>
    <t>523426/2010</t>
  </si>
  <si>
    <t>Engenharia Cerâmica</t>
  </si>
  <si>
    <t>Roberto Carlos Soares Miquelino</t>
  </si>
  <si>
    <t>F601259/2013</t>
  </si>
  <si>
    <t>Escultura</t>
  </si>
  <si>
    <t>Susana Teresa Silva Santos</t>
  </si>
  <si>
    <t>12745/2001</t>
  </si>
  <si>
    <t>Nelson José Laurindo Fonseca</t>
  </si>
  <si>
    <t>48578/2005</t>
  </si>
  <si>
    <t>Sónia Cristina da Fonseca Durães</t>
  </si>
  <si>
    <t>31026/2003</t>
  </si>
  <si>
    <t>Design Industrial; Ciências Empresariais especializações: Marketing; Finanças Empresariais; Gestão Internacional; Gestão Internacional na CEE; Gestão Industrial</t>
  </si>
  <si>
    <t>Ana Sofia Cipriano Póvoa</t>
  </si>
  <si>
    <t>569161/2011</t>
  </si>
  <si>
    <t>Sara Madeira Esgaio</t>
  </si>
  <si>
    <t>486052/2008</t>
  </si>
  <si>
    <t>Assessoria de Direcção</t>
  </si>
  <si>
    <t>Maria Evangelista Marques Vicente</t>
  </si>
  <si>
    <t>815/98</t>
  </si>
  <si>
    <t>Rui Miguel Pinto Vasquez</t>
  </si>
  <si>
    <t>Rogéria Maria Macedo Martins</t>
  </si>
  <si>
    <t>575765</t>
  </si>
  <si>
    <t>Engenharia Automóvel</t>
  </si>
  <si>
    <t>Arlete Maria Pereira Capitão</t>
  </si>
  <si>
    <t>5185/2004</t>
  </si>
  <si>
    <t>Física-Química</t>
  </si>
  <si>
    <t>Thomas Werner Schittek</t>
  </si>
  <si>
    <t>616136/2014</t>
  </si>
  <si>
    <t>Técnicas Impressão</t>
  </si>
  <si>
    <t>Umbelina dos Santos Barros</t>
  </si>
  <si>
    <t>20322/2001</t>
  </si>
  <si>
    <t>Artes Plásticas</t>
  </si>
  <si>
    <t>Maria João Santos De Ornelas Monteiro</t>
  </si>
  <si>
    <t>49685/2010</t>
  </si>
  <si>
    <t>Química Aplicada</t>
  </si>
  <si>
    <t>Rui Manuel Angelino Miguel</t>
  </si>
  <si>
    <t>554699/2010</t>
  </si>
  <si>
    <t>Design Gráfico e Multimédia</t>
  </si>
  <si>
    <t>Ana Patricia Morgado Anes</t>
  </si>
  <si>
    <t>22834/2004</t>
  </si>
  <si>
    <t>Matemática</t>
  </si>
  <si>
    <t>Luis Filipe Brandão Rodrigues</t>
  </si>
  <si>
    <t>45241</t>
  </si>
  <si>
    <t>Catarina Sofia Nicolau Francisco</t>
  </si>
  <si>
    <t>514603/2009</t>
  </si>
  <si>
    <t>Susana Paula da Silva Azevedo Cardal</t>
  </si>
  <si>
    <t>56499/2005</t>
  </si>
  <si>
    <t>Design de Produto</t>
  </si>
  <si>
    <t>Sandro José Rosa Matias</t>
  </si>
  <si>
    <t>400767/2006</t>
  </si>
  <si>
    <t>José Dias dos Santos</t>
  </si>
  <si>
    <t>8823/99</t>
  </si>
  <si>
    <t>João Alexandre da Silva Neto Azevedo</t>
  </si>
  <si>
    <t>562864/2011</t>
  </si>
  <si>
    <t>Inês Diana Vaz Pereira Rodrigues Salgado</t>
  </si>
  <si>
    <t>5206/98</t>
  </si>
  <si>
    <t>Irinka Lambova Hristova</t>
  </si>
  <si>
    <t>20277/2004</t>
  </si>
  <si>
    <t>Eduardo Jorge Mendes Carvalho</t>
  </si>
  <si>
    <t>405766/2006</t>
  </si>
  <si>
    <t>Tânia Marina Ferreira Guerra</t>
  </si>
  <si>
    <t>30724/2004</t>
  </si>
  <si>
    <t>Tradução / Interpretação</t>
  </si>
  <si>
    <t>Francisco José Da Conceição Verissimo</t>
  </si>
  <si>
    <t>32840/2003</t>
  </si>
  <si>
    <t>Renato Manuel Simões Santos</t>
  </si>
  <si>
    <t>Carla Marlene Moutinho Fernandes Nunes Penas</t>
  </si>
  <si>
    <t>52102/2004</t>
  </si>
  <si>
    <t>Humanidades</t>
  </si>
  <si>
    <t>Cátia Cristina Vicente Mendes</t>
  </si>
  <si>
    <t>23</t>
  </si>
  <si>
    <t>Rui Raimundo Pinheiro Rodrigues</t>
  </si>
  <si>
    <t>503275/2009</t>
  </si>
  <si>
    <t>Patrícia Isabel Coelho Bispo</t>
  </si>
  <si>
    <t>35669/2004</t>
  </si>
  <si>
    <t>Línguas e Literaturas Modernas - Português-Inglês</t>
  </si>
  <si>
    <t>Arlindo Pedrosa Francisco</t>
  </si>
  <si>
    <t>Anabela de Jesus Marcelino Vicente</t>
  </si>
  <si>
    <t>36384/2004</t>
  </si>
  <si>
    <t>Línguas e Literaturas Modernas - Português - Francês</t>
  </si>
  <si>
    <t>Ricardo Joel Nunes Mafra</t>
  </si>
  <si>
    <t>594489/2012</t>
  </si>
  <si>
    <t>Design Mulimédia</t>
  </si>
  <si>
    <t>Jérémy Gomes de Carvalho</t>
  </si>
  <si>
    <t>Luísa Maria Dos Santos Morgado Custódio</t>
  </si>
  <si>
    <t>528028/2010</t>
  </si>
  <si>
    <t>Línguas e Literaturas Modernas - Português - Inglês</t>
  </si>
  <si>
    <t>Deonilde Jordão da Costa</t>
  </si>
  <si>
    <t>483347/2008</t>
  </si>
  <si>
    <t>António Raul Quartin Amorim de Macedo</t>
  </si>
  <si>
    <t>EDF 20144/2001 DL</t>
  </si>
  <si>
    <t>Gestão de Empresas</t>
  </si>
  <si>
    <t>Célia Maria Sacramento Marques</t>
  </si>
  <si>
    <t>Isidro Maria Rebelo</t>
  </si>
  <si>
    <t>2539/98</t>
  </si>
  <si>
    <t>Ana Paula Esteves Arrojado Rodrigues</t>
  </si>
  <si>
    <t>616862</t>
  </si>
  <si>
    <t>Rui Miguel Nunes Sábio</t>
  </si>
  <si>
    <t>606195</t>
  </si>
  <si>
    <t>Isabel Maria Vilaça Tavares de Campos</t>
  </si>
  <si>
    <t>1031/97</t>
  </si>
  <si>
    <t>Carla Luísa Coelho Botas</t>
  </si>
  <si>
    <t>18339/2003</t>
  </si>
  <si>
    <t>Filipa Andreia Simões dos Santos</t>
  </si>
  <si>
    <t>584584/2012</t>
  </si>
  <si>
    <t>Susana Isabel Da Silva E Sousa Rodrigues</t>
  </si>
  <si>
    <t>491576/2009</t>
  </si>
  <si>
    <t>Linguas e Literaturas Modesnas - Inglês e Alemão</t>
  </si>
  <si>
    <t>Pedro Miguel Prista Cerqueira</t>
  </si>
  <si>
    <t>28932/2004</t>
  </si>
  <si>
    <t>Paulo Jorge Alves Gomes Barosa dos Santos</t>
  </si>
  <si>
    <t>618174/2014</t>
  </si>
  <si>
    <t>Turismo e Hotelaria</t>
  </si>
  <si>
    <t>Joana Patrícia Susano</t>
  </si>
  <si>
    <t>571839/2011</t>
  </si>
  <si>
    <t>Daniela Filipa Bernardes Lopes</t>
  </si>
  <si>
    <t>548935/2010</t>
  </si>
  <si>
    <t>Manuel Amaral Guarda</t>
  </si>
  <si>
    <t>Luísa Maria Trindade Paulino</t>
  </si>
  <si>
    <t>Alice Da Fonseca Lopes E Costa</t>
  </si>
  <si>
    <t>12919/99</t>
  </si>
  <si>
    <t>Nuno Alexandre Duarte Ribeiro</t>
  </si>
  <si>
    <t>508063/2009</t>
  </si>
  <si>
    <t>José Custódio de Almeida Oliveira</t>
  </si>
  <si>
    <t>8144/2003</t>
  </si>
  <si>
    <t>Gerardo Queipo de Llano Garrido</t>
  </si>
  <si>
    <t>Sandra Maria Martinho Sequeira de Santo António</t>
  </si>
  <si>
    <t>473242/2008</t>
  </si>
  <si>
    <t>Engenharia Industrial</t>
  </si>
  <si>
    <t>José Carlos dos Anjos Lourenço</t>
  </si>
  <si>
    <t>45255/2005</t>
  </si>
  <si>
    <t>Gestão Turística e Cultural</t>
  </si>
  <si>
    <t>Joana Filipa Rodrigues da Silva</t>
  </si>
  <si>
    <t>600985/2013</t>
  </si>
  <si>
    <t>Dulce Isabel Januário Teófilo da Cruz</t>
  </si>
  <si>
    <t>560439/2011</t>
  </si>
  <si>
    <t>Animação Cultural</t>
  </si>
  <si>
    <t>Fabiana dos Santos Guarda</t>
  </si>
  <si>
    <t>22170/2004</t>
  </si>
  <si>
    <t>Celina Martins Santos</t>
  </si>
  <si>
    <t>27008/2004</t>
  </si>
  <si>
    <t>Línguas Modernas - Português e Espanhol; Ensino de Português e Francês; Mestrado em Ensino de Português e Espanhol</t>
  </si>
  <si>
    <t>Ricardo Cristóvão Mendes Lopes</t>
  </si>
  <si>
    <t>5350/2005</t>
  </si>
  <si>
    <t>Biologia Marinha</t>
  </si>
  <si>
    <t>Carlos Marto</t>
  </si>
  <si>
    <t>611744/2013</t>
  </si>
  <si>
    <t>Línguas e Literaturas Modernas - Estudos Germânicos</t>
  </si>
  <si>
    <t>Michele Roberta de Jesus Ferreira</t>
  </si>
  <si>
    <t>486854/2008</t>
  </si>
  <si>
    <t>Fisioterapia</t>
  </si>
  <si>
    <t>Sara da Luz Martins de Paiva Gouveia</t>
  </si>
  <si>
    <t>45038/2005</t>
  </si>
  <si>
    <t>Arquitetura de Design</t>
  </si>
  <si>
    <t>António Alexandre Bandeira de Almeida</t>
  </si>
  <si>
    <t>447410/2007</t>
  </si>
  <si>
    <t>Vanessa Filipa Baiana da Silva</t>
  </si>
  <si>
    <t>616289/2014</t>
  </si>
  <si>
    <t>João Vasco de Almeida Baltazar Lopes de Castro</t>
  </si>
  <si>
    <t>484890/2008</t>
  </si>
  <si>
    <t>Design Industrial</t>
  </si>
  <si>
    <t>Patrícia De Jesus Severo E Bugalho Carocha</t>
  </si>
  <si>
    <t>29666/2003</t>
  </si>
  <si>
    <t>Linguas e Literaturas Modernas - Português e Francês</t>
  </si>
  <si>
    <t>Ana Filipa da Fonseca de Frias Fernandes</t>
  </si>
  <si>
    <t>13112/2001</t>
  </si>
  <si>
    <t>Biologia</t>
  </si>
  <si>
    <t>Vera Mónica Angélica Jorge</t>
  </si>
  <si>
    <t>400228/2006</t>
  </si>
  <si>
    <t>Biologia e Geologia</t>
  </si>
  <si>
    <t>Pedro Miguel Jesus Ramalhete</t>
  </si>
  <si>
    <t>560095/2011</t>
  </si>
  <si>
    <t>Rafael Augusto Pincante de Carvalho</t>
  </si>
  <si>
    <t>629380/2014</t>
  </si>
  <si>
    <t>Inês Catarina Marques Gaspar</t>
  </si>
  <si>
    <t>548198/2010</t>
  </si>
  <si>
    <t>Engenharia Alimentar</t>
  </si>
  <si>
    <t>Rita Faustino Fialho Barata</t>
  </si>
  <si>
    <t>637831</t>
  </si>
  <si>
    <t>Nelson Dinis Baroseiro Figueiredo</t>
  </si>
  <si>
    <t>440775/2007</t>
  </si>
  <si>
    <t>Paulo Manuel Garcia Ferreira</t>
  </si>
  <si>
    <t>35344/2003</t>
  </si>
  <si>
    <t>micaela</t>
  </si>
  <si>
    <t>Isabel de Jesus Ferreira da Costa</t>
  </si>
  <si>
    <t>32269/202</t>
  </si>
  <si>
    <t>Engenharia de Produção</t>
  </si>
  <si>
    <t>Bruno Feliciano Pereira Gaspar</t>
  </si>
  <si>
    <t>25982/2004</t>
  </si>
  <si>
    <t>Turismo e Mar</t>
  </si>
  <si>
    <t>Ana Célia Moita Pires</t>
  </si>
  <si>
    <t>15443/202</t>
  </si>
  <si>
    <t>Ensino de Português e Inglês</t>
  </si>
  <si>
    <t>Nelson Fernando Duarte Hilário</t>
  </si>
  <si>
    <t>519689/2009</t>
  </si>
  <si>
    <t>Carla Luísa Teodoro Cachola</t>
  </si>
  <si>
    <t>527766/2010</t>
  </si>
  <si>
    <t>Relações Públicas e Publicidade; Gestão de Destinos Turísticos</t>
  </si>
  <si>
    <t>Rita Margarida Machado de Sousa Leão</t>
  </si>
  <si>
    <t>407710/2006</t>
  </si>
  <si>
    <t>Estudos Chineses</t>
  </si>
  <si>
    <t>Raquel Marques dos Reis Pinto</t>
  </si>
  <si>
    <t>501875/2009</t>
  </si>
  <si>
    <t>Manuel Vitor Casimiro Azevedo</t>
  </si>
  <si>
    <t>3970/98</t>
  </si>
  <si>
    <t>Engenharia Eletrotécnica</t>
  </si>
  <si>
    <t>Pedro Jorge Manso Jorge Alves</t>
  </si>
  <si>
    <t>21217/2004</t>
  </si>
  <si>
    <t>Engenharia Biofísica</t>
  </si>
  <si>
    <t>Isa Nélia Calado Rafael</t>
  </si>
  <si>
    <t>418865/2006</t>
  </si>
  <si>
    <t>Línguas e Literaturas Modernas - Português e Francês</t>
  </si>
  <si>
    <t>Carla Sofia da Cruz Gaspar</t>
  </si>
  <si>
    <t>619365/2015</t>
  </si>
  <si>
    <t>Paula Cristina Da Silva Rebelo Clemente</t>
  </si>
  <si>
    <t>427721/2006</t>
  </si>
  <si>
    <t>Maria do Rosário de Fátima Minas Matos Mendes Guerreiro</t>
  </si>
  <si>
    <t>418251/2006</t>
  </si>
  <si>
    <t>António Graça das Neves</t>
  </si>
  <si>
    <t>399380/2006</t>
  </si>
  <si>
    <t>Engenharia de Máquinas</t>
  </si>
  <si>
    <t>Cristiana Filipa Alves Da Silva</t>
  </si>
  <si>
    <t>18050</t>
  </si>
  <si>
    <t>Psicologia Social e das Organizações</t>
  </si>
  <si>
    <t>ANA PAULA</t>
  </si>
  <si>
    <t>Marco Alexandre Tomás Tereso</t>
  </si>
  <si>
    <t>622555/2014</t>
  </si>
  <si>
    <t>Ana Paula Henriques Vazão</t>
  </si>
  <si>
    <t>25443/2004</t>
  </si>
  <si>
    <t>Diana Moreira Ferreira</t>
  </si>
  <si>
    <t>621928/2014</t>
  </si>
  <si>
    <t>Dietética e Nutrição</t>
  </si>
  <si>
    <t xml:space="preserve">Claudio Jorge Sobreira Ferreira </t>
  </si>
  <si>
    <t>Inês Maria Rebelo Gaspar</t>
  </si>
  <si>
    <t>F 633821/2015</t>
  </si>
  <si>
    <t>Sara Alexandra Pedro Faria</t>
  </si>
  <si>
    <t>Fisico-Química</t>
  </si>
  <si>
    <t>Nelson Carlos Mendes Cardoso Perpétua</t>
  </si>
  <si>
    <t>540778/2010</t>
  </si>
  <si>
    <t>Marta Maria De Melo Lopes Neves</t>
  </si>
  <si>
    <t>18605</t>
  </si>
  <si>
    <t>Bioquímica</t>
  </si>
  <si>
    <t>José Carlos Duque Rodrigues Pedro</t>
  </si>
  <si>
    <t>49241/2005</t>
  </si>
  <si>
    <t>Renato César Rocha Costa e Silva</t>
  </si>
  <si>
    <t>1263/99</t>
  </si>
  <si>
    <t>Jorge Miguel Almeida Saraiva</t>
  </si>
  <si>
    <t>10220/2000</t>
  </si>
  <si>
    <t>Engenharia Cerâmica e Vidro</t>
  </si>
  <si>
    <t>John Pollex</t>
  </si>
  <si>
    <t>Diana Tereso Coelho</t>
  </si>
  <si>
    <t>457174/2007</t>
  </si>
  <si>
    <t>Ciências da Educação; Educação Especial</t>
  </si>
  <si>
    <t>Júlio César da Silva Estrelinha</t>
  </si>
  <si>
    <t>486651/2008</t>
  </si>
  <si>
    <t>Gestão de Recursos Humanos</t>
  </si>
  <si>
    <t>Carla Loureiro Lucas</t>
  </si>
  <si>
    <t>36119/2004</t>
  </si>
  <si>
    <t>Maria de Lurdes Lopes Pedro</t>
  </si>
  <si>
    <t>626429/2014</t>
  </si>
  <si>
    <t>Contabilidade e Fiscalidade</t>
  </si>
  <si>
    <t>Pedro Miguel Da Silva Marques</t>
  </si>
  <si>
    <t>498390/2009</t>
  </si>
  <si>
    <t>Engenharia da Segurança do Trabalho</t>
  </si>
  <si>
    <t>Anabela Bouzada dos Reis Capinha Thó Monteiro</t>
  </si>
  <si>
    <t>1894/98</t>
  </si>
  <si>
    <t>Assessoria de Administração</t>
  </si>
  <si>
    <t>Carolina E Vieira Caiado Ferreira Cardoso Gil Nunes</t>
  </si>
  <si>
    <t>576618/2011</t>
  </si>
  <si>
    <t>Marketing</t>
  </si>
  <si>
    <t>Rui Manuel Silveira Araújo</t>
  </si>
  <si>
    <t>13062/2001</t>
  </si>
  <si>
    <t>Sara Margarida Fernandes Luís</t>
  </si>
  <si>
    <t>626869/2014</t>
  </si>
  <si>
    <t>Psicologia e Gerontologia</t>
  </si>
  <si>
    <t>Rita Franco Da Silva Lemos</t>
  </si>
  <si>
    <t>EDF 17712/2000 DL</t>
  </si>
  <si>
    <t>José Alberto Gonçalves De Almeida Cardoso</t>
  </si>
  <si>
    <t>27734/2004</t>
  </si>
  <si>
    <t>Francisco José Cidade Rosado</t>
  </si>
  <si>
    <t>8498/2003</t>
  </si>
  <si>
    <t>João Mata Fernandes</t>
  </si>
  <si>
    <t>9714/2000</t>
  </si>
  <si>
    <t>Engenharia do Papel</t>
  </si>
  <si>
    <t>João Miguel da Nazaré Diniz</t>
  </si>
  <si>
    <t>816/98</t>
  </si>
  <si>
    <t>Geologia</t>
  </si>
  <si>
    <t>António Pedro Caetano Pacheco</t>
  </si>
  <si>
    <t>9682/98</t>
  </si>
  <si>
    <t>Liliana Sofia Duarte Marques</t>
  </si>
  <si>
    <t>434462/2007</t>
  </si>
  <si>
    <t>Élio José Sacadura Costa</t>
  </si>
  <si>
    <t>655311/2017</t>
  </si>
  <si>
    <t>Telmo José Camacho Pereira</t>
  </si>
  <si>
    <t>608873/2013</t>
  </si>
  <si>
    <t>António Jorge D Almeida Abegão</t>
  </si>
  <si>
    <t>6518/98</t>
  </si>
  <si>
    <t>Gestão Empresas</t>
  </si>
  <si>
    <t>José Manuel Barreto dos Santos</t>
  </si>
  <si>
    <t>37297/2004</t>
  </si>
  <si>
    <t>Ricardo José Rodrigues de Carvalho</t>
  </si>
  <si>
    <t>439414/2007</t>
  </si>
  <si>
    <t>Custódia Maria Teodoro Horta</t>
  </si>
  <si>
    <t>609068/2013</t>
  </si>
  <si>
    <t>Luis Alberto Dias da Paz</t>
  </si>
  <si>
    <t>502038/2009</t>
  </si>
  <si>
    <t>Pedro Rui Barbeiro Alves</t>
  </si>
  <si>
    <t>Susana Cristina Ramalho dos Santos</t>
  </si>
  <si>
    <t>8889/2001</t>
  </si>
  <si>
    <t>Eliana Filipa Frutuoso Lagrante</t>
  </si>
  <si>
    <t>624284/2014</t>
  </si>
  <si>
    <t>Paula Cristina Fernandes Marques</t>
  </si>
  <si>
    <t>Vânia Sofia Agostinho Silva</t>
  </si>
  <si>
    <t>599959/2012</t>
  </si>
  <si>
    <t>Elisabete Gil de Carvalho</t>
  </si>
  <si>
    <t>27322/2004</t>
  </si>
  <si>
    <t>Ana Catarina Marques dos Santos Conceição</t>
  </si>
  <si>
    <t>643457/2016</t>
  </si>
  <si>
    <t>Maria Da Graça Rito De Almeida</t>
  </si>
  <si>
    <t>607932/2013</t>
  </si>
  <si>
    <t>Sandra Maria Nunes Ferreira Campos</t>
  </si>
  <si>
    <t>622756/2014</t>
  </si>
  <si>
    <t>Sandra Margarida da Silva David</t>
  </si>
  <si>
    <t>17776/2003</t>
  </si>
  <si>
    <t>Língua e Literaturas Modernas - Português - Francês</t>
  </si>
  <si>
    <t>Joaquim Ferreira Esteves</t>
  </si>
  <si>
    <t>Marta Daniela Santos Raimundo</t>
  </si>
  <si>
    <t>581852/2012</t>
  </si>
  <si>
    <t>Javier Ramos Arana</t>
  </si>
  <si>
    <t>Ciências da Comunicação</t>
  </si>
  <si>
    <t>Rita Lúcio Baptista</t>
  </si>
  <si>
    <t>629935/2015</t>
  </si>
  <si>
    <t>Relações Públicas e Publicidade</t>
  </si>
  <si>
    <t>Teresa Isabel Cardoso valada</t>
  </si>
  <si>
    <t>Química Industrial</t>
  </si>
  <si>
    <t>Maria Gabriela De Sousa Matos Carvalho Ferreira Brito</t>
  </si>
  <si>
    <t>Educação de Infância; Animação Sócio-Cultural</t>
  </si>
  <si>
    <t>Carla Sofia De Carvalho Marques Dos Ramos</t>
  </si>
  <si>
    <t>44404/2005</t>
  </si>
  <si>
    <t>Maria José De Almeida Guedes</t>
  </si>
  <si>
    <t>607800/2013</t>
  </si>
  <si>
    <t>Miguel Virgílio Pereira Ferreira</t>
  </si>
  <si>
    <t>458598/2007</t>
  </si>
  <si>
    <t>Vera Filipa Domingos Loureiro</t>
  </si>
  <si>
    <t>486042/2008</t>
  </si>
  <si>
    <t>Denise Paula Pinto Ribeiro</t>
  </si>
  <si>
    <t>2161/98</t>
  </si>
  <si>
    <t>Juan Antonio Portela Hernando</t>
  </si>
  <si>
    <t>Cerâmica Artistica</t>
  </si>
  <si>
    <t>Rui Pedro Duarte de Almeida</t>
  </si>
  <si>
    <t>531665/2010</t>
  </si>
  <si>
    <t>Engenharia da Produção e Gestão Industrial</t>
  </si>
  <si>
    <t>Sónia da Silva Santos</t>
  </si>
  <si>
    <t>16732/2003</t>
  </si>
  <si>
    <t>Ensino Informática</t>
  </si>
  <si>
    <t>Margarida Carriço Lopez Rodrigues</t>
  </si>
  <si>
    <t>45267/2005</t>
  </si>
  <si>
    <t>Ensino Básico</t>
  </si>
  <si>
    <t>Márcia Susana Nazaré Figueiredo</t>
  </si>
  <si>
    <t>406228/2006</t>
  </si>
  <si>
    <t>Língua Portuguesa e Línguas Estrangeiras Aplicadas</t>
  </si>
  <si>
    <t>TERESA IMA</t>
  </si>
  <si>
    <t>Alexandra Isabel Caetano Noronha</t>
  </si>
  <si>
    <t>439281/2007</t>
  </si>
  <si>
    <t>Magali Maruciana Ferreira Marinho</t>
  </si>
  <si>
    <t>Sandra Cristina Trindade Oliveira</t>
  </si>
  <si>
    <t>511843/2009</t>
  </si>
  <si>
    <t>Ana João De Oliveira Coelho Moura Lourenço</t>
  </si>
  <si>
    <t>441216/2007</t>
  </si>
  <si>
    <t>Terapia da Fala</t>
  </si>
  <si>
    <t>Carlos Manuel Freitas Carqueja</t>
  </si>
  <si>
    <t>Fernanda Luisa Gaspar Marques Pinto</t>
  </si>
  <si>
    <t>68/98</t>
  </si>
  <si>
    <t>Licenciatura em Línguas e Literaturas Modernas - Português - Francês</t>
  </si>
  <si>
    <t>Catarina Eugénia Bento Ferreira</t>
  </si>
  <si>
    <t>400241/2006</t>
  </si>
  <si>
    <t>Maria de Fátima Sereno Jerónimo Caiado</t>
  </si>
  <si>
    <t>400731/2006</t>
  </si>
  <si>
    <t>Diogo Alexandre Gomes Pinto Cavalheiro</t>
  </si>
  <si>
    <t>622910/2015</t>
  </si>
  <si>
    <t>Maria Adelaide de Carvalho e Moita</t>
  </si>
  <si>
    <t>577027/2011</t>
  </si>
  <si>
    <t>Ana Paula Rodrigues Malojo</t>
  </si>
  <si>
    <t>Ana Carina Filipe Santos</t>
  </si>
  <si>
    <t>486561/2008</t>
  </si>
  <si>
    <t>Vanessa Silvério Copa</t>
  </si>
  <si>
    <t>582546/2012</t>
  </si>
  <si>
    <t>Miguel Angel Molet Chicot</t>
  </si>
  <si>
    <t>Vanda Filipa da Conceição Sousa</t>
  </si>
  <si>
    <t>F6224422/2014</t>
  </si>
  <si>
    <t>Joana Ferreira Da Costa</t>
  </si>
  <si>
    <t>483605/2008</t>
  </si>
  <si>
    <t>António José Almeida Mota</t>
  </si>
  <si>
    <t>588428/2012</t>
  </si>
  <si>
    <t>Cláudia Ribeiro Baptista</t>
  </si>
  <si>
    <t>611528/2013</t>
  </si>
  <si>
    <t>Maria Vicente</t>
  </si>
  <si>
    <t>Dina Maria Pereira Moutinho</t>
  </si>
  <si>
    <t>26726/2004</t>
  </si>
  <si>
    <t>Paula Cristina Violante</t>
  </si>
  <si>
    <t>2500-234</t>
  </si>
  <si>
    <t>Ricardo Miguel Cabaço Murtinho</t>
  </si>
  <si>
    <t>599614/2012</t>
  </si>
  <si>
    <t>Ricardo Jorge Oliveira Marques dos Santos Cavadas</t>
  </si>
  <si>
    <t>20022/2003</t>
  </si>
  <si>
    <t>Célia Margarida de Sousa Vala</t>
  </si>
  <si>
    <t>471108/2008</t>
  </si>
  <si>
    <t>Sónia Alexandra de Jesus Guarda Monteiro</t>
  </si>
  <si>
    <t>29133/2004</t>
  </si>
  <si>
    <t>Catarina Isabel Duarte Lopes</t>
  </si>
  <si>
    <t>418600/2006</t>
  </si>
  <si>
    <t>André Gomes Solipa</t>
  </si>
  <si>
    <t>458868/2007</t>
  </si>
  <si>
    <t>Loide Raquel Lopes Ascenso</t>
  </si>
  <si>
    <t>506028/2009</t>
  </si>
  <si>
    <t>José Luis Nunes Coelho</t>
  </si>
  <si>
    <t>562102/2011</t>
  </si>
  <si>
    <t>Tânia Manuela Fernandes Gonçalves</t>
  </si>
  <si>
    <t>29167/2003</t>
  </si>
  <si>
    <t>Núria Baptista Costa</t>
  </si>
  <si>
    <t>629039/2014</t>
  </si>
  <si>
    <t>Horácio Marciano Marques Maçãs</t>
  </si>
  <si>
    <t>Sónia Do Carmo Palma Rios Peralta</t>
  </si>
  <si>
    <t>39464/2004</t>
  </si>
  <si>
    <t>Maria Manuela Partidário da Silva Silveira</t>
  </si>
  <si>
    <t>501/97</t>
  </si>
  <si>
    <t>Silvia Maria Fernandes Madeira Henrion</t>
  </si>
  <si>
    <t>423943/2006</t>
  </si>
  <si>
    <t>Arminda Maria Balão Cartas Bandeira</t>
  </si>
  <si>
    <t>2495/98</t>
  </si>
  <si>
    <t>Joana Rita Venceslau Marques</t>
  </si>
  <si>
    <t>520402/2009</t>
  </si>
  <si>
    <t>Inês Isabel Campaniço Ferreira</t>
  </si>
  <si>
    <t>24771/2004</t>
  </si>
  <si>
    <t>Maria Manuela Francisco De Barros</t>
  </si>
  <si>
    <t>650407/2016</t>
  </si>
  <si>
    <t>Vanessa Policarpo Ribeiro</t>
  </si>
  <si>
    <t>José Miguel Cardoso Coelho</t>
  </si>
  <si>
    <t>580468/2011</t>
  </si>
  <si>
    <t>António Américo Frade Mendes</t>
  </si>
  <si>
    <t>Esmeralda Maria Fernandes Madeira Pena</t>
  </si>
  <si>
    <t>423939/2006</t>
  </si>
  <si>
    <t>Sofia do Rosário da Costa</t>
  </si>
  <si>
    <t>499181/2009</t>
  </si>
  <si>
    <t>Paulo Alexandre Machado Marques</t>
  </si>
  <si>
    <t>7754/98</t>
  </si>
  <si>
    <t>João Francisco Martins Ferreira</t>
  </si>
  <si>
    <t>466335/2008</t>
  </si>
  <si>
    <t>Aníbal Manuel Silva</t>
  </si>
  <si>
    <t>16307/202</t>
  </si>
  <si>
    <t>Dora Alexandra Nunes Severino</t>
  </si>
  <si>
    <t>26726</t>
  </si>
  <si>
    <t>Jaquelina Vitorino Francisco</t>
  </si>
  <si>
    <t>399476/2006</t>
  </si>
  <si>
    <t>Eduardo Marques De Moura Castro E Silva</t>
  </si>
  <si>
    <t>661440/2017</t>
  </si>
  <si>
    <t>Sérgio José Bernardes Paciência</t>
  </si>
  <si>
    <t>408137/2006</t>
  </si>
  <si>
    <t>Pedro Manuel Moreira de Sousa Santos</t>
  </si>
  <si>
    <t>459188/2007</t>
  </si>
  <si>
    <t>Filipa Alexandra Rodrigues da Silva Gil</t>
  </si>
  <si>
    <t>42356/2004</t>
  </si>
  <si>
    <t>António José Machado Moldes</t>
  </si>
  <si>
    <t>550853/2010</t>
  </si>
  <si>
    <t>António Duarte Cardoso Baptista</t>
  </si>
  <si>
    <t>599538/2012</t>
  </si>
  <si>
    <t>Ana Catarina de Jesus dos Santos Botas Lopes</t>
  </si>
  <si>
    <t>580416/2011</t>
  </si>
  <si>
    <t>José Luís Gomes de Amaral Ferreira</t>
  </si>
  <si>
    <t>637308</t>
  </si>
  <si>
    <t>Marta Cristina Brito Martins de Carvalho</t>
  </si>
  <si>
    <t>Jorge Miguel Ribeiro Romão</t>
  </si>
  <si>
    <t>666813/2018</t>
  </si>
  <si>
    <t>Ana Filipa Lopes Alves</t>
  </si>
  <si>
    <t>659402/2017</t>
  </si>
  <si>
    <t>António Carlos Correia Gonçalves</t>
  </si>
  <si>
    <t>Melina Monteiro Mira Domingues</t>
  </si>
  <si>
    <t>15572/2002</t>
  </si>
  <si>
    <t>Mónica Filipa Serra Ricardo Coelho Gaspari</t>
  </si>
  <si>
    <t>44986/2005</t>
  </si>
  <si>
    <t>Sara Margarida Felizardo Lopes Franco</t>
  </si>
  <si>
    <t>537476/2010</t>
  </si>
  <si>
    <t>Paulo Jorge Correia De Carvalho</t>
  </si>
  <si>
    <t>Carlos António Pinheiro Francisco E Silva</t>
  </si>
  <si>
    <t>4375/98</t>
  </si>
  <si>
    <t>Noel Alexandre Lopes Francisco</t>
  </si>
  <si>
    <t>Nuno Gonçalo Abreu Gomes</t>
  </si>
  <si>
    <t>472110/2008</t>
  </si>
  <si>
    <t>José Manuel de Almeida Castanheira</t>
  </si>
  <si>
    <t>Mariana Serra Ricardo Coelho</t>
  </si>
  <si>
    <t>560858/2011</t>
  </si>
  <si>
    <t>João Filipe de Mendonça Estanqueiro e Andrade</t>
  </si>
  <si>
    <t>20067/2004</t>
  </si>
  <si>
    <t>Susana Cristina Soares Ribeiro</t>
  </si>
  <si>
    <t>672228/2018</t>
  </si>
  <si>
    <t>Guiomar Manuel Massa Medeiros</t>
  </si>
  <si>
    <t>631632/2015</t>
  </si>
  <si>
    <t>Tomás Alexandre Patriarca</t>
  </si>
  <si>
    <t>9591/1999</t>
  </si>
  <si>
    <t>Carlos Gaspar De Magalhães Coutinho</t>
  </si>
  <si>
    <t>600441/2013</t>
  </si>
  <si>
    <t>Inês Dias Plácido</t>
  </si>
  <si>
    <t>406130/2006</t>
  </si>
  <si>
    <t>Carla Susana Mendonça Queiroz Norberto</t>
  </si>
  <si>
    <t>541292/2010</t>
  </si>
  <si>
    <t>Eduarda Manuela Antunes Fernandes</t>
  </si>
  <si>
    <t>34924/2002</t>
  </si>
  <si>
    <t>Nuno Miguel Pires Barros</t>
  </si>
  <si>
    <t>540039/2010</t>
  </si>
  <si>
    <t>Francisco Valderrey Sanchez</t>
  </si>
  <si>
    <t>673103/2018</t>
  </si>
  <si>
    <t>Carla Sofia Lopes Sábio</t>
  </si>
  <si>
    <t>485794/2008</t>
  </si>
  <si>
    <t>Carla Susana Paulo Rebelo</t>
  </si>
  <si>
    <t>50162/2005</t>
  </si>
  <si>
    <t>Catarina Alexandra Esteves Rodrigues Quina Ribeiro</t>
  </si>
  <si>
    <t>39366/2004</t>
  </si>
  <si>
    <t>João Manuel Cavaleiro de Sousa Rocha da Rosa</t>
  </si>
  <si>
    <t>10719/99</t>
  </si>
  <si>
    <t>Nuno Miguel Faria Neto</t>
  </si>
  <si>
    <t>639053/2016</t>
  </si>
  <si>
    <t>Patrícia Alexandra de Sousa Moreira</t>
  </si>
  <si>
    <t>17516/2003</t>
  </si>
  <si>
    <t>Nuno Marques do Rêgo de Matos Valente</t>
  </si>
  <si>
    <t>Ana Marta Fernandes De Almeida Pereira</t>
  </si>
  <si>
    <t>565083/2011</t>
  </si>
  <si>
    <t>Andreia Tatiana Giga Henriques</t>
  </si>
  <si>
    <t>492362/2009</t>
  </si>
  <si>
    <t>Sílvia Mendes Sousa Leitão Coimbra</t>
  </si>
  <si>
    <t>Sílvio Levi Pinheiro Duque</t>
  </si>
  <si>
    <t>654018/2017</t>
  </si>
  <si>
    <t>Dário António Pedro Ferreira</t>
  </si>
  <si>
    <t>529992/2010</t>
  </si>
  <si>
    <t>Humberto José Gonçalves Martins</t>
  </si>
  <si>
    <t>7844/2003</t>
  </si>
  <si>
    <t>Maria de Fátima Carvalho Antunes Duque</t>
  </si>
  <si>
    <t>40039/2004</t>
  </si>
  <si>
    <t>Ana Paula Da Silva Dos Santos</t>
  </si>
  <si>
    <t>8388//2000</t>
  </si>
  <si>
    <t>Célia Maria Carvalheiro Da Silva</t>
  </si>
  <si>
    <t>2454/98</t>
  </si>
  <si>
    <t>Marta Joana Gomes De Campos Andrada De Aguiar</t>
  </si>
  <si>
    <t>460033/2007</t>
  </si>
  <si>
    <t>Ricardo Florentino Peça Neves Braga</t>
  </si>
  <si>
    <t>655017/2017</t>
  </si>
  <si>
    <t>Nelson José Santos Barreiro</t>
  </si>
  <si>
    <t>47350/2005</t>
  </si>
  <si>
    <t>Ricardo Jorge Rodrigues Marques</t>
  </si>
  <si>
    <t>28819/2003</t>
  </si>
  <si>
    <t>Teresa Mariana Fialho Sampaio</t>
  </si>
  <si>
    <t>663356/2018</t>
  </si>
  <si>
    <t>Daniela Fradinho Ribeiro dos Santos</t>
  </si>
  <si>
    <t>Ricardo Manuel Azevedo Martins</t>
  </si>
  <si>
    <t>519692/2009</t>
  </si>
  <si>
    <t>Hugo Gualter de Almeida Sacadura Amado</t>
  </si>
  <si>
    <t>Susana Maria Rodrigues Neto Frutuoso</t>
  </si>
  <si>
    <t>Filipe Luís Oliveira</t>
  </si>
  <si>
    <t>630750/2015</t>
  </si>
  <si>
    <t>Raimundo Pereira Felismina</t>
  </si>
  <si>
    <t>642280/2016</t>
  </si>
  <si>
    <t>Ricardo José Henriques Daniel</t>
  </si>
  <si>
    <t>22547/2001</t>
  </si>
  <si>
    <t>Teste Humansoft Formador</t>
  </si>
  <si>
    <t>Fernanda Maria dos Santos Gomes Beja Afonso</t>
  </si>
  <si>
    <t>126/97</t>
  </si>
  <si>
    <t>Carlos Vítor Torres De Moura</t>
  </si>
  <si>
    <t>684114</t>
  </si>
  <si>
    <t>João Pedro da Silva Jotta Serra Barão</t>
  </si>
  <si>
    <t>617826/2014</t>
  </si>
  <si>
    <t>Jéssica Melissa Monteiro Marques</t>
  </si>
  <si>
    <t xml:space="preserve">Maria Rosa de Jesus Paulo Silva </t>
  </si>
  <si>
    <t xml:space="preserve">Liliane Furlan Ferreira </t>
  </si>
  <si>
    <t>00000</t>
  </si>
  <si>
    <t xml:space="preserve">Eduardo Emanuel Frois Clemente </t>
  </si>
  <si>
    <t>João Manuel Reis De Matos Tomé</t>
  </si>
  <si>
    <t>Jorge Manuel Perry da Câmara da Silva Augusto</t>
  </si>
  <si>
    <t>646411/2016</t>
  </si>
  <si>
    <t>João Eduardo Ferreira Ribeiro Rodrigues</t>
  </si>
  <si>
    <t>13056/99</t>
  </si>
  <si>
    <t>Pedro Tiago Rodrigues Santos</t>
  </si>
  <si>
    <t>667916/2018</t>
  </si>
  <si>
    <t>Sónia Maria Nunes Varela</t>
  </si>
  <si>
    <t>475358/2008</t>
  </si>
  <si>
    <t>Carolina Micaela Costeira e Pereira</t>
  </si>
  <si>
    <t>32714/2003</t>
  </si>
  <si>
    <t>Ricardo Abel Pimenta Castro</t>
  </si>
  <si>
    <t>503040/2009</t>
  </si>
  <si>
    <t>Margarida Maria Loureiro Lopes Mateus</t>
  </si>
  <si>
    <t>4530/98</t>
  </si>
  <si>
    <t>Rita Maria Bessa Lopes de Torres Fevereiro</t>
  </si>
  <si>
    <t>511942/2009</t>
  </si>
  <si>
    <t>Maria De Sá Teixeira Magalhães Coutinho</t>
  </si>
  <si>
    <t>600656/2013</t>
  </si>
  <si>
    <t>Samuel Filipe Dos Santos Reis</t>
  </si>
  <si>
    <t>685318/2019</t>
  </si>
  <si>
    <t>Licinia de Fátima Graciano Pinguinha</t>
  </si>
  <si>
    <t>699742/2020</t>
  </si>
  <si>
    <t>Miguel Nuno Lourenço Flaviano da Silva</t>
  </si>
  <si>
    <t>41341/2004</t>
  </si>
  <si>
    <t>António Manuel Afonso Ramos Guerra</t>
  </si>
  <si>
    <t>7404/98</t>
  </si>
  <si>
    <t>Ana Catarina Custódio Realinho</t>
  </si>
  <si>
    <t>702523/2020</t>
  </si>
  <si>
    <t>Fátima da Conceição Ramos Martins</t>
  </si>
  <si>
    <t>26650/2004</t>
  </si>
  <si>
    <t>Filipa Nunes Betes Lopes</t>
  </si>
  <si>
    <t>702888/2020</t>
  </si>
  <si>
    <t>Filipe Simões De Aguiar</t>
  </si>
  <si>
    <t>624071/2014</t>
  </si>
  <si>
    <t>Nuno Miguel Infante De Sousa</t>
  </si>
  <si>
    <t>Profissionalização</t>
  </si>
  <si>
    <t>Alberto Joaquim Marques Pereira</t>
  </si>
  <si>
    <t>45772/2005</t>
  </si>
  <si>
    <t>Carla Maria Cordeiro Henriques</t>
  </si>
  <si>
    <t>489374/2009</t>
  </si>
  <si>
    <t>Rui Neves Carreira</t>
  </si>
  <si>
    <t>Filipa Da Conceição Ferreira Dias</t>
  </si>
  <si>
    <t>Helena Isabel Ventura Furtado</t>
  </si>
  <si>
    <t>22101/2001</t>
  </si>
  <si>
    <t>Luciano Ferreira Dias</t>
  </si>
  <si>
    <t>466903</t>
  </si>
  <si>
    <t>Inês Catarino de Sousa</t>
  </si>
  <si>
    <t>620956</t>
  </si>
  <si>
    <t>João Miguel Figueiredo Custódio E Silva</t>
  </si>
  <si>
    <t>611719</t>
  </si>
  <si>
    <t>Maria Fernanda Moreira Alves</t>
  </si>
  <si>
    <t>2578</t>
  </si>
  <si>
    <t>Marco Aurélio Carreira César</t>
  </si>
  <si>
    <t>Rute Baptista Coelho</t>
  </si>
  <si>
    <t>708354/2021</t>
  </si>
  <si>
    <t>Ana Maria Valente Rebelo Pinto Da Luz Gomes</t>
  </si>
  <si>
    <t>619789</t>
  </si>
  <si>
    <t>André Cravo Nunes da Silva Granja</t>
  </si>
  <si>
    <t>711659/2021</t>
  </si>
  <si>
    <t>Vanessa Sofia Dias Pereira Vieira</t>
  </si>
  <si>
    <t>Monica Patricia Dorantes Correa</t>
  </si>
  <si>
    <t>627193/2014</t>
  </si>
  <si>
    <t>Clara Fernanda Nunes Gavino</t>
  </si>
  <si>
    <t>514624</t>
  </si>
  <si>
    <t>699262</t>
  </si>
  <si>
    <t>713805</t>
  </si>
  <si>
    <t>susana santos</t>
  </si>
  <si>
    <t>Sofia Margarida Nogueira Rosa</t>
  </si>
  <si>
    <t>Chantal Madeira Ribeiro Machado</t>
  </si>
  <si>
    <t>515252</t>
  </si>
  <si>
    <t>Neuza Filipa Constantino Mêda</t>
  </si>
  <si>
    <t>465536</t>
  </si>
  <si>
    <t>Carla Susana Rodrigues Lopes</t>
  </si>
  <si>
    <t>560447</t>
  </si>
  <si>
    <t>Ângela Maria Soares Dos Santos</t>
  </si>
  <si>
    <t>510881</t>
  </si>
  <si>
    <t>Márcia de Araújo Pereira</t>
  </si>
  <si>
    <t>625501</t>
  </si>
  <si>
    <t>Maria Judite de Oliveira Fortuna</t>
  </si>
  <si>
    <t>4184/2010</t>
  </si>
  <si>
    <t>António José Oliveira Matias Lau</t>
  </si>
  <si>
    <t>499988</t>
  </si>
  <si>
    <t>Nuno Miguel Canteiro de Sousa</t>
  </si>
  <si>
    <t>5337</t>
  </si>
  <si>
    <t>Sérgio Manuel Malpique de Paiva Lopes</t>
  </si>
  <si>
    <t>Selma Patrícia da Silva Alexandre</t>
  </si>
  <si>
    <t>Vera Mónica Mendes Monteiro</t>
  </si>
  <si>
    <t>512947</t>
  </si>
  <si>
    <t>Aline da Silva Mendes</t>
  </si>
  <si>
    <t>Professora Gr600</t>
  </si>
  <si>
    <t>João Pedro Ribeiro Figueiredo</t>
  </si>
  <si>
    <t>720781</t>
  </si>
  <si>
    <t>Débora Betina Ratke Bastos</t>
  </si>
  <si>
    <t>639769</t>
  </si>
  <si>
    <t>João Manuel Ferreira Tereso</t>
  </si>
  <si>
    <t>Gonçalo Pedro de Sousa Vieira da Silva</t>
  </si>
  <si>
    <t>Vanessa Liliana De Almeida Sobreiro</t>
  </si>
  <si>
    <t>ANA BEATRIZ MONTENEGRO DA SILVA E CUNHA</t>
  </si>
  <si>
    <t>702218</t>
  </si>
  <si>
    <t>Rita Rufino Mendes</t>
  </si>
  <si>
    <t>419236</t>
  </si>
  <si>
    <t>César Filipe Santos Parreira</t>
  </si>
  <si>
    <t>703249</t>
  </si>
  <si>
    <t>António Gabriel Gomes Saramago Ramos</t>
  </si>
  <si>
    <t>722357</t>
  </si>
  <si>
    <t>Vítor Emanuel Cardeal Santos Timpeira</t>
  </si>
  <si>
    <t>Maria João dos Santos Fernandes</t>
  </si>
  <si>
    <t>425145</t>
  </si>
  <si>
    <t>Magda Margarida Ferreira Leal</t>
  </si>
  <si>
    <t>14958</t>
  </si>
  <si>
    <t>Dora Isabel Pinheiro De Jesus</t>
  </si>
  <si>
    <t>14253</t>
  </si>
  <si>
    <t>Código do Formador</t>
  </si>
  <si>
    <t>Nome Completo do Formador</t>
  </si>
  <si>
    <t>Username da Última Modificação</t>
  </si>
  <si>
    <t>Data da Última Modificação</t>
  </si>
  <si>
    <t>joaogrilo</t>
  </si>
  <si>
    <t>Código HT</t>
  </si>
  <si>
    <t>2.1 - Cumprimento dos objetivos</t>
  </si>
  <si>
    <t>Itens de Avaliação</t>
  </si>
  <si>
    <t>Email enviado pelo Cencal</t>
  </si>
  <si>
    <t>Cód. Ação</t>
  </si>
  <si>
    <t>Desig. Ação</t>
  </si>
  <si>
    <t>Cód. UFCD</t>
  </si>
  <si>
    <t>Desig. UFCD</t>
  </si>
  <si>
    <t>Username de registo</t>
  </si>
  <si>
    <t>Data de registo</t>
  </si>
  <si>
    <t>Referência da Ação</t>
  </si>
  <si>
    <t>Conceção, Desenvolvimento e Organização da Ação</t>
  </si>
  <si>
    <t>Nome Completo</t>
  </si>
  <si>
    <t>Avaliação Geral + Comentário + Como Tomou Conhecimento</t>
  </si>
  <si>
    <t>Conhecimento da ação</t>
  </si>
  <si>
    <t>Designação da UFCD (Opcional)</t>
  </si>
  <si>
    <t>Tabela de Avaliação de Formadores - Presencial</t>
  </si>
  <si>
    <t>Tabela de Avaliação Geral da Ação - Presencial</t>
  </si>
  <si>
    <t/>
  </si>
  <si>
    <t>Escala de Avaliação:</t>
  </si>
  <si>
    <t>Critérios de Avaliação</t>
  </si>
  <si>
    <t>Média</t>
  </si>
  <si>
    <t>Frequência Relativa</t>
  </si>
  <si>
    <t>2.2 - Desenvolvimento do programa</t>
  </si>
  <si>
    <t>2.3 - Conhecimentos adquiridos</t>
  </si>
  <si>
    <t>Formadores</t>
  </si>
  <si>
    <t>Média de 4.1 A 4.5</t>
  </si>
  <si>
    <t>Média de 2.1 a 2.3</t>
  </si>
  <si>
    <t>Média de 3.1 a 3.4</t>
  </si>
  <si>
    <t>Nº Inquéritos Respondidos:</t>
  </si>
  <si>
    <t>Código da UFCD</t>
  </si>
  <si>
    <t>Designação da UFCD</t>
  </si>
  <si>
    <t>Nº de Formadores:</t>
  </si>
  <si>
    <t xml:space="preserve">1.1 - Utilidade dos temas tratados </t>
  </si>
  <si>
    <t>2.1</t>
  </si>
  <si>
    <t>2.2</t>
  </si>
  <si>
    <t>1.1</t>
  </si>
  <si>
    <t>2.3</t>
  </si>
  <si>
    <t>3.1</t>
  </si>
  <si>
    <t>3.2</t>
  </si>
  <si>
    <t>3.3.1</t>
  </si>
  <si>
    <t>3.3.2</t>
  </si>
  <si>
    <t>3.3.3</t>
  </si>
  <si>
    <t>3.3.4</t>
  </si>
  <si>
    <t>3.4</t>
  </si>
  <si>
    <t>5.1</t>
  </si>
  <si>
    <t>Gráfico Avaliação da Ação/UFCD</t>
  </si>
  <si>
    <t>Médias CENCAL - FP</t>
  </si>
  <si>
    <t>Gráfico Avaliação dos Formadores</t>
  </si>
  <si>
    <t>4.1</t>
  </si>
  <si>
    <t>4.2</t>
  </si>
  <si>
    <t>4.3</t>
  </si>
  <si>
    <t>4.4</t>
  </si>
  <si>
    <t>4.5</t>
  </si>
  <si>
    <t>Média Formação Presencial</t>
  </si>
  <si>
    <t>Comentários e Sugestões:</t>
  </si>
  <si>
    <t>Informação para Gráficos de como tomou conhecimento da ação</t>
  </si>
  <si>
    <t>NS/NR</t>
  </si>
  <si>
    <t>Opções</t>
  </si>
  <si>
    <t>Nº Resp.</t>
  </si>
  <si>
    <t>%</t>
  </si>
  <si>
    <t>% F. P.</t>
  </si>
  <si>
    <t>Nº Resp Total F. P.</t>
  </si>
  <si>
    <t>Nº de respostas da ação:</t>
  </si>
  <si>
    <t>Nº total de respostas F. P. :</t>
  </si>
  <si>
    <t>Valores da ação e totais da Formação Presencial</t>
  </si>
  <si>
    <t>Nome do Formador</t>
  </si>
  <si>
    <t>Avaliação Média do Formador:</t>
  </si>
  <si>
    <t>Média 4.1</t>
  </si>
  <si>
    <t>Média 4.2</t>
  </si>
  <si>
    <t>Média 4.3</t>
  </si>
  <si>
    <t>Média 4.5</t>
  </si>
  <si>
    <t>Média 4.4</t>
  </si>
  <si>
    <t>Informação para gráfico de resumo das avaliações de Formador</t>
  </si>
  <si>
    <t>Nº de Total de Ações Avaliadas:</t>
  </si>
  <si>
    <t>Comentários associados às ações em que o formador foi avaliado:</t>
  </si>
  <si>
    <t>Média Global</t>
  </si>
  <si>
    <t>4.4 - Relação Formador e Formando</t>
  </si>
  <si>
    <t>Tabela Formadores</t>
  </si>
  <si>
    <t>Centro de Emp./Juv./UNIVA</t>
  </si>
  <si>
    <t>Lista de ações em que o formador foi avaliado:
Cód. Ação - Cód. UFCD - Avaliação Média</t>
  </si>
  <si>
    <t>Línguas e Literaturas Modernas - variantes: Estudos Franceses e Ingleses; Estudos Ingleses e Alemães; Estudos Portugueses e Ingleses</t>
  </si>
  <si>
    <t>2500-568</t>
  </si>
  <si>
    <t>Elisabete Costa Pequeno</t>
  </si>
  <si>
    <t>516708</t>
  </si>
  <si>
    <t>Verónica Fernandes Raposo</t>
  </si>
  <si>
    <t>725934</t>
  </si>
  <si>
    <t>Línguas e Literaturas Modernas - variante Estudos Portugueses e Alemães; Línguas e Literaturas Modernas variante de Estudos Portugueses e Espanhóis</t>
  </si>
  <si>
    <t>Marta Alexandra Da Silva Costa</t>
  </si>
  <si>
    <t>Vítor Rui Franco Agostinho</t>
  </si>
  <si>
    <t>684181/2019</t>
  </si>
  <si>
    <t>Pedro Jorge Ferreira De Oliveira</t>
  </si>
  <si>
    <t>Maria Adriana Oliveira Da Conceição</t>
  </si>
  <si>
    <t>5947</t>
  </si>
  <si>
    <t>Liliana Pereira De Sousa</t>
  </si>
  <si>
    <t>Kerstin Thomas</t>
  </si>
  <si>
    <t>627750</t>
  </si>
  <si>
    <t>Sílvia Margarida Martins Tereso</t>
  </si>
  <si>
    <t>544638</t>
  </si>
  <si>
    <t>Aldina Maria Torres Carlinhos</t>
  </si>
  <si>
    <t>1327</t>
  </si>
  <si>
    <t>Vasco Manuel Dias Lopes</t>
  </si>
  <si>
    <t>266</t>
  </si>
  <si>
    <t>Cristiana Cordeiro Mesquita</t>
  </si>
  <si>
    <t>625971</t>
  </si>
  <si>
    <t>Ana Cristina Correia De Portugal E Costa</t>
  </si>
  <si>
    <t>5791</t>
  </si>
  <si>
    <t>Jorge David Bernardo Abreu</t>
  </si>
  <si>
    <t>730636</t>
  </si>
  <si>
    <t>Silvia Monica Levenson</t>
  </si>
  <si>
    <t>Mário Manuel da Cruz Batista</t>
  </si>
  <si>
    <t>472508</t>
  </si>
  <si>
    <t>Helena Maria Ramos Rodrigues Barreiras</t>
  </si>
  <si>
    <t>16956</t>
  </si>
  <si>
    <t>Miquelina Ferreira Vicente Quitério</t>
  </si>
  <si>
    <t>Licenciatura em Enfermagem</t>
  </si>
  <si>
    <t>Cláudia Sofia Tiago Pereira</t>
  </si>
  <si>
    <t>600629</t>
  </si>
  <si>
    <t>Hugo Miguel Carreira Silva</t>
  </si>
  <si>
    <t>Ana Isabel de Sousa Reis</t>
  </si>
  <si>
    <t>21742</t>
  </si>
  <si>
    <t>João Miguel da Silva Lopes</t>
  </si>
  <si>
    <t>Carmen Maria Nunes Augusto</t>
  </si>
  <si>
    <t>471456</t>
  </si>
  <si>
    <t>Susana Margarida Timóteo Oliveira Maçãs</t>
  </si>
  <si>
    <t>41863</t>
  </si>
  <si>
    <t>Manuel António Ribeiro</t>
  </si>
  <si>
    <t>439000</t>
  </si>
  <si>
    <t>Paula Cristina Vigário Mota da Cruz Ferreira</t>
  </si>
  <si>
    <t>352</t>
  </si>
  <si>
    <t>28/12/2022 / 11:52:00</t>
  </si>
  <si>
    <t>PS-Geberit-01a.23</t>
  </si>
  <si>
    <t>Movimentação e Operação de Empilhadores</t>
  </si>
  <si>
    <t>Foram 2 dias bons pois adquiri mais conhecimentos.</t>
  </si>
  <si>
    <t>Foi super</t>
  </si>
  <si>
    <t>sn</t>
  </si>
  <si>
    <t>Pedro Paramos</t>
  </si>
  <si>
    <t>20/01/2023 / 16:41:04</t>
  </si>
  <si>
    <t xml:space="preserve">Empresa </t>
  </si>
  <si>
    <t>PS-Geberit-01a.23 - sn - 4,88</t>
  </si>
  <si>
    <t>• Foram 2 dias bons pois adquiri mais conhecimentos.;</t>
  </si>
  <si>
    <t>• Foi super.</t>
  </si>
  <si>
    <t>543MD118.23</t>
  </si>
  <si>
    <t>Execução de Moldes Cerâmicos</t>
  </si>
  <si>
    <t>01/02/2023 / 10:35:59</t>
  </si>
  <si>
    <t>Outra. Qual? Escola</t>
  </si>
  <si>
    <t>01/02/2023 / 10:36:00</t>
  </si>
  <si>
    <t>543PT143.23</t>
  </si>
  <si>
    <t>Workshop Decoração com Lápis Cerâmico</t>
  </si>
  <si>
    <t>07/02/2023 / 10:27:08</t>
  </si>
  <si>
    <t xml:space="preserve">Site do Cencal </t>
  </si>
  <si>
    <t xml:space="preserve">Email enviado pelo Cencal </t>
  </si>
  <si>
    <t>07/02/2023 / 10:27:10</t>
  </si>
  <si>
    <t xml:space="preserve">Amigos/Conhecidos </t>
  </si>
  <si>
    <t xml:space="preserve"> </t>
  </si>
  <si>
    <t>07/02/2023 / 10:27:11</t>
  </si>
  <si>
    <t>623GE895.23</t>
  </si>
  <si>
    <t>Gestão de Equipas e Conflitos</t>
  </si>
  <si>
    <t>intervalar mais as partes teóricas</t>
  </si>
  <si>
    <t>13/02/2023 / 15:57:15</t>
  </si>
  <si>
    <t>13/02/2023 / 15:57:16</t>
  </si>
  <si>
    <t>13/02/2023 / 15:57:17</t>
  </si>
  <si>
    <t>Média de 1., 2., 3., 4. e 5.</t>
  </si>
  <si>
    <t>PS-Geberit-01b.23</t>
  </si>
  <si>
    <t>Muito eficaz no que faz e motivador.</t>
  </si>
  <si>
    <t>Mais um dia de formação seria o ideal para proceder a mais prática</t>
  </si>
  <si>
    <t>Gostei e aprendi muito. Deu para aprender e ver que os sinais são mais importantes do que pensava.</t>
  </si>
  <si>
    <t>5 estrelas.</t>
  </si>
  <si>
    <t>15/02/2023 / 11:21:17</t>
  </si>
  <si>
    <t>15/02/2023 / 11:21:18</t>
  </si>
  <si>
    <t>623GE884.23</t>
  </si>
  <si>
    <t>Noções Básicas de primeiros Socorros</t>
  </si>
  <si>
    <t>Muito bom formador.</t>
  </si>
  <si>
    <t>Aumentar carga horária.</t>
  </si>
  <si>
    <t>16/02/2023 / 08:20:14</t>
  </si>
  <si>
    <t>16/02/2023 / 08:20:15</t>
  </si>
  <si>
    <t>341GE853.23</t>
  </si>
  <si>
    <t>Gestão do Tempo e Organização do Trabalho</t>
  </si>
  <si>
    <t>Carga horária maior.</t>
  </si>
  <si>
    <t>Melhor aquecimento nas salas.</t>
  </si>
  <si>
    <t>23/02/2023 / 09:52:41</t>
  </si>
  <si>
    <t>23/02/2023 / 09:52:42</t>
  </si>
  <si>
    <t>341GE897.23</t>
  </si>
  <si>
    <t>Primeiros Socorros</t>
  </si>
  <si>
    <t>O gajo é fixe.</t>
  </si>
  <si>
    <t>23/02/2023 / 13:17:34</t>
  </si>
  <si>
    <t>23/02/2023 / 13:17:35</t>
  </si>
  <si>
    <t>23/02/2023 / 13:17:36</t>
  </si>
  <si>
    <t>341GE896.23</t>
  </si>
  <si>
    <t>23/02/2023 / 13:23:08</t>
  </si>
  <si>
    <t>23/02/2023 / 13:23:09</t>
  </si>
  <si>
    <t>23/02/2023 / 13:23:10</t>
  </si>
  <si>
    <t>341RH226.23</t>
  </si>
  <si>
    <t>Gestão de Equipas</t>
  </si>
  <si>
    <t>Falta de aquecimento nas salas.</t>
  </si>
  <si>
    <t>23/02/2023 / 13:29:34</t>
  </si>
  <si>
    <t>23/02/2023 / 13:29:35</t>
  </si>
  <si>
    <t xml:space="preserve">Instalações do Cencal </t>
  </si>
  <si>
    <t>23/02/2023 / 13:29:36</t>
  </si>
  <si>
    <t>543CP059.23</t>
  </si>
  <si>
    <t>Workshop madeira de Eucalipto para Produção Criativa</t>
  </si>
  <si>
    <t>Mais um assistente era útil</t>
  </si>
  <si>
    <t>Inadequado um técnico para tantos formandos</t>
  </si>
  <si>
    <t>Falta de aquecimento na oficina</t>
  </si>
  <si>
    <t>Oficina muito fria</t>
  </si>
  <si>
    <t>Necessário mais um assistente</t>
  </si>
  <si>
    <t>Instalações frias. Mais um auxiliar de formador.</t>
  </si>
  <si>
    <t>Bar fechado ao fim de semana</t>
  </si>
  <si>
    <t>Bar encerrado. Frio. Mais um assistente.</t>
  </si>
  <si>
    <t>27/02/2023 / 10:21:52</t>
  </si>
  <si>
    <t>27/02/2023 / 10:21:53</t>
  </si>
  <si>
    <t>Outra. Qual? ADOC</t>
  </si>
  <si>
    <t>27/02/2023 / 10:21:54</t>
  </si>
  <si>
    <t>222LG576.23</t>
  </si>
  <si>
    <t>Iniciação à Língua Espanhola</t>
  </si>
  <si>
    <t>Muito satisfeita</t>
  </si>
  <si>
    <t>Colocar aquecedor na sala.</t>
  </si>
  <si>
    <t>Continuação do curso pois a formadora é excecional.</t>
  </si>
  <si>
    <t>Continuação da ação.</t>
  </si>
  <si>
    <t>Professora exemplar a conduzir a ação.</t>
  </si>
  <si>
    <t>Falta de eletricidade que impediu de ligar projetor de video.</t>
  </si>
  <si>
    <t>Falta de aquecimento. Módulo 2 com esta formadora.</t>
  </si>
  <si>
    <t>Continuação do Espanhol com esta formadora.</t>
  </si>
  <si>
    <t>02/03/2023 / 14:49:59</t>
  </si>
  <si>
    <t>02/03/2023 / 14:50:00</t>
  </si>
  <si>
    <t>543GE876.23</t>
  </si>
  <si>
    <t>Ideias e Oportunidades de Negócio</t>
  </si>
  <si>
    <t>Bastante eficaz.</t>
  </si>
  <si>
    <t>Mais tempo.</t>
  </si>
  <si>
    <t>03/03/2023 / 14:37:30</t>
  </si>
  <si>
    <t>03/03/2023 / 14:37:31</t>
  </si>
  <si>
    <t>213TI873.23</t>
  </si>
  <si>
    <t>Fotografia e Imagem Digital</t>
  </si>
  <si>
    <t>Melhorar os PCS</t>
  </si>
  <si>
    <t>O Bar devia ter uma pessoa até às 20h</t>
  </si>
  <si>
    <t>Mais horas de formação</t>
  </si>
  <si>
    <t>06/03/2023 / 15:46:13</t>
  </si>
  <si>
    <t>06/03/2023 / 15:46:14</t>
  </si>
  <si>
    <t xml:space="preserve">Redes Sociais </t>
  </si>
  <si>
    <t>06/03/2023 / 15:46:15</t>
  </si>
  <si>
    <t>• Melhorar os PCS;_x000D_
• O Bar devia ter uma pessoa até às 20h;_x000D_
• Mais horas de formação.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</si>
</sst>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0" x14ac:knownFonts="1">
    <font>
      <sz val="11"/>
      <color theme="1"/>
      <name val="Century Gothic"/>
      <family val="2"/>
      <scheme val="minor"/>
    </font>
    <font>
      <sz val="12"/>
      <color theme="1"/>
      <name val="Segoe UI"/>
      <family val="2"/>
    </font>
    <font>
      <b/>
      <sz val="12"/>
      <color theme="0"/>
      <name val="Segoe UI"/>
      <family val="2"/>
    </font>
    <font>
      <b/>
      <sz val="16"/>
      <color theme="0"/>
      <name val="Segoe UI"/>
      <family val="2"/>
    </font>
    <font>
      <sz val="8"/>
      <name val="Century Gothic"/>
      <family val="2"/>
      <scheme val="minor"/>
    </font>
    <font>
      <b/>
      <sz val="14"/>
      <color theme="0"/>
      <name val="Segoe UI"/>
      <family val="2"/>
    </font>
    <font>
      <b/>
      <sz val="12"/>
      <color theme="1"/>
      <name val="Segoe UI"/>
      <family val="2"/>
    </font>
    <font>
      <sz val="10"/>
      <name val="Arial"/>
      <family val="2"/>
    </font>
    <font>
      <sz val="11"/>
      <color theme="1"/>
      <name val="Century Gothic"/>
      <family val="2"/>
      <scheme val="minor"/>
    </font>
    <font>
      <b/>
      <sz val="18"/>
      <color theme="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theme="6" tint="0.79998168889431442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9" fontId="8" fillId="0" borderId="0" applyFont="0" applyFill="0" applyBorder="0" applyAlignment="0" applyProtection="0"/>
  </cellStyleXfs>
  <cellXfs count="20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28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0" fontId="1" fillId="0" borderId="0" xfId="0" applyNumberFormat="1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5" borderId="43" xfId="0" applyFont="1" applyFill="1" applyBorder="1" applyAlignment="1">
      <alignment vertical="center"/>
    </xf>
    <xf numFmtId="0" fontId="1" fillId="5" borderId="43" xfId="0" applyFont="1" applyFill="1" applyBorder="1" applyAlignment="1">
      <alignment horizontal="center" vertical="center"/>
    </xf>
    <xf numFmtId="164" fontId="1" fillId="5" borderId="43" xfId="0" applyNumberFormat="1" applyFont="1" applyFill="1" applyBorder="1" applyAlignment="1">
      <alignment horizontal="center" vertical="center"/>
    </xf>
    <xf numFmtId="164" fontId="1" fillId="5" borderId="3" xfId="0" applyNumberFormat="1" applyFont="1" applyFill="1" applyBorder="1" applyAlignment="1">
      <alignment vertical="center"/>
    </xf>
    <xf numFmtId="164" fontId="1" fillId="5" borderId="5" xfId="0" applyNumberFormat="1" applyFont="1" applyFill="1" applyBorder="1" applyAlignment="1">
      <alignment vertical="center"/>
    </xf>
    <xf numFmtId="164" fontId="1" fillId="5" borderId="4" xfId="0" applyNumberFormat="1" applyFont="1" applyFill="1" applyBorder="1" applyAlignment="1">
      <alignment vertical="center"/>
    </xf>
    <xf numFmtId="0" fontId="1" fillId="5" borderId="0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38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/>
    </xf>
    <xf numFmtId="0" fontId="1" fillId="3" borderId="40" xfId="0" applyFont="1" applyFill="1" applyBorder="1" applyAlignment="1">
      <alignment horizontal="center" vertical="center"/>
    </xf>
    <xf numFmtId="165" fontId="1" fillId="5" borderId="43" xfId="2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1" fillId="7" borderId="17" xfId="0" applyNumberFormat="1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0" fontId="1" fillId="7" borderId="4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vertical="center"/>
    </xf>
    <xf numFmtId="0" fontId="6" fillId="6" borderId="43" xfId="0" applyFont="1" applyFill="1" applyBorder="1" applyAlignment="1">
      <alignment horizontal="center" vertical="center"/>
    </xf>
    <xf numFmtId="164" fontId="6" fillId="6" borderId="43" xfId="0" applyNumberFormat="1" applyFont="1" applyFill="1" applyBorder="1" applyAlignment="1">
      <alignment horizontal="center" vertical="center"/>
    </xf>
    <xf numFmtId="0" fontId="1" fillId="7" borderId="42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9" fontId="1" fillId="7" borderId="43" xfId="2" applyNumberFormat="1" applyFont="1" applyFill="1" applyBorder="1" applyAlignment="1">
      <alignment horizontal="center" vertical="center"/>
    </xf>
    <xf numFmtId="164" fontId="1" fillId="7" borderId="43" xfId="0" applyNumberFormat="1" applyFont="1" applyFill="1" applyBorder="1" applyAlignment="1">
      <alignment horizontal="center" vertical="center"/>
    </xf>
    <xf numFmtId="164" fontId="6" fillId="7" borderId="43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Border="1" applyAlignment="1">
      <alignment horizontal="center" vertical="center"/>
    </xf>
    <xf numFmtId="49" fontId="1" fillId="8" borderId="0" xfId="0" applyNumberFormat="1" applyFont="1" applyFill="1" applyBorder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" fillId="7" borderId="61" xfId="0" applyFont="1" applyFill="1" applyBorder="1" applyAlignment="1">
      <alignment horizontal="center" vertical="center" wrapText="1" shrinkToFit="1"/>
    </xf>
    <xf numFmtId="0" fontId="1" fillId="8" borderId="61" xfId="0" applyFont="1" applyFill="1" applyBorder="1" applyAlignment="1">
      <alignment horizontal="center" vertical="center"/>
    </xf>
    <xf numFmtId="49" fontId="1" fillId="8" borderId="61" xfId="0" applyNumberFormat="1" applyFont="1" applyFill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49" fontId="1" fillId="0" borderId="61" xfId="0" applyNumberFormat="1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7" borderId="0" xfId="0" applyFont="1" applyFill="1" applyBorder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top"/>
    </xf>
    <xf numFmtId="0" fontId="2" fillId="7" borderId="62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2" fontId="6" fillId="6" borderId="43" xfId="0" applyNumberFormat="1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left" vertical="center" wrapText="1"/>
    </xf>
    <xf numFmtId="0" fontId="1" fillId="7" borderId="53" xfId="0" applyFont="1" applyFill="1" applyBorder="1" applyAlignment="1">
      <alignment horizontal="left" vertical="center" wrapText="1"/>
    </xf>
    <xf numFmtId="0" fontId="1" fillId="7" borderId="54" xfId="0" applyFont="1" applyFill="1" applyBorder="1" applyAlignment="1">
      <alignment horizontal="left" vertical="center" wrapText="1"/>
    </xf>
    <xf numFmtId="0" fontId="1" fillId="7" borderId="55" xfId="0" applyFont="1" applyFill="1" applyBorder="1" applyAlignment="1">
      <alignment horizontal="left" vertical="center" wrapText="1"/>
    </xf>
    <xf numFmtId="0" fontId="1" fillId="7" borderId="56" xfId="0" applyFont="1" applyFill="1" applyBorder="1" applyAlignment="1">
      <alignment horizontal="left" vertical="center" wrapText="1"/>
    </xf>
    <xf numFmtId="0" fontId="1" fillId="7" borderId="57" xfId="0" applyFont="1" applyFill="1" applyBorder="1" applyAlignment="1">
      <alignment horizontal="left" vertical="center" wrapText="1"/>
    </xf>
    <xf numFmtId="0" fontId="1" fillId="5" borderId="43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7" borderId="45" xfId="0" applyFont="1" applyFill="1" applyBorder="1" applyAlignment="1">
      <alignment horizontal="left" vertical="top" wrapText="1"/>
    </xf>
    <xf numFmtId="0" fontId="1" fillId="7" borderId="46" xfId="0" applyFont="1" applyFill="1" applyBorder="1" applyAlignment="1">
      <alignment horizontal="left" vertical="top" wrapText="1"/>
    </xf>
    <xf numFmtId="0" fontId="1" fillId="7" borderId="47" xfId="0" applyFont="1" applyFill="1" applyBorder="1" applyAlignment="1">
      <alignment horizontal="left" vertical="top" wrapText="1"/>
    </xf>
    <xf numFmtId="0" fontId="1" fillId="7" borderId="48" xfId="0" applyFont="1" applyFill="1" applyBorder="1" applyAlignment="1">
      <alignment horizontal="left" vertical="top" wrapText="1"/>
    </xf>
    <xf numFmtId="0" fontId="1" fillId="7" borderId="0" xfId="0" applyFont="1" applyFill="1" applyBorder="1" applyAlignment="1">
      <alignment horizontal="left" vertical="top" wrapText="1"/>
    </xf>
    <xf numFmtId="0" fontId="1" fillId="7" borderId="49" xfId="0" applyFont="1" applyFill="1" applyBorder="1" applyAlignment="1">
      <alignment horizontal="left" vertical="top" wrapText="1"/>
    </xf>
    <xf numFmtId="0" fontId="1" fillId="7" borderId="50" xfId="0" applyFont="1" applyFill="1" applyBorder="1" applyAlignment="1">
      <alignment horizontal="left" vertical="top" wrapText="1"/>
    </xf>
    <xf numFmtId="0" fontId="1" fillId="7" borderId="51" xfId="0" applyFont="1" applyFill="1" applyBorder="1" applyAlignment="1">
      <alignment horizontal="left" vertical="top" wrapText="1"/>
    </xf>
    <xf numFmtId="0" fontId="1" fillId="7" borderId="5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1" fillId="4" borderId="43" xfId="0" applyFont="1" applyFill="1" applyBorder="1" applyAlignment="1">
      <alignment horizontal="left" vertical="center" wrapText="1"/>
    </xf>
    <xf numFmtId="0" fontId="1" fillId="4" borderId="43" xfId="0" applyFont="1" applyFill="1" applyBorder="1" applyAlignment="1">
      <alignment horizontal="left" vertical="center"/>
    </xf>
    <xf numFmtId="0" fontId="1" fillId="4" borderId="4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6" fillId="6" borderId="43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7" borderId="58" xfId="0" applyFont="1" applyFill="1" applyBorder="1" applyAlignment="1">
      <alignment horizontal="left" vertical="center" wrapText="1"/>
    </xf>
    <xf numFmtId="0" fontId="1" fillId="7" borderId="59" xfId="0" applyFont="1" applyFill="1" applyBorder="1" applyAlignment="1">
      <alignment horizontal="left" vertical="center" wrapText="1"/>
    </xf>
    <xf numFmtId="0" fontId="1" fillId="7" borderId="60" xfId="0" applyFont="1" applyFill="1" applyBorder="1" applyAlignment="1">
      <alignment horizontal="left" vertical="center" wrapText="1"/>
    </xf>
    <xf numFmtId="0" fontId="9" fillId="6" borderId="33" xfId="0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2" fontId="1" fillId="5" borderId="43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42" xfId="0" applyFont="1" applyFill="1" applyBorder="1" applyAlignment="1">
      <alignment horizontal="center" vertical="center"/>
    </xf>
    <xf numFmtId="0" fontId="1" fillId="4" borderId="37" xfId="0" applyFont="1" applyFill="1" applyBorder="1" applyAlignment="1">
      <alignment horizontal="center" vertical="center"/>
    </xf>
    <xf numFmtId="0" fontId="1" fillId="4" borderId="40" xfId="0" applyFont="1" applyFill="1" applyBorder="1" applyAlignment="1">
      <alignment horizontal="center" vertical="center"/>
    </xf>
    <xf numFmtId="0" fontId="1" fillId="7" borderId="3" xfId="0" applyFont="1" applyFill="1" applyBorder="1" applyAlignment="1" applyProtection="1">
      <alignment horizontal="center" vertical="center"/>
    </xf>
    <xf numFmtId="0" fontId="1" fillId="7" borderId="5" xfId="0" applyFont="1" applyFill="1" applyBorder="1" applyAlignment="1" applyProtection="1">
      <alignment horizontal="center" vertical="center"/>
    </xf>
    <xf numFmtId="0" fontId="1" fillId="7" borderId="4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5" fillId="6" borderId="1" xfId="0" applyFont="1" applyFill="1" applyBorder="1" applyAlignment="1">
      <alignment horizontal="center" vertical="center"/>
    </xf>
    <xf numFmtId="0" fontId="2" fillId="6" borderId="33" xfId="0" applyFont="1" applyFill="1" applyBorder="1" applyAlignment="1">
      <alignment horizontal="left" vertical="top" wrapText="1"/>
    </xf>
    <xf numFmtId="0" fontId="2" fillId="6" borderId="34" xfId="0" applyFont="1" applyFill="1" applyBorder="1" applyAlignment="1">
      <alignment horizontal="left" vertical="top" wrapText="1"/>
    </xf>
    <xf numFmtId="0" fontId="2" fillId="6" borderId="35" xfId="0" applyFont="1" applyFill="1" applyBorder="1" applyAlignment="1">
      <alignment horizontal="left" vertical="top" wrapText="1"/>
    </xf>
    <xf numFmtId="0" fontId="6" fillId="7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left" vertical="top" wrapText="1"/>
    </xf>
    <xf numFmtId="0" fontId="1" fillId="0" borderId="2" xfId="0" applyFont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center" vertical="center" wrapText="1"/>
    </xf>
    <xf numFmtId="49" fontId="1" fillId="7" borderId="18" xfId="0" applyNumberFormat="1" applyFont="1" applyFill="1" applyBorder="1" applyAlignment="1">
      <alignment horizontal="center" vertical="center" wrapText="1"/>
    </xf>
    <xf numFmtId="49" fontId="1" fillId="7" borderId="11" xfId="0" applyNumberFormat="1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/>
    </xf>
    <xf numFmtId="0" fontId="5" fillId="6" borderId="20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 applyProtection="1">
      <alignment horizontal="center" vertical="center" wrapText="1"/>
      <protection locked="0"/>
    </xf>
    <xf numFmtId="0" fontId="1" fillId="7" borderId="23" xfId="0" applyFont="1" applyFill="1" applyBorder="1" applyAlignment="1" applyProtection="1">
      <alignment horizontal="center" vertical="center" wrapText="1"/>
      <protection locked="0"/>
    </xf>
    <xf numFmtId="0" fontId="1" fillId="7" borderId="24" xfId="0" applyFont="1" applyFill="1" applyBorder="1" applyAlignment="1" applyProtection="1">
      <alignment horizontal="center" vertical="center" wrapText="1"/>
      <protection locked="0"/>
    </xf>
    <xf numFmtId="0" fontId="1" fillId="7" borderId="29" xfId="0" applyFont="1" applyFill="1" applyBorder="1" applyAlignment="1" applyProtection="1">
      <alignment horizontal="center" vertical="center" wrapText="1"/>
      <protection locked="0"/>
    </xf>
    <xf numFmtId="0" fontId="1" fillId="7" borderId="30" xfId="0" applyFont="1" applyFill="1" applyBorder="1" applyAlignment="1" applyProtection="1">
      <alignment horizontal="center" vertical="center" wrapText="1"/>
      <protection locked="0"/>
    </xf>
    <xf numFmtId="0" fontId="1" fillId="7" borderId="31" xfId="0" applyFont="1" applyFill="1" applyBorder="1" applyAlignment="1" applyProtection="1">
      <alignment horizontal="center" vertical="center" wrapText="1"/>
      <protection locked="0"/>
    </xf>
    <xf numFmtId="0" fontId="2" fillId="6" borderId="33" xfId="0" applyFont="1" applyFill="1" applyBorder="1" applyAlignment="1">
      <alignment horizontal="left" vertical="top"/>
    </xf>
    <xf numFmtId="0" fontId="2" fillId="6" borderId="34" xfId="0" applyFont="1" applyFill="1" applyBorder="1" applyAlignment="1">
      <alignment horizontal="left" vertical="top"/>
    </xf>
    <xf numFmtId="0" fontId="2" fillId="6" borderId="35" xfId="0" applyFont="1" applyFill="1" applyBorder="1" applyAlignment="1">
      <alignment horizontal="left" vertical="top"/>
    </xf>
    <xf numFmtId="0" fontId="5" fillId="6" borderId="4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 wrapText="1"/>
    </xf>
    <xf numFmtId="0" fontId="3" fillId="6" borderId="25" xfId="0" applyFont="1" applyFill="1" applyBorder="1" applyAlignment="1">
      <alignment horizontal="center" vertical="center" wrapText="1"/>
    </xf>
    <xf numFmtId="0" fontId="3" fillId="6" borderId="26" xfId="0" applyFont="1" applyFill="1" applyBorder="1" applyAlignment="1">
      <alignment horizontal="center" vertical="center" wrapText="1"/>
    </xf>
    <xf numFmtId="0" fontId="3" fillId="6" borderId="27" xfId="0" applyFont="1" applyFill="1" applyBorder="1" applyAlignment="1">
      <alignment horizontal="center" vertical="center" wrapText="1"/>
    </xf>
    <xf numFmtId="0" fontId="5" fillId="6" borderId="14" xfId="0" applyFont="1" applyFill="1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0" fontId="5" fillId="6" borderId="20" xfId="0" applyFont="1" applyFill="1" applyBorder="1" applyAlignment="1">
      <alignment horizontal="center" vertical="center" wrapText="1"/>
    </xf>
    <xf numFmtId="0" fontId="5" fillId="6" borderId="21" xfId="0" applyFont="1" applyFill="1" applyBorder="1" applyAlignment="1">
      <alignment horizontal="center" vertical="center" wrapText="1"/>
    </xf>
    <xf numFmtId="0" fontId="1" fillId="7" borderId="9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2" fillId="6" borderId="43" xfId="0" applyFont="1" applyFill="1" applyBorder="1" applyAlignment="1">
      <alignment horizontal="center" vertical="center"/>
    </xf>
    <xf numFmtId="0" fontId="1" fillId="7" borderId="43" xfId="0" applyFont="1" applyFill="1" applyBorder="1" applyAlignment="1">
      <alignment horizontal="center" vertical="center"/>
    </xf>
    <xf numFmtId="0" fontId="2" fillId="6" borderId="43" xfId="0" applyFont="1" applyFill="1" applyBorder="1" applyAlignment="1">
      <alignment horizontal="center" vertical="center" wrapText="1"/>
    </xf>
    <xf numFmtId="0" fontId="1" fillId="6" borderId="43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2" fontId="6" fillId="7" borderId="3" xfId="0" applyNumberFormat="1" applyFont="1" applyFill="1" applyBorder="1" applyAlignment="1">
      <alignment horizontal="center" vertical="center"/>
    </xf>
    <xf numFmtId="2" fontId="6" fillId="7" borderId="4" xfId="0" applyNumberFormat="1" applyFont="1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left" vertical="center" indent="59"/>
    </xf>
    <xf numFmtId="0" fontId="2" fillId="7" borderId="62" xfId="0" applyFont="1" applyFill="1" applyBorder="1" applyAlignment="1">
      <alignment horizontal="center" vertical="center"/>
    </xf>
    <xf numFmtId="0" fontId="3" fillId="6" borderId="62" xfId="0" applyFont="1" applyFill="1" applyBorder="1" applyAlignment="1">
      <alignment horizontal="center" vertical="center"/>
    </xf>
    <xf numFmtId="0" fontId="3" fillId="6" borderId="61" xfId="0" applyFont="1" applyFill="1" applyBorder="1" applyAlignment="1">
      <alignment horizontal="center" vertical="center"/>
    </xf>
  </cellXfs>
  <cellStyles count="3">
    <cellStyle name="Normal" xfId="0" builtinId="0"/>
    <cellStyle name="Normal 2" xfId="1" xr:uid="{17F95594-A422-404E-8ED1-E4372BF96748}"/>
    <cellStyle name="Percentagem" xfId="2" builtinId="5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276F8B"/>
      <color rgb="FF000000"/>
      <color rgb="FF338880"/>
      <color rgb="FF75BD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Avaliação da Ação/UFCD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6.1625042204130204E-2"/>
          <c:y val="0.27252565231956521"/>
          <c:w val="0.89719894607570128"/>
          <c:h val="0.5058832834969043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3">
                    <a:tint val="65000"/>
                    <a:satMod val="100000"/>
                    <a:lumMod val="100000"/>
                  </a:schemeClr>
                </a:gs>
                <a:gs pos="50000">
                  <a:schemeClr val="accent3">
                    <a:tint val="65000"/>
                    <a:shade val="99000"/>
                    <a:satMod val="105000"/>
                    <a:lumMod val="100000"/>
                  </a:schemeClr>
                </a:gs>
                <a:gs pos="100000">
                  <a:schemeClr val="accent3">
                    <a:tint val="65000"/>
                    <a:shade val="98000"/>
                    <a:satMod val="105000"/>
                    <a:lumMod val="10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Questionários_FP!$AW$1048557:$AW$1048568</c:f>
              <c:strCache>
                <c:ptCount val="12"/>
                <c:pt idx="0">
                  <c:v>1.1</c:v>
                </c:pt>
                <c:pt idx="1">
                  <c:v>2.1</c:v>
                </c:pt>
                <c:pt idx="2">
                  <c:v>2.2</c:v>
                </c:pt>
                <c:pt idx="3">
                  <c:v>2.3</c:v>
                </c:pt>
                <c:pt idx="4">
                  <c:v>3.1</c:v>
                </c:pt>
                <c:pt idx="5">
                  <c:v>3.2</c:v>
                </c:pt>
                <c:pt idx="6">
                  <c:v>3.3.1</c:v>
                </c:pt>
                <c:pt idx="7">
                  <c:v>3.3.2</c:v>
                </c:pt>
                <c:pt idx="8">
                  <c:v>3.3.3</c:v>
                </c:pt>
                <c:pt idx="9">
                  <c:v>3.3.4</c:v>
                </c:pt>
                <c:pt idx="10">
                  <c:v>3.4</c:v>
                </c:pt>
                <c:pt idx="11">
                  <c:v>5.1</c:v>
                </c:pt>
              </c:strCache>
            </c:strRef>
          </c:cat>
          <c:val>
            <c:numRef>
              <c:f>(Questionários_FP!$AL$216,Questionários_FP!$AL$218:$AL$220,Questionários_FP!$AL$223:$AL$229,Questionários_FP!$AL$270)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BC9F-4D9E-8DE8-06E8A22F2A0A}"/>
            </c:ext>
          </c:extLst>
        </c:ser>
        <c:ser>
          <c:idx val="1"/>
          <c:order val="1"/>
          <c:tx>
            <c:v>Médias da Ação</c:v>
          </c:tx>
          <c:spPr>
            <a:gradFill flip="none" rotWithShape="1">
              <a:gsLst>
                <a:gs pos="0">
                  <a:schemeClr val="accent2">
                    <a:satMod val="100000"/>
                    <a:lumMod val="100000"/>
                  </a:schemeClr>
                </a:gs>
                <a:gs pos="50000">
                  <a:schemeClr val="accent2">
                    <a:shade val="99000"/>
                    <a:satMod val="105000"/>
                    <a:lumMod val="100000"/>
                  </a:schemeClr>
                </a:gs>
                <a:gs pos="100000">
                  <a:schemeClr val="accent2">
                    <a:shade val="98000"/>
                    <a:satMod val="105000"/>
                    <a:lumMod val="100000"/>
                  </a:schemeClr>
                </a:gs>
              </a:gsLst>
              <a:lin ang="10800000" scaled="1"/>
              <a:tileRect/>
            </a:gradFill>
            <a:ln w="6350" cap="flat" cmpd="sng" algn="ctr">
              <a:solidFill>
                <a:schemeClr val="accent2"/>
              </a:solidFill>
              <a:prstDash val="solid"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Questionários_FP!$AW$1048557:$AW$1048568</c:f>
              <c:strCache>
                <c:ptCount val="12"/>
                <c:pt idx="0">
                  <c:v>1.1</c:v>
                </c:pt>
                <c:pt idx="1">
                  <c:v>2.1</c:v>
                </c:pt>
                <c:pt idx="2">
                  <c:v>2.2</c:v>
                </c:pt>
                <c:pt idx="3">
                  <c:v>2.3</c:v>
                </c:pt>
                <c:pt idx="4">
                  <c:v>3.1</c:v>
                </c:pt>
                <c:pt idx="5">
                  <c:v>3.2</c:v>
                </c:pt>
                <c:pt idx="6">
                  <c:v>3.3.1</c:v>
                </c:pt>
                <c:pt idx="7">
                  <c:v>3.3.2</c:v>
                </c:pt>
                <c:pt idx="8">
                  <c:v>3.3.3</c:v>
                </c:pt>
                <c:pt idx="9">
                  <c:v>3.3.4</c:v>
                </c:pt>
                <c:pt idx="10">
                  <c:v>3.4</c:v>
                </c:pt>
                <c:pt idx="11">
                  <c:v>5.1</c:v>
                </c:pt>
              </c:strCache>
            </c:strRef>
          </c:cat>
          <c:val>
            <c:numRef>
              <c:f>(Questionários_FP!$AM$216,Questionários_FP!$AM$218:$AM$220,Questionários_FP!$AM$223:$AM$229,Questionários_FP!$AM$270)</c:f>
              <c:numCache>
                <c:formatCode>0.0</c:formatCode>
                <c:ptCount val="12"/>
                <c:pt idx="0">
                  <c:v>4.615384615384615</c:v>
                </c:pt>
                <c:pt idx="1">
                  <c:v>4.4615384615384617</c:v>
                </c:pt>
                <c:pt idx="2">
                  <c:v>4.3076923076923075</c:v>
                </c:pt>
                <c:pt idx="3">
                  <c:v>4.2307692307692308</c:v>
                </c:pt>
                <c:pt idx="4">
                  <c:v>3.6153846153846154</c:v>
                </c:pt>
                <c:pt idx="5">
                  <c:v>4.3076923076923075</c:v>
                </c:pt>
                <c:pt idx="6">
                  <c:v>4.384615384615385</c:v>
                </c:pt>
                <c:pt idx="7">
                  <c:v>3.25</c:v>
                </c:pt>
                <c:pt idx="8">
                  <c:v>4.25</c:v>
                </c:pt>
                <c:pt idx="9">
                  <c:v>4.384615384615385</c:v>
                </c:pt>
                <c:pt idx="10">
                  <c:v>4</c:v>
                </c:pt>
                <c:pt idx="11">
                  <c:v>4.4615384615384617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F-4D9E-8DE8-06E8A22F2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1070142463"/>
        <c:axId val="1070137887"/>
      </c:barChart>
      <c:lineChart>
        <c:grouping val="standard"/>
        <c:varyColors val="0"/>
        <c:ser>
          <c:idx val="2"/>
          <c:order val="2"/>
          <c:tx>
            <c:v>Valores Médios da Formação Presencial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Questionários_FP!$AX$1048557:$AX$1048568</c:f>
              <c:numCache>
                <c:formatCode>0.00</c:formatCode>
                <c:ptCount val="12"/>
                <c:pt idx="0">
                  <c:v>4.7924528301886795</c:v>
                </c:pt>
                <c:pt idx="1">
                  <c:v>4.7025316455696204</c:v>
                </c:pt>
                <c:pt idx="2">
                  <c:v>4.6558441558441555</c:v>
                </c:pt>
                <c:pt idx="3">
                  <c:v>4.580645161290323</c:v>
                </c:pt>
                <c:pt idx="4">
                  <c:v>4.4933333333333332</c:v>
                </c:pt>
                <c:pt idx="5">
                  <c:v>4.5192307692307692</c:v>
                </c:pt>
                <c:pt idx="6">
                  <c:v>4.5555555555555554</c:v>
                </c:pt>
                <c:pt idx="7">
                  <c:v>3.984375</c:v>
                </c:pt>
                <c:pt idx="8">
                  <c:v>4.4024390243902438</c:v>
                </c:pt>
                <c:pt idx="9">
                  <c:v>4.4571428571428573</c:v>
                </c:pt>
                <c:pt idx="10">
                  <c:v>4.2348993288590604</c:v>
                </c:pt>
                <c:pt idx="11">
                  <c:v>4.7898089171974521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C9F-4D9E-8DE8-06E8A22F2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142463"/>
        <c:axId val="1070137887"/>
      </c:lineChart>
      <c:catAx>
        <c:axId val="10701424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070137887"/>
        <c:crosses val="autoZero"/>
        <c:auto val="1"/>
        <c:lblAlgn val="ctr"/>
        <c:lblOffset val="100"/>
        <c:noMultiLvlLbl val="0"/>
      </c:catAx>
      <c:valAx>
        <c:axId val="1070137887"/>
        <c:scaling>
          <c:orientation val="minMax"/>
          <c:max val="5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07014246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29742131449693898"/>
          <c:y val="0.88238394017897459"/>
          <c:w val="0.40515728335476114"/>
          <c:h val="6.2331492819023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/>
              <a:t>Conhecimento</a:t>
            </a:r>
            <a:r>
              <a:rPr lang="pt-PT" baseline="0"/>
              <a:t> da Ação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4.9830820396198391E-2"/>
          <c:y val="0.19435752975182563"/>
          <c:w val="0.93783390616963458"/>
          <c:h val="0.32658630821527634"/>
        </c:manualLayout>
      </c:layout>
      <c:barChart>
        <c:barDir val="col"/>
        <c:grouping val="clustered"/>
        <c:varyColors val="0"/>
        <c:ser>
          <c:idx val="0"/>
          <c:order val="0"/>
          <c:tx>
            <c:v>Percentagens Referentes à Ação</c:v>
          </c:tx>
          <c:spPr>
            <a:gradFill rotWithShape="1">
              <a:gsLst>
                <a:gs pos="0">
                  <a:schemeClr val="accent2">
                    <a:satMod val="100000"/>
                    <a:lumMod val="100000"/>
                  </a:schemeClr>
                </a:gs>
                <a:gs pos="50000">
                  <a:schemeClr val="accent2">
                    <a:shade val="99000"/>
                    <a:satMod val="105000"/>
                    <a:lumMod val="100000"/>
                  </a:schemeClr>
                </a:gs>
                <a:gs pos="100000">
                  <a:schemeClr val="accent2">
                    <a:shade val="98000"/>
                    <a:satMod val="105000"/>
                    <a:lumMod val="100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2"/>
              </a:solidFill>
              <a:prstDash val="solid"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Questionários_FP!$AQ$1048468:$AT$1048477</c:f>
              <c:strCache>
                <c:ptCount val="10"/>
                <c:pt idx="0">
                  <c:v>Imprensa</c:v>
                </c:pt>
                <c:pt idx="1">
                  <c:v>Empresa</c:v>
                </c:pt>
                <c:pt idx="2">
                  <c:v>Centro de Emp./Juv./UNIVA</c:v>
                </c:pt>
                <c:pt idx="3">
                  <c:v>Site do Cencal</c:v>
                </c:pt>
                <c:pt idx="4">
                  <c:v>Email enviado pelo Cencal</c:v>
                </c:pt>
                <c:pt idx="5">
                  <c:v>Amigos/Conhecidos</c:v>
                </c:pt>
                <c:pt idx="6">
                  <c:v>Instalações do Cencal</c:v>
                </c:pt>
                <c:pt idx="7">
                  <c:v>Redes Sociais</c:v>
                </c:pt>
                <c:pt idx="8">
                  <c:v>Outra. Qual?</c:v>
                </c:pt>
                <c:pt idx="9">
                  <c:v>NS/NR</c:v>
                </c:pt>
              </c:strCache>
            </c:strRef>
          </c:cat>
          <c:val>
            <c:numRef>
              <c:f>Questionários_FP!$BB$1048468:$BB$1048477</c:f>
              <c:numCache>
                <c:formatCode>0.0%</c:formatCode>
                <c:ptCount val="10"/>
                <c:pt idx="0">
                  <c:v>0</c:v>
                </c:pt>
                <c:pt idx="1">
                  <c:v>0.15384615384615385</c:v>
                </c:pt>
                <c:pt idx="2">
                  <c:v>0</c:v>
                </c:pt>
                <c:pt idx="3">
                  <c:v>0.38461538461538464</c:v>
                </c:pt>
                <c:pt idx="4">
                  <c:v>0.23076923076923078</c:v>
                </c:pt>
                <c:pt idx="5">
                  <c:v>0</c:v>
                </c:pt>
                <c:pt idx="6">
                  <c:v>7.6923076923076927E-2</c:v>
                </c:pt>
                <c:pt idx="7">
                  <c:v>7.6923076923076927E-2</c:v>
                </c:pt>
                <c:pt idx="8">
                  <c:v>0</c:v>
                </c:pt>
                <c:pt idx="9">
                  <c:v>7.6923076923076927E-2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9-41E0-8F3F-BDFFE3649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977674096"/>
        <c:axId val="1977679504"/>
      </c:barChart>
      <c:lineChart>
        <c:grouping val="standard"/>
        <c:varyColors val="0"/>
        <c:ser>
          <c:idx val="1"/>
          <c:order val="1"/>
          <c:tx>
            <c:v>Valores de Referência da Formação Presencial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Questionários_FP!$BF$1048468:$BF$1048477</c:f>
              <c:numCache>
                <c:formatCode>0.0%</c:formatCode>
                <c:ptCount val="10"/>
                <c:pt idx="0">
                  <c:v>0</c:v>
                </c:pt>
                <c:pt idx="1">
                  <c:v>0.4779874213836478</c:v>
                </c:pt>
                <c:pt idx="2">
                  <c:v>0</c:v>
                </c:pt>
                <c:pt idx="3">
                  <c:v>0.16981132075471697</c:v>
                </c:pt>
                <c:pt idx="4">
                  <c:v>0.11320754716981132</c:v>
                </c:pt>
                <c:pt idx="5">
                  <c:v>0.10062893081761007</c:v>
                </c:pt>
                <c:pt idx="6">
                  <c:v>1.8867924528301886E-2</c:v>
                </c:pt>
                <c:pt idx="7">
                  <c:v>6.2893081761006293E-3</c:v>
                </c:pt>
                <c:pt idx="8">
                  <c:v>8.1761006289308172E-2</c:v>
                </c:pt>
                <c:pt idx="9">
                  <c:v>3.1446540880503145E-2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19-41E0-8F3F-BDFFE3649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674096"/>
        <c:axId val="1977679504"/>
      </c:lineChart>
      <c:catAx>
        <c:axId val="197767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977679504"/>
        <c:crosses val="autoZero"/>
        <c:auto val="1"/>
        <c:lblAlgn val="ctr"/>
        <c:lblOffset val="100"/>
        <c:noMultiLvlLbl val="0"/>
      </c:catAx>
      <c:valAx>
        <c:axId val="1977679504"/>
        <c:scaling>
          <c:orientation val="minMax"/>
          <c:max val="1"/>
          <c:min val="0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9776740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866080387697782"/>
          <c:y val="0.92073269885314546"/>
          <c:w val="0.54267839224604442"/>
          <c:h val="4.87475277782005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/>
              <a:t>Avaliação dos Formadores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3.0441046158486026E-2"/>
          <c:y val="0.22602946615551117"/>
          <c:w val="0.95398975176465484"/>
          <c:h val="0.52109174236264555"/>
        </c:manualLayout>
      </c:layout>
      <c:barChart>
        <c:barDir val="col"/>
        <c:grouping val="clustered"/>
        <c:varyColors val="0"/>
        <c:ser>
          <c:idx val="0"/>
          <c:order val="0"/>
          <c:tx>
            <c:v>Médias do Formador</c:v>
          </c:tx>
          <c:spPr>
            <a:gradFill rotWithShape="1">
              <a:gsLst>
                <a:gs pos="0">
                  <a:schemeClr val="accent2">
                    <a:satMod val="100000"/>
                    <a:lumMod val="100000"/>
                  </a:schemeClr>
                </a:gs>
                <a:gs pos="50000">
                  <a:schemeClr val="accent2">
                    <a:shade val="99000"/>
                    <a:satMod val="105000"/>
                    <a:lumMod val="100000"/>
                  </a:schemeClr>
                </a:gs>
                <a:gs pos="100000">
                  <a:schemeClr val="accent2">
                    <a:shade val="98000"/>
                    <a:satMod val="105000"/>
                    <a:lumMod val="100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2"/>
              </a:solidFill>
              <a:prstDash val="solid"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Questionários_FP!$AV$1048507:$BA$1048536</c:f>
              <c:multiLvlStrCache>
                <c:ptCount val="5"/>
                <c:lvl>
                  <c:pt idx="0">
                    <c:v>4.1</c:v>
                  </c:pt>
                  <c:pt idx="1">
                    <c:v>4.2</c:v>
                  </c:pt>
                  <c:pt idx="2">
                    <c:v>4.3</c:v>
                  </c:pt>
                  <c:pt idx="3">
                    <c:v>4.4</c:v>
                  </c:pt>
                  <c:pt idx="4">
                    <c:v>4.5</c:v>
                  </c:pt>
                </c:lvl>
                <c:lvl>
                  <c:pt idx="0">
                    <c:v>Pedro Dos Santos Vicente</c:v>
                  </c:pt>
                </c:lvl>
              </c:multiLvlStrCache>
            </c:multiLvlStrRef>
          </c:cat>
          <c:val>
            <c:numRef>
              <c:f>Questionários_FP!$BB$1048507:$BB$1048536</c:f>
              <c:numCache>
                <c:formatCode>0.0</c:formatCode>
                <c:ptCount val="5"/>
                <c:pt idx="0">
                  <c:v>4.8461538461538458</c:v>
                </c:pt>
                <c:pt idx="1">
                  <c:v>4.7692307692307692</c:v>
                </c:pt>
                <c:pt idx="2">
                  <c:v>4.8461538461538458</c:v>
                </c:pt>
                <c:pt idx="3">
                  <c:v>4.9230769230769234</c:v>
                </c:pt>
                <c:pt idx="4">
                  <c:v>4.9230769230769234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6-4126-AD6F-3F57CDD2B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29416384"/>
        <c:axId val="1129408064"/>
      </c:barChart>
      <c:lineChart>
        <c:grouping val="standard"/>
        <c:varyColors val="0"/>
        <c:ser>
          <c:idx val="1"/>
          <c:order val="1"/>
          <c:tx>
            <c:v>Valores Médios da Formação Presencial</c:v>
          </c:tx>
          <c:spPr>
            <a:ln w="19050" cap="rnd" cmpd="sng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Questionários_FP!$BC$1048507:$BC$1048536</c:f>
              <c:numCache>
                <c:formatCode>0.0</c:formatCode>
                <c:ptCount val="5"/>
                <c:pt idx="0">
                  <c:v>4.924050632911392</c:v>
                </c:pt>
                <c:pt idx="1">
                  <c:v>4.924050632911392</c:v>
                </c:pt>
                <c:pt idx="2">
                  <c:v>4.924050632911392</c:v>
                </c:pt>
                <c:pt idx="3">
                  <c:v>4.9303797468354427</c:v>
                </c:pt>
                <c:pt idx="4">
                  <c:v>4.9371069182389933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316-40DA-B1D1-17B6BF143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9416384"/>
        <c:axId val="1129408064"/>
      </c:lineChart>
      <c:catAx>
        <c:axId val="112941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129408064"/>
        <c:crosses val="autoZero"/>
        <c:auto val="1"/>
        <c:lblAlgn val="ctr"/>
        <c:lblOffset val="100"/>
        <c:noMultiLvlLbl val="0"/>
      </c:catAx>
      <c:valAx>
        <c:axId val="1129408064"/>
        <c:scaling>
          <c:orientation val="minMax"/>
          <c:max val="5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12941638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991919377320224"/>
          <c:y val="0.93862732765785384"/>
          <c:w val="0.4337036067445455"/>
          <c:h val="6.13729069216244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pt-PT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Avaliação Média</a:t>
            </a:r>
            <a:r>
              <a:rPr lang="en-US" baseline="0"/>
              <a:t> do Formador vs. Avaliação Média da Formação Presencial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4.6229988725705738E-2"/>
          <c:y val="0.25098597491901758"/>
          <c:w val="0.92803906100491573"/>
          <c:h val="0.54663972837660424"/>
        </c:manualLayout>
      </c:layout>
      <c:barChart>
        <c:barDir val="col"/>
        <c:grouping val="clustered"/>
        <c:varyColors val="0"/>
        <c:ser>
          <c:idx val="0"/>
          <c:order val="0"/>
          <c:tx>
            <c:v>Médias do Formador</c:v>
          </c:tx>
          <c:spPr>
            <a:gradFill flip="none" rotWithShape="1">
              <a:gsLst>
                <a:gs pos="0">
                  <a:schemeClr val="accent2">
                    <a:lumMod val="67000"/>
                  </a:schemeClr>
                </a:gs>
                <a:gs pos="48000">
                  <a:schemeClr val="accent2">
                    <a:lumMod val="97000"/>
                    <a:lumOff val="3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Questionários_FP!$BA$1048507:$BA$1048511</c:f>
              <c:strCache>
                <c:ptCount val="5"/>
                <c:pt idx="0">
                  <c:v>4.1</c:v>
                </c:pt>
                <c:pt idx="1">
                  <c:v>4.2</c:v>
                </c:pt>
                <c:pt idx="2">
                  <c:v>4.3</c:v>
                </c:pt>
                <c:pt idx="3">
                  <c:v>4.4</c:v>
                </c:pt>
                <c:pt idx="4">
                  <c:v>4.5</c:v>
                </c:pt>
              </c:strCache>
            </c:strRef>
          </c:cat>
          <c:val>
            <c:numRef>
              <c:f>Questionários_FP!$AS$1048444:$AS$1048448</c:f>
              <c:numCache>
                <c:formatCode>General</c:formatCode>
                <c:ptCount val="5"/>
                <c:pt idx="0">
                  <c:v>4.9375</c:v>
                </c:pt>
                <c:pt idx="1">
                  <c:v>4.9375</c:v>
                </c:pt>
                <c:pt idx="2">
                  <c:v>4.9375</c:v>
                </c:pt>
                <c:pt idx="3">
                  <c:v>4.875</c:v>
                </c:pt>
                <c:pt idx="4">
                  <c:v>4.9411764705882355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7-48E0-A8F7-C44086A807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302174447"/>
        <c:axId val="302176943"/>
      </c:barChart>
      <c:lineChart>
        <c:grouping val="standard"/>
        <c:varyColors val="0"/>
        <c:ser>
          <c:idx val="1"/>
          <c:order val="1"/>
          <c:tx>
            <c:v>Médias da Formação Presencial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Questionários_FP!$BC$1048507:$BC$1048511</c:f>
              <c:numCache>
                <c:formatCode>0.0</c:formatCode>
                <c:ptCount val="5"/>
                <c:pt idx="0">
                  <c:v>4.924050632911392</c:v>
                </c:pt>
                <c:pt idx="1">
                  <c:v>4.924050632911392</c:v>
                </c:pt>
                <c:pt idx="2">
                  <c:v>4.924050632911392</c:v>
                </c:pt>
                <c:pt idx="3">
                  <c:v>4.9303797468354427</c:v>
                </c:pt>
                <c:pt idx="4">
                  <c:v>4.9371069182389933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97-48E0-A8F7-C44086A807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2174447"/>
        <c:axId val="302176943"/>
      </c:lineChart>
      <c:catAx>
        <c:axId val="302174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302176943"/>
        <c:crosses val="autoZero"/>
        <c:auto val="1"/>
        <c:lblAlgn val="ctr"/>
        <c:lblOffset val="100"/>
        <c:noMultiLvlLbl val="0"/>
      </c:catAx>
      <c:valAx>
        <c:axId val="302176943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302174447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chart" Target="../charts/chart4.xml"/><Relationship Id="rId3" Type="http://schemas.openxmlformats.org/officeDocument/2006/relationships/chart" Target="../charts/chart1.xml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6.png"/><Relationship Id="rId16" Type="http://schemas.microsoft.com/office/2007/relationships/hdphoto" Target="../media/hdphoto1.wdp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chart" Target="../charts/chart3.xml"/><Relationship Id="rId15" Type="http://schemas.openxmlformats.org/officeDocument/2006/relationships/image" Target="../media/image15.png"/><Relationship Id="rId10" Type="http://schemas.openxmlformats.org/officeDocument/2006/relationships/image" Target="../media/image11.png"/><Relationship Id="rId4" Type="http://schemas.openxmlformats.org/officeDocument/2006/relationships/chart" Target="../charts/chart2.xml"/><Relationship Id="rId9" Type="http://schemas.openxmlformats.org/officeDocument/2006/relationships/image" Target="../media/image10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8.PNG"/><Relationship Id="rId7" Type="http://schemas.openxmlformats.org/officeDocument/2006/relationships/image" Target="../media/image7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153456</xdr:colOff>
      <xdr:row>1</xdr:row>
      <xdr:rowOff>119064</xdr:rowOff>
    </xdr:from>
    <xdr:to>
      <xdr:col>18</xdr:col>
      <xdr:colOff>428624</xdr:colOff>
      <xdr:row>1</xdr:row>
      <xdr:rowOff>2988470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58256" y="385764"/>
          <a:ext cx="14800793" cy="2869406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803487</xdr:colOff>
      <xdr:row>3</xdr:row>
      <xdr:rowOff>83481</xdr:rowOff>
    </xdr:from>
    <xdr:to>
      <xdr:col>1</xdr:col>
      <xdr:colOff>1948392</xdr:colOff>
      <xdr:row>3</xdr:row>
      <xdr:rowOff>1265124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404" y="3660648"/>
          <a:ext cx="1144905" cy="11816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9</xdr:col>
          <xdr:colOff>514350</xdr:colOff>
          <xdr:row>6</xdr:row>
          <xdr:rowOff>0</xdr:rowOff>
        </xdr:to>
        <xdr:sp macro="" textlink="">
          <xdr:nvSpPr>
            <xdr:cNvPr id="1030" name="Combo_F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9</xdr:col>
          <xdr:colOff>514350</xdr:colOff>
          <xdr:row>10</xdr:row>
          <xdr:rowOff>0</xdr:rowOff>
        </xdr:to>
        <xdr:sp macro="" textlink="">
          <xdr:nvSpPr>
            <xdr:cNvPr id="1031" name="Combo_F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</xdr:row>
          <xdr:rowOff>9525</xdr:rowOff>
        </xdr:from>
        <xdr:to>
          <xdr:col>16</xdr:col>
          <xdr:colOff>514350</xdr:colOff>
          <xdr:row>6</xdr:row>
          <xdr:rowOff>0</xdr:rowOff>
        </xdr:to>
        <xdr:sp macro="" textlink="">
          <xdr:nvSpPr>
            <xdr:cNvPr id="1032" name="Combo_F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9525</xdr:rowOff>
        </xdr:from>
        <xdr:to>
          <xdr:col>16</xdr:col>
          <xdr:colOff>514350</xdr:colOff>
          <xdr:row>10</xdr:row>
          <xdr:rowOff>0</xdr:rowOff>
        </xdr:to>
        <xdr:sp macro="" textlink="">
          <xdr:nvSpPr>
            <xdr:cNvPr id="1033" name="Combo_F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5</xdr:row>
          <xdr:rowOff>9525</xdr:rowOff>
        </xdr:from>
        <xdr:to>
          <xdr:col>23</xdr:col>
          <xdr:colOff>514350</xdr:colOff>
          <xdr:row>6</xdr:row>
          <xdr:rowOff>0</xdr:rowOff>
        </xdr:to>
        <xdr:sp macro="" textlink="">
          <xdr:nvSpPr>
            <xdr:cNvPr id="1034" name="Combo_F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9</xdr:row>
          <xdr:rowOff>9525</xdr:rowOff>
        </xdr:from>
        <xdr:to>
          <xdr:col>23</xdr:col>
          <xdr:colOff>514350</xdr:colOff>
          <xdr:row>10</xdr:row>
          <xdr:rowOff>0</xdr:rowOff>
        </xdr:to>
        <xdr:sp macro="" textlink="">
          <xdr:nvSpPr>
            <xdr:cNvPr id="1035" name="Combo_F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47625</xdr:colOff>
      <xdr:row>4</xdr:row>
      <xdr:rowOff>62949</xdr:rowOff>
    </xdr:from>
    <xdr:to>
      <xdr:col>3</xdr:col>
      <xdr:colOff>314325</xdr:colOff>
      <xdr:row>4</xdr:row>
      <xdr:rowOff>323850</xdr:rowOff>
    </xdr:to>
    <xdr:sp macro="[0]!Limpa_F1_Click" textlink="">
      <xdr:nvSpPr>
        <xdr:cNvPr id="5" name="Limpa_F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95850" y="3091899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47625</xdr:colOff>
      <xdr:row>8</xdr:row>
      <xdr:rowOff>62949</xdr:rowOff>
    </xdr:from>
    <xdr:to>
      <xdr:col>3</xdr:col>
      <xdr:colOff>314325</xdr:colOff>
      <xdr:row>8</xdr:row>
      <xdr:rowOff>323850</xdr:rowOff>
    </xdr:to>
    <xdr:sp macro="[0]!Limpa_F2" textlink="">
      <xdr:nvSpPr>
        <xdr:cNvPr id="18" name="Limpa_F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895850" y="4511124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4</xdr:row>
      <xdr:rowOff>62949</xdr:rowOff>
    </xdr:from>
    <xdr:to>
      <xdr:col>10</xdr:col>
      <xdr:colOff>323850</xdr:colOff>
      <xdr:row>4</xdr:row>
      <xdr:rowOff>323850</xdr:rowOff>
    </xdr:to>
    <xdr:sp macro="[0]!Limpa_F3" textlink="">
      <xdr:nvSpPr>
        <xdr:cNvPr id="19" name="Limpa_F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620250" y="3091899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8</xdr:row>
      <xdr:rowOff>62949</xdr:rowOff>
    </xdr:from>
    <xdr:to>
      <xdr:col>10</xdr:col>
      <xdr:colOff>323850</xdr:colOff>
      <xdr:row>8</xdr:row>
      <xdr:rowOff>323850</xdr:rowOff>
    </xdr:to>
    <xdr:sp macro="[0]!Limpa_F4" textlink="">
      <xdr:nvSpPr>
        <xdr:cNvPr id="20" name="Limpa_F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620250" y="4511124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47625</xdr:colOff>
      <xdr:row>4</xdr:row>
      <xdr:rowOff>62949</xdr:rowOff>
    </xdr:from>
    <xdr:to>
      <xdr:col>17</xdr:col>
      <xdr:colOff>314325</xdr:colOff>
      <xdr:row>4</xdr:row>
      <xdr:rowOff>323850</xdr:rowOff>
    </xdr:to>
    <xdr:sp macro="[0]!Limpa_F5" textlink="">
      <xdr:nvSpPr>
        <xdr:cNvPr id="21" name="Limpa_F5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3220700" y="3091899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47625</xdr:colOff>
      <xdr:row>8</xdr:row>
      <xdr:rowOff>62949</xdr:rowOff>
    </xdr:from>
    <xdr:to>
      <xdr:col>17</xdr:col>
      <xdr:colOff>314325</xdr:colOff>
      <xdr:row>8</xdr:row>
      <xdr:rowOff>323850</xdr:rowOff>
    </xdr:to>
    <xdr:sp macro="[0]!Limpa_F6" textlink="">
      <xdr:nvSpPr>
        <xdr:cNvPr id="22" name="Limpa_F6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3220700" y="4511124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509323</xdr:colOff>
      <xdr:row>202</xdr:row>
      <xdr:rowOff>95250</xdr:rowOff>
    </xdr:from>
    <xdr:to>
      <xdr:col>35</xdr:col>
      <xdr:colOff>1535906</xdr:colOff>
      <xdr:row>203</xdr:row>
      <xdr:rowOff>526747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104" y="50673000"/>
          <a:ext cx="1026583" cy="1062528"/>
        </a:xfrm>
        <a:prstGeom prst="rect">
          <a:avLst/>
        </a:prstGeom>
      </xdr:spPr>
    </xdr:pic>
    <xdr:clientData/>
  </xdr:twoCellAnchor>
  <xdr:twoCellAnchor editAs="oneCell">
    <xdr:from>
      <xdr:col>43</xdr:col>
      <xdr:colOff>95250</xdr:colOff>
      <xdr:row>202</xdr:row>
      <xdr:rowOff>408785</xdr:rowOff>
    </xdr:from>
    <xdr:to>
      <xdr:col>43</xdr:col>
      <xdr:colOff>654055</xdr:colOff>
      <xdr:row>203</xdr:row>
      <xdr:rowOff>250715</xdr:rowOff>
    </xdr:to>
    <xdr:pic macro="[0]!Retorna_ao_Menu">
      <xdr:nvPicPr>
        <xdr:cNvPr id="6" name="Retorno_ao_Menu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75875" y="41080535"/>
          <a:ext cx="558805" cy="472960"/>
        </a:xfrm>
        <a:prstGeom prst="rect">
          <a:avLst/>
        </a:prstGeom>
      </xdr:spPr>
    </xdr:pic>
    <xdr:clientData fPrintsWithSheet="0"/>
  </xdr:twoCellAnchor>
  <xdr:twoCellAnchor>
    <xdr:from>
      <xdr:col>35</xdr:col>
      <xdr:colOff>52915</xdr:colOff>
      <xdr:row>274</xdr:row>
      <xdr:rowOff>11907</xdr:rowOff>
    </xdr:from>
    <xdr:to>
      <xdr:col>44</xdr:col>
      <xdr:colOff>931333</xdr:colOff>
      <xdr:row>293</xdr:row>
      <xdr:rowOff>96772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5627540" y="56504682"/>
          <a:ext cx="11708343" cy="4409215"/>
          <a:chOff x="25734696" y="63900844"/>
          <a:chExt cx="11641668" cy="4319944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5776657" y="63936562"/>
          <a:ext cx="11578540" cy="3221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25871073" y="66953363"/>
            <a:ext cx="11378476" cy="1074504"/>
            <a:chOff x="25654001" y="63150747"/>
            <a:chExt cx="11479264" cy="1112589"/>
          </a:xfrm>
        </xdr:grpSpPr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25729899" y="63150747"/>
              <a:ext cx="3131109" cy="9822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Legenda: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1.1 - Utilidade dos temas tratados;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2.1 - Cumprimento dos objetivos;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2.2 - Desenvolvimento do programa;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2.3 - Conhecimentos adquiridos;</a:t>
              </a:r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/>
          </xdr:nvSpPr>
          <xdr:spPr>
            <a:xfrm>
              <a:off x="29976294" y="63342124"/>
              <a:ext cx="3131109" cy="8650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3.1 - Materiais e/ou equipamentos utilizados;</a:t>
              </a:r>
              <a:endParaRPr lang="pt-PT" sz="1000" b="0" i="0" u="none" strike="noStrike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3.2 - Documentação distribuída;</a:t>
              </a:r>
              <a:endParaRPr lang="pt-PT" sz="1000" b="0" i="0" u="none" strike="noStrike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3.3.1 - Serviços de Apoio: Receção / Segurança;</a:t>
              </a:r>
              <a:endParaRPr lang="pt-PT" sz="1000" b="0" i="0" u="none" strike="noStrike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3.3.2 - Serviços de Apoio: Bar;</a:t>
              </a:r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 txBox="1"/>
          </xdr:nvSpPr>
          <xdr:spPr>
            <a:xfrm>
              <a:off x="33912770" y="63342122"/>
              <a:ext cx="3131109" cy="8438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3.3.3 - Serviços de Apoio: CRC;</a:t>
              </a:r>
            </a:p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3.3.4 - Atendimento ao Cliente / Formando;</a:t>
              </a:r>
            </a:p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3.4 - Instalações onde decorreu a ação / módulo;</a:t>
              </a:r>
            </a:p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5.1 - Avaliação Geral da Ação / Módulo.</a:t>
              </a:r>
              <a:endParaRPr lang="pt-PT" sz="1000" b="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cxnSp macro="">
          <xdr:nvCxnSpPr>
            <xdr:cNvPr id="38" name="Conexão reta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CxnSpPr/>
          </xdr:nvCxnSpPr>
          <xdr:spPr>
            <a:xfrm>
              <a:off x="26412881" y="63285238"/>
              <a:ext cx="1071407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" name="Conexão reta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CxnSpPr/>
          </xdr:nvCxnSpPr>
          <xdr:spPr>
            <a:xfrm flipH="1">
              <a:off x="37128583" y="63286953"/>
              <a:ext cx="1" cy="97345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" name="Conexão reta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CxnSpPr/>
          </xdr:nvCxnSpPr>
          <xdr:spPr>
            <a:xfrm>
              <a:off x="25656499" y="64263336"/>
              <a:ext cx="11476766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" name="Conexão reta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CxnSpPr/>
          </xdr:nvCxnSpPr>
          <xdr:spPr>
            <a:xfrm flipH="1">
              <a:off x="25654001" y="63294698"/>
              <a:ext cx="1" cy="96172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3" name="Conexão reta 52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CxnSpPr/>
          </xdr:nvCxnSpPr>
          <xdr:spPr>
            <a:xfrm flipH="1" flipV="1">
              <a:off x="25656500" y="63297537"/>
              <a:ext cx="82470" cy="1949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5734696" y="63900844"/>
            <a:ext cx="11641668" cy="4319944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</xdr:grpSp>
    <xdr:clientData/>
  </xdr:twoCellAnchor>
  <xdr:twoCellAnchor>
    <xdr:from>
      <xdr:col>35</xdr:col>
      <xdr:colOff>19050</xdr:colOff>
      <xdr:row>318</xdr:row>
      <xdr:rowOff>197648</xdr:rowOff>
    </xdr:from>
    <xdr:to>
      <xdr:col>44</xdr:col>
      <xdr:colOff>666750</xdr:colOff>
      <xdr:row>335</xdr:row>
      <xdr:rowOff>35719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31748</xdr:colOff>
      <xdr:row>271</xdr:row>
      <xdr:rowOff>201087</xdr:rowOff>
    </xdr:from>
    <xdr:to>
      <xdr:col>44</xdr:col>
      <xdr:colOff>582083</xdr:colOff>
      <xdr:row>273</xdr:row>
      <xdr:rowOff>21167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27580165" y="54377170"/>
          <a:ext cx="9281585" cy="2857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1- Mau/Muito Inadequado;</a:t>
          </a:r>
          <a:r>
            <a:rPr lang="pt-PT" sz="115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2- Mediocre/Inadequado;</a:t>
          </a:r>
          <a:r>
            <a:rPr lang="pt-PT" sz="115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3- Suficiente/Adequado; 4- Bom/Bastante Adequado;</a:t>
          </a:r>
          <a:r>
            <a:rPr lang="pt-PT" sz="115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5- Muito Bom / Muito Adequado</a:t>
          </a:r>
        </a:p>
      </xdr:txBody>
    </xdr:sp>
    <xdr:clientData/>
  </xdr:twoCellAnchor>
  <xdr:twoCellAnchor>
    <xdr:from>
      <xdr:col>35</xdr:col>
      <xdr:colOff>23814</xdr:colOff>
      <xdr:row>294</xdr:row>
      <xdr:rowOff>116422</xdr:rowOff>
    </xdr:from>
    <xdr:to>
      <xdr:col>45</xdr:col>
      <xdr:colOff>7943</xdr:colOff>
      <xdr:row>317</xdr:row>
      <xdr:rowOff>178595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5598439" y="61152622"/>
          <a:ext cx="11776079" cy="5100898"/>
          <a:chOff x="25705595" y="61921766"/>
          <a:chExt cx="11437942" cy="4991360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25705595" y="61921766"/>
            <a:ext cx="11437942" cy="4991360"/>
            <a:chOff x="25705595" y="61921766"/>
            <a:chExt cx="11437942" cy="4991360"/>
          </a:xfrm>
        </xdr:grpSpPr>
        <xdr:graphicFrame macro="">
          <xdr:nvGraphicFramePr>
            <xdr:cNvPr id="27" name="Gráfico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aphicFramePr>
              <a:graphicFrameLocks/>
            </xdr:cNvGraphicFramePr>
          </xdr:nvGraphicFramePr>
          <xdr:xfrm>
            <a:off x="25721473" y="62010405"/>
            <a:ext cx="11422064" cy="395287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25705595" y="61921766"/>
              <a:ext cx="11388467" cy="499136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17" name="Agrupar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GrpSpPr/>
          </xdr:nvGrpSpPr>
          <xdr:grpSpPr>
            <a:xfrm>
              <a:off x="25795552" y="65951379"/>
              <a:ext cx="11200045" cy="842692"/>
              <a:chOff x="25653999" y="68511807"/>
              <a:chExt cx="11200045" cy="877967"/>
            </a:xfrm>
          </xdr:grpSpPr>
          <xdr:cxnSp macro="">
            <xdr:nvCxnSpPr>
              <xdr:cNvPr id="40" name="Conexão reta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CxnSpPr/>
            </xdr:nvCxnSpPr>
            <xdr:spPr>
              <a:xfrm>
                <a:off x="26414044" y="68646298"/>
                <a:ext cx="10440000" cy="0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1" name="Conexão reta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CxnSpPr/>
            </xdr:nvCxnSpPr>
            <xdr:spPr>
              <a:xfrm flipH="1">
                <a:off x="36845673" y="68648014"/>
                <a:ext cx="1" cy="648871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" name="Conexão reta 41">
                <a:extLst>
                  <a:ext uri="{FF2B5EF4-FFF2-40B4-BE49-F238E27FC236}">
                    <a16:creationId xmlns:a16="http://schemas.microsoft.com/office/drawing/2014/main" id="{00000000-0008-0000-0000-00002A000000}"/>
                  </a:ext>
                </a:extLst>
              </xdr:cNvPr>
              <xdr:cNvCxnSpPr/>
            </xdr:nvCxnSpPr>
            <xdr:spPr>
              <a:xfrm>
                <a:off x="25656502" y="69289469"/>
                <a:ext cx="11196000" cy="0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3" name="Conexão reta 42">
                <a:extLst>
                  <a:ext uri="{FF2B5EF4-FFF2-40B4-BE49-F238E27FC236}">
                    <a16:creationId xmlns:a16="http://schemas.microsoft.com/office/drawing/2014/main" id="{00000000-0008-0000-0000-00002B000000}"/>
                  </a:ext>
                </a:extLst>
              </xdr:cNvPr>
              <xdr:cNvCxnSpPr/>
            </xdr:nvCxnSpPr>
            <xdr:spPr>
              <a:xfrm flipH="1">
                <a:off x="25653999" y="68655758"/>
                <a:ext cx="1" cy="637618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" name="Conexão reta 43">
                <a:extLst>
                  <a:ext uri="{FF2B5EF4-FFF2-40B4-BE49-F238E27FC236}">
                    <a16:creationId xmlns:a16="http://schemas.microsoft.com/office/drawing/2014/main" id="{00000000-0008-0000-0000-00002C000000}"/>
                  </a:ext>
                </a:extLst>
              </xdr:cNvPr>
              <xdr:cNvCxnSpPr/>
            </xdr:nvCxnSpPr>
            <xdr:spPr>
              <a:xfrm flipH="1" flipV="1">
                <a:off x="25656502" y="68646192"/>
                <a:ext cx="82596" cy="1949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6" name="CaixaDeTexto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 txBox="1"/>
            </xdr:nvSpPr>
            <xdr:spPr>
              <a:xfrm>
                <a:off x="25719414" y="68511807"/>
                <a:ext cx="3261719" cy="8779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r>
                  <a:rPr lang="pt-PT" sz="1000" b="0">
                    <a:latin typeface="Segoe UI" panose="020B0502040204020203" pitchFamily="34" charset="0"/>
                    <a:cs typeface="Segoe UI" panose="020B0502040204020203" pitchFamily="34" charset="0"/>
                  </a:rPr>
                  <a:t>Legenda:</a:t>
                </a:r>
              </a:p>
              <a:p>
                <a:pPr algn="l"/>
                <a:r>
                  <a:rPr lang="pt-PT" sz="1000" b="0" i="0" u="none" strike="noStrike">
                    <a:solidFill>
                      <a:schemeClr val="dk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4.1 - Conhecimentos e Competências Técnicas;</a:t>
                </a:r>
              </a:p>
              <a:p>
                <a:pPr algn="l"/>
                <a:r>
                  <a:rPr lang="pt-PT" sz="1000" b="0" i="0" u="none" strike="noStrike">
                    <a:solidFill>
                      <a:schemeClr val="dk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4.2 - Comunicação e Competências Pedagógicas;</a:t>
                </a:r>
                <a:endParaRPr lang="pt-PT" sz="1000" b="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</xdr:grpSp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 txBox="1"/>
        </xdr:nvSpPr>
        <xdr:spPr>
          <a:xfrm>
            <a:off x="29772241" y="66118067"/>
            <a:ext cx="2398446" cy="5093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4.3 - Pontualidade;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4.4 - Relação Formador/Formando;</a:t>
            </a:r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 txBox="1"/>
        </xdr:nvSpPr>
        <xdr:spPr>
          <a:xfrm>
            <a:off x="33448889" y="66139498"/>
            <a:ext cx="2091267" cy="4402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4.5 - Empenhamento na Ação.</a:t>
            </a:r>
          </a:p>
        </xdr:txBody>
      </xdr:sp>
    </xdr:grpSp>
    <xdr:clientData/>
  </xdr:twoCellAnchor>
  <xdr:twoCellAnchor editAs="oneCell">
    <xdr:from>
      <xdr:col>43</xdr:col>
      <xdr:colOff>819151</xdr:colOff>
      <xdr:row>202</xdr:row>
      <xdr:rowOff>285751</xdr:rowOff>
    </xdr:from>
    <xdr:to>
      <xdr:col>44</xdr:col>
      <xdr:colOff>545307</xdr:colOff>
      <xdr:row>203</xdr:row>
      <xdr:rowOff>345283</xdr:rowOff>
    </xdr:to>
    <xdr:pic macro="[0]!Extrai_PDF">
      <xdr:nvPicPr>
        <xdr:cNvPr id="28" name="Image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99776" y="40957501"/>
          <a:ext cx="690562" cy="690562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285256</xdr:colOff>
      <xdr:row>1</xdr:row>
      <xdr:rowOff>251684</xdr:rowOff>
    </xdr:from>
    <xdr:to>
      <xdr:col>18</xdr:col>
      <xdr:colOff>285750</xdr:colOff>
      <xdr:row>1</xdr:row>
      <xdr:rowOff>637487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592173" y="516267"/>
          <a:ext cx="14467910" cy="385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Menu - Formação Presencial</a:t>
          </a:r>
        </a:p>
      </xdr:txBody>
    </xdr:sp>
    <xdr:clientData/>
  </xdr:twoCellAnchor>
  <xdr:twoCellAnchor>
    <xdr:from>
      <xdr:col>1</xdr:col>
      <xdr:colOff>285256</xdr:colOff>
      <xdr:row>1</xdr:row>
      <xdr:rowOff>697769</xdr:rowOff>
    </xdr:from>
    <xdr:to>
      <xdr:col>18</xdr:col>
      <xdr:colOff>264584</xdr:colOff>
      <xdr:row>1</xdr:row>
      <xdr:rowOff>697769</xdr:rowOff>
    </xdr:to>
    <xdr:cxnSp macro="">
      <xdr:nvCxnSpPr>
        <xdr:cNvPr id="37" name="Conexão reta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>
          <a:off x="592173" y="962352"/>
          <a:ext cx="14446744" cy="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433593</xdr:colOff>
      <xdr:row>1</xdr:row>
      <xdr:rowOff>948539</xdr:rowOff>
    </xdr:from>
    <xdr:to>
      <xdr:col>18</xdr:col>
      <xdr:colOff>206926</xdr:colOff>
      <xdr:row>1</xdr:row>
      <xdr:rowOff>2662949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13130418" y="1215239"/>
          <a:ext cx="1906933" cy="1714410"/>
          <a:chOff x="10390393" y="1213122"/>
          <a:chExt cx="1890000" cy="1714410"/>
        </a:xfrm>
      </xdr:grpSpPr>
      <xdr:sp macro="" textlink="">
        <xdr:nvSpPr>
          <xdr:cNvPr id="61" name="Retângulo: Cantos Arredondados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10390393" y="1213122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10605686" y="1283050"/>
            <a:ext cx="1459414" cy="6007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Inserir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Dados de Formadores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Abre_Formulário_Formadores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98558" y="1827832"/>
            <a:ext cx="966410" cy="9475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2444764</xdr:colOff>
      <xdr:row>1</xdr:row>
      <xdr:rowOff>955773</xdr:rowOff>
    </xdr:from>
    <xdr:to>
      <xdr:col>2</xdr:col>
      <xdr:colOff>1593681</xdr:colOff>
      <xdr:row>1</xdr:row>
      <xdr:rowOff>2670183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pSpPr/>
      </xdr:nvGrpSpPr>
      <xdr:grpSpPr>
        <a:xfrm>
          <a:off x="2749564" y="1222473"/>
          <a:ext cx="1892117" cy="1714410"/>
          <a:chOff x="2630607" y="1220356"/>
          <a:chExt cx="1890000" cy="1714410"/>
        </a:xfrm>
      </xdr:grpSpPr>
      <xdr:sp macro="" textlink="">
        <xdr:nvSpPr>
          <xdr:cNvPr id="66" name="Retângulo: Cantos Arredondados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2630607" y="1220356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pic macro="[0]!Limpeza_Dados_Click">
        <xdr:nvPicPr>
          <xdr:cNvPr id="7" name="Limpeza_Dados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15841" y="1853080"/>
            <a:ext cx="961865" cy="966910"/>
          </a:xfrm>
          <a:prstGeom prst="rect">
            <a:avLst/>
          </a:prstGeom>
        </xdr:spPr>
      </xdr:pic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2845900" y="1304753"/>
            <a:ext cx="1459414" cy="573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Limpar Todos os Dados</a:t>
            </a:r>
          </a:p>
        </xdr:txBody>
      </xdr:sp>
    </xdr:grpSp>
    <xdr:clientData/>
  </xdr:twoCellAnchor>
  <xdr:twoCellAnchor>
    <xdr:from>
      <xdr:col>2</xdr:col>
      <xdr:colOff>1761177</xdr:colOff>
      <xdr:row>1</xdr:row>
      <xdr:rowOff>959657</xdr:rowOff>
    </xdr:from>
    <xdr:to>
      <xdr:col>3</xdr:col>
      <xdr:colOff>867760</xdr:colOff>
      <xdr:row>1</xdr:row>
      <xdr:rowOff>2674067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pSpPr/>
      </xdr:nvGrpSpPr>
      <xdr:grpSpPr>
        <a:xfrm>
          <a:off x="4809177" y="1226357"/>
          <a:ext cx="1887883" cy="1714410"/>
          <a:chOff x="4557508" y="1234823"/>
          <a:chExt cx="1890000" cy="1714410"/>
        </a:xfrm>
      </xdr:grpSpPr>
      <xdr:sp macro="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4557508" y="1234823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4772801" y="1290285"/>
            <a:ext cx="1459414" cy="720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Efetuar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uma Pesquisa de Ação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Pesquisa_Ação"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58883" y="1906689"/>
            <a:ext cx="887250" cy="86355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387268</xdr:colOff>
      <xdr:row>1</xdr:row>
      <xdr:rowOff>941307</xdr:rowOff>
    </xdr:from>
    <xdr:to>
      <xdr:col>1</xdr:col>
      <xdr:colOff>2277268</xdr:colOff>
      <xdr:row>1</xdr:row>
      <xdr:rowOff>2655717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pSpPr/>
      </xdr:nvGrpSpPr>
      <xdr:grpSpPr>
        <a:xfrm>
          <a:off x="692068" y="1208007"/>
          <a:ext cx="1890000" cy="1714410"/>
          <a:chOff x="662435" y="1205890"/>
          <a:chExt cx="1890000" cy="1714410"/>
        </a:xfrm>
      </xdr:grpSpPr>
      <xdr:sp macro="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662435" y="1205890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844506" y="1275818"/>
            <a:ext cx="1525858" cy="720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Inserir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Registo de Avaliação de Ação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Novo_Registo_Click"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12464" y="1830409"/>
            <a:ext cx="989943" cy="97842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511815</xdr:colOff>
      <xdr:row>1</xdr:row>
      <xdr:rowOff>958184</xdr:rowOff>
    </xdr:from>
    <xdr:to>
      <xdr:col>10</xdr:col>
      <xdr:colOff>285148</xdr:colOff>
      <xdr:row>1</xdr:row>
      <xdr:rowOff>2672594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8941440" y="1224884"/>
          <a:ext cx="1906933" cy="1714410"/>
          <a:chOff x="8442325" y="1222767"/>
          <a:chExt cx="1890000" cy="1714410"/>
        </a:xfrm>
      </xdr:grpSpPr>
      <xdr:sp macro="" textlink="">
        <xdr:nvSpPr>
          <xdr:cNvPr id="65" name="Retângulo: Cantos Arredondados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442325" y="1222767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8580495" y="1312335"/>
            <a:ext cx="1613660" cy="720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Eliminar Registo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 Avaliação de Ação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Exibe_Formulário_Eliminação_Registos"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40009" y="1879071"/>
            <a:ext cx="894632" cy="897731"/>
          </a:xfrm>
          <a:prstGeom prst="rect">
            <a:avLst/>
          </a:prstGeom>
        </xdr:spPr>
      </xdr:pic>
    </xdr:grpSp>
    <xdr:clientData/>
  </xdr:twoCellAnchor>
  <xdr:twoCellAnchor>
    <xdr:from>
      <xdr:col>36</xdr:col>
      <xdr:colOff>2084912</xdr:colOff>
      <xdr:row>202</xdr:row>
      <xdr:rowOff>179915</xdr:rowOff>
    </xdr:from>
    <xdr:to>
      <xdr:col>40</xdr:col>
      <xdr:colOff>878412</xdr:colOff>
      <xdr:row>203</xdr:row>
      <xdr:rowOff>52914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29633329" y="43719748"/>
          <a:ext cx="3672416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Questionário de Avaliação</a:t>
          </a:r>
        </a:p>
      </xdr:txBody>
    </xdr:sp>
    <xdr:clientData/>
  </xdr:twoCellAnchor>
  <xdr:twoCellAnchor>
    <xdr:from>
      <xdr:col>36</xdr:col>
      <xdr:colOff>888998</xdr:colOff>
      <xdr:row>202</xdr:row>
      <xdr:rowOff>618071</xdr:rowOff>
    </xdr:from>
    <xdr:to>
      <xdr:col>42</xdr:col>
      <xdr:colOff>158750</xdr:colOff>
      <xdr:row>203</xdr:row>
      <xdr:rowOff>491070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28437415" y="44157904"/>
          <a:ext cx="6074835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Ação / Módulo de Formação - Formação Presencial</a:t>
          </a:r>
        </a:p>
      </xdr:txBody>
    </xdr:sp>
    <xdr:clientData/>
  </xdr:twoCellAnchor>
  <xdr:twoCellAnchor>
    <xdr:from>
      <xdr:col>3</xdr:col>
      <xdr:colOff>982341</xdr:colOff>
      <xdr:row>1</xdr:row>
      <xdr:rowOff>971351</xdr:rowOff>
    </xdr:from>
    <xdr:to>
      <xdr:col>6</xdr:col>
      <xdr:colOff>397234</xdr:colOff>
      <xdr:row>1</xdr:row>
      <xdr:rowOff>2685761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pSpPr/>
      </xdr:nvGrpSpPr>
      <xdr:grpSpPr>
        <a:xfrm>
          <a:off x="6811641" y="1238051"/>
          <a:ext cx="2015218" cy="1714410"/>
          <a:chOff x="6437690" y="1225351"/>
          <a:chExt cx="2007809" cy="1714410"/>
        </a:xfrm>
      </xdr:grpSpPr>
      <xdr:sp macro="[0]!Exibe_Formulário_Resumo_Formador_FP" textlink="">
        <xdr:nvSpPr>
          <xdr:cNvPr id="73" name="Retângulo: Cantos Arredondados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6496594" y="1225351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[0]!Exibe_Formulário_Resumo_Formador_FP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6437690" y="1305862"/>
            <a:ext cx="2007809" cy="7261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Consultar Resumo das Avaliações do Formador</a:t>
            </a:r>
          </a:p>
        </xdr:txBody>
      </xdr:sp>
      <xdr:pic macro="[0]!Exibe_Formulário_Resumo_Formador_FP">
        <xdr:nvPicPr>
          <xdr:cNvPr id="54" name="Imagem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85428" y="1772138"/>
            <a:ext cx="1312333" cy="1077989"/>
          </a:xfrm>
          <a:prstGeom prst="rect">
            <a:avLst/>
          </a:prstGeom>
        </xdr:spPr>
      </xdr:pic>
    </xdr:grpSp>
    <xdr:clientData/>
  </xdr:twoCellAnchor>
  <xdr:twoCellAnchor>
    <xdr:from>
      <xdr:col>35</xdr:col>
      <xdr:colOff>497417</xdr:colOff>
      <xdr:row>496</xdr:row>
      <xdr:rowOff>95250</xdr:rowOff>
    </xdr:from>
    <xdr:to>
      <xdr:col>35</xdr:col>
      <xdr:colOff>1524000</xdr:colOff>
      <xdr:row>497</xdr:row>
      <xdr:rowOff>526747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13834" y="107325583"/>
          <a:ext cx="1026583" cy="1055914"/>
        </a:xfrm>
        <a:prstGeom prst="rect">
          <a:avLst/>
        </a:prstGeom>
      </xdr:spPr>
    </xdr:pic>
    <xdr:clientData/>
  </xdr:twoCellAnchor>
  <xdr:twoCellAnchor editAs="oneCell">
    <xdr:from>
      <xdr:col>43</xdr:col>
      <xdr:colOff>740836</xdr:colOff>
      <xdr:row>496</xdr:row>
      <xdr:rowOff>419369</xdr:rowOff>
    </xdr:from>
    <xdr:to>
      <xdr:col>44</xdr:col>
      <xdr:colOff>336557</xdr:colOff>
      <xdr:row>497</xdr:row>
      <xdr:rowOff>261298</xdr:rowOff>
    </xdr:to>
    <xdr:pic macro="[0]!Retorna_ao_Menu">
      <xdr:nvPicPr>
        <xdr:cNvPr id="75" name="Retorno_ao_Menu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57419" y="108835036"/>
          <a:ext cx="558805" cy="466346"/>
        </a:xfrm>
        <a:prstGeom prst="rect">
          <a:avLst/>
        </a:prstGeom>
      </xdr:spPr>
    </xdr:pic>
    <xdr:clientData fPrintsWithSheet="0"/>
  </xdr:twoCellAnchor>
  <xdr:twoCellAnchor editAs="oneCell">
    <xdr:from>
      <xdr:col>44</xdr:col>
      <xdr:colOff>501653</xdr:colOff>
      <xdr:row>496</xdr:row>
      <xdr:rowOff>296335</xdr:rowOff>
    </xdr:from>
    <xdr:to>
      <xdr:col>45</xdr:col>
      <xdr:colOff>227811</xdr:colOff>
      <xdr:row>497</xdr:row>
      <xdr:rowOff>355866</xdr:rowOff>
    </xdr:to>
    <xdr:pic macro="[0]!Extrai_Resumo_Formador_PDF_Click">
      <xdr:nvPicPr>
        <xdr:cNvPr id="79" name="Extrai_Resumo_Formador_PDF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81320" y="108712002"/>
          <a:ext cx="689240" cy="683948"/>
        </a:xfrm>
        <a:prstGeom prst="rect">
          <a:avLst/>
        </a:prstGeom>
      </xdr:spPr>
    </xdr:pic>
    <xdr:clientData fPrintsWithSheet="0"/>
  </xdr:twoCellAnchor>
  <xdr:twoCellAnchor>
    <xdr:from>
      <xdr:col>37</xdr:col>
      <xdr:colOff>645582</xdr:colOff>
      <xdr:row>496</xdr:row>
      <xdr:rowOff>190499</xdr:rowOff>
    </xdr:from>
    <xdr:to>
      <xdr:col>42</xdr:col>
      <xdr:colOff>243417</xdr:colOff>
      <xdr:row>497</xdr:row>
      <xdr:rowOff>63499</xdr:rowOff>
    </xdr:to>
    <xdr:sp macro="" textlink="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30278915" y="107494916"/>
          <a:ext cx="4318002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Resumo das Avaliações</a:t>
          </a:r>
          <a:r>
            <a:rPr lang="pt-PT" sz="18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do Formador</a:t>
          </a:r>
          <a:endParaRPr lang="pt-PT" sz="18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36</xdr:col>
      <xdr:colOff>1682751</xdr:colOff>
      <xdr:row>496</xdr:row>
      <xdr:rowOff>618073</xdr:rowOff>
    </xdr:from>
    <xdr:to>
      <xdr:col>42</xdr:col>
      <xdr:colOff>952503</xdr:colOff>
      <xdr:row>497</xdr:row>
      <xdr:rowOff>491073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29231168" y="107922490"/>
          <a:ext cx="6074835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Formação Presencial</a:t>
          </a:r>
        </a:p>
      </xdr:txBody>
    </xdr:sp>
    <xdr:clientData/>
  </xdr:twoCellAnchor>
  <xdr:twoCellAnchor>
    <xdr:from>
      <xdr:col>35</xdr:col>
      <xdr:colOff>10583</xdr:colOff>
      <xdr:row>507</xdr:row>
      <xdr:rowOff>222249</xdr:rowOff>
    </xdr:from>
    <xdr:to>
      <xdr:col>38</xdr:col>
      <xdr:colOff>677333</xdr:colOff>
      <xdr:row>530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pSpPr/>
      </xdr:nvGrpSpPr>
      <xdr:grpSpPr>
        <a:xfrm>
          <a:off x="25585208" y="109121574"/>
          <a:ext cx="6819900" cy="4816476"/>
          <a:chOff x="25527000" y="109664499"/>
          <a:chExt cx="6741583" cy="4889501"/>
        </a:xfrm>
      </xdr:grpSpPr>
      <xdr:graphicFrame macro="">
        <xdr:nvGraphicFramePr>
          <xdr:cNvPr id="84" name="Gráfico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GraphicFramePr>
            <a:graphicFrameLocks/>
          </xdr:cNvGraphicFramePr>
        </xdr:nvGraphicFramePr>
        <xdr:xfrm>
          <a:off x="25558748" y="109696250"/>
          <a:ext cx="6688667" cy="382058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 txBox="1"/>
        </xdr:nvSpPr>
        <xdr:spPr>
          <a:xfrm>
            <a:off x="25759832" y="113527417"/>
            <a:ext cx="3339433" cy="9101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>
                <a:latin typeface="Segoe UI" panose="020B0502040204020203" pitchFamily="34" charset="0"/>
                <a:cs typeface="Segoe UI" panose="020B0502040204020203" pitchFamily="34" charset="0"/>
              </a:rPr>
              <a:t>Legenda: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4.1 - Conhecimentos e Competências Técnicas;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4.2 - Comunicação e Competências Pedagógicas;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4.3 - Pontualidade;</a:t>
            </a:r>
            <a:endParaRPr lang="pt-PT" sz="1000" b="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 txBox="1"/>
        </xdr:nvSpPr>
        <xdr:spPr>
          <a:xfrm>
            <a:off x="29139881" y="113700200"/>
            <a:ext cx="2455591" cy="5279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4.4 - Relação Formador/Formando;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PT" sz="1000" b="0" i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4.5 - Empenhamento na Ação.</a:t>
            </a:r>
            <a:endParaRPr lang="pt-PT" sz="1000"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  <a:p>
            <a:pPr algn="l"/>
            <a:endParaRPr lang="pt-PT" sz="1000" b="0" i="0" u="none" strike="noStrike">
              <a:solidFill>
                <a:schemeClr val="dk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endParaRPr>
          </a:p>
        </xdr:txBody>
      </xdr:sp>
      <xdr:cxnSp macro="">
        <xdr:nvCxnSpPr>
          <xdr:cNvPr id="13" name="Conexão reta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26437166" y="113675583"/>
            <a:ext cx="56700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exão reta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25700566" y="114399483"/>
            <a:ext cx="64224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exão reta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32109835" y="113675582"/>
            <a:ext cx="4234" cy="7200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5527000" y="109664499"/>
            <a:ext cx="6741583" cy="4889501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cxnSp macro="">
        <xdr:nvCxnSpPr>
          <xdr:cNvPr id="92" name="Conexão reta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25700568" y="113679815"/>
            <a:ext cx="4234" cy="7200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exão reta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25696335" y="113679816"/>
            <a:ext cx="9681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462168</xdr:colOff>
      <xdr:row>1</xdr:row>
      <xdr:rowOff>948539</xdr:rowOff>
    </xdr:from>
    <xdr:to>
      <xdr:col>14</xdr:col>
      <xdr:colOff>235501</xdr:colOff>
      <xdr:row>1</xdr:row>
      <xdr:rowOff>2662949</xdr:rowOff>
    </xdr:to>
    <xdr:sp macro="" textlink="">
      <xdr:nvSpPr>
        <xdr:cNvPr id="94" name="Retângulo: Cantos Arredondados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11025393" y="1215239"/>
          <a:ext cx="1906933" cy="1714410"/>
        </a:xfrm>
        <a:prstGeom prst="roundRect">
          <a:avLst/>
        </a:prstGeom>
        <a:solidFill>
          <a:srgbClr val="276F8B">
            <a:alpha val="20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</xdr:col>
      <xdr:colOff>19050</xdr:colOff>
      <xdr:row>1</xdr:row>
      <xdr:rowOff>1018467</xdr:rowOff>
    </xdr:from>
    <xdr:to>
      <xdr:col>14</xdr:col>
      <xdr:colOff>123825</xdr:colOff>
      <xdr:row>1</xdr:row>
      <xdr:rowOff>1571625</xdr:rowOff>
    </xdr:to>
    <xdr:sp macro="" textlink="">
      <xdr:nvSpPr>
        <xdr:cNvPr id="95" name="CaixaDeTexto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 txBox="1"/>
      </xdr:nvSpPr>
      <xdr:spPr>
        <a:xfrm>
          <a:off x="11115675" y="1285167"/>
          <a:ext cx="1704975" cy="5531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Consultar Ranking de Formadores</a:t>
          </a:r>
        </a:p>
      </xdr:txBody>
    </xdr:sp>
    <xdr:clientData/>
  </xdr:twoCellAnchor>
  <xdr:twoCellAnchor editAs="oneCell">
    <xdr:from>
      <xdr:col>11</xdr:col>
      <xdr:colOff>310069</xdr:colOff>
      <xdr:row>1</xdr:row>
      <xdr:rowOff>1543051</xdr:rowOff>
    </xdr:from>
    <xdr:to>
      <xdr:col>13</xdr:col>
      <xdr:colOff>387599</xdr:colOff>
      <xdr:row>1</xdr:row>
      <xdr:rowOff>2552701</xdr:rowOff>
    </xdr:to>
    <xdr:pic macro="[0]!Folha1.Tabela_Ranking_Formadores_FP"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6694" y="1809751"/>
          <a:ext cx="1144330" cy="1009650"/>
        </a:xfrm>
        <a:prstGeom prst="rect">
          <a:avLst/>
        </a:prstGeom>
      </xdr:spPr>
    </xdr:pic>
    <xdr:clientData/>
  </xdr:twoCellAnchor>
  <xdr:twoCellAnchor editAs="oneCell">
    <xdr:from>
      <xdr:col>17</xdr:col>
      <xdr:colOff>332318</xdr:colOff>
      <xdr:row>1</xdr:row>
      <xdr:rowOff>222253</xdr:rowOff>
    </xdr:from>
    <xdr:to>
      <xdr:col>18</xdr:col>
      <xdr:colOff>205318</xdr:colOff>
      <xdr:row>1</xdr:row>
      <xdr:rowOff>624419</xdr:rowOff>
    </xdr:to>
    <xdr:pic macro="[0]!Folha1.Desprotege_Folhas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7485" y="486836"/>
          <a:ext cx="402166" cy="4021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1345405</xdr:colOff>
      <xdr:row>2</xdr:row>
      <xdr:rowOff>11906</xdr:rowOff>
    </xdr:from>
    <xdr:to>
      <xdr:col>52</xdr:col>
      <xdr:colOff>1595436</xdr:colOff>
      <xdr:row>3</xdr:row>
      <xdr:rowOff>556406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8235968" y="631031"/>
          <a:ext cx="1595437" cy="11160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51</xdr:col>
      <xdr:colOff>1345405</xdr:colOff>
      <xdr:row>2</xdr:row>
      <xdr:rowOff>345281</xdr:rowOff>
    </xdr:from>
    <xdr:to>
      <xdr:col>58</xdr:col>
      <xdr:colOff>1607343</xdr:colOff>
      <xdr:row>3</xdr:row>
      <xdr:rowOff>250031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8235968" y="964406"/>
          <a:ext cx="19288125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Ranking de Formadores FP - Ordenado pelos Valores Médios Mais Elevados</a:t>
          </a:r>
        </a:p>
      </xdr:txBody>
    </xdr:sp>
    <xdr:clientData/>
  </xdr:twoCellAnchor>
  <xdr:twoCellAnchor>
    <xdr:from>
      <xdr:col>58</xdr:col>
      <xdr:colOff>57148</xdr:colOff>
      <xdr:row>2</xdr:row>
      <xdr:rowOff>33344</xdr:rowOff>
    </xdr:from>
    <xdr:to>
      <xdr:col>58</xdr:col>
      <xdr:colOff>1428750</xdr:colOff>
      <xdr:row>4</xdr:row>
      <xdr:rowOff>119062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91032804" y="652469"/>
          <a:ext cx="1371602" cy="12287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 Acima de 80%;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Entre 80% e 60%;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Entre 60% e 40%;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Entre 40% e 20%;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Abaixo de 20%.</a:t>
          </a:r>
          <a:endParaRPr lang="pt-PT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58</xdr:col>
      <xdr:colOff>1306673</xdr:colOff>
      <xdr:row>2</xdr:row>
      <xdr:rowOff>88203</xdr:rowOff>
    </xdr:from>
    <xdr:to>
      <xdr:col>58</xdr:col>
      <xdr:colOff>1523428</xdr:colOff>
      <xdr:row>3</xdr:row>
      <xdr:rowOff>406672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98863840" y="723203"/>
          <a:ext cx="216755" cy="889969"/>
          <a:chOff x="90108825" y="80962"/>
          <a:chExt cx="268649" cy="1298592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11709" y="80962"/>
            <a:ext cx="252000" cy="255484"/>
          </a:xfrm>
          <a:prstGeom prst="rect">
            <a:avLst/>
          </a:prstGeom>
          <a:ln>
            <a:noFill/>
          </a:ln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13626" y="376218"/>
            <a:ext cx="252000" cy="233332"/>
          </a:xfrm>
          <a:prstGeom prst="rect">
            <a:avLst/>
          </a:prstGeom>
          <a:ln>
            <a:noFill/>
          </a:ln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20751" y="613620"/>
            <a:ext cx="252000" cy="250916"/>
          </a:xfrm>
          <a:prstGeom prst="rect">
            <a:avLst/>
          </a:prstGeom>
          <a:ln>
            <a:noFill/>
          </a:ln>
        </xdr:spPr>
      </xdr:pic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08825" y="886257"/>
            <a:ext cx="252000" cy="232166"/>
          </a:xfrm>
          <a:prstGeom prst="rect">
            <a:avLst/>
          </a:prstGeom>
          <a:ln>
            <a:noFill/>
          </a:ln>
        </xdr:spPr>
      </xdr:pic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25474" y="1112455"/>
            <a:ext cx="252000" cy="26709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57</xdr:col>
      <xdr:colOff>47625</xdr:colOff>
      <xdr:row>2</xdr:row>
      <xdr:rowOff>349252</xdr:rowOff>
    </xdr:from>
    <xdr:to>
      <xdr:col>57</xdr:col>
      <xdr:colOff>606430</xdr:colOff>
      <xdr:row>3</xdr:row>
      <xdr:rowOff>250712</xdr:rowOff>
    </xdr:to>
    <xdr:pic macro="[0]!Retorna_ao_Menu">
      <xdr:nvPicPr>
        <xdr:cNvPr id="17" name="Retorno_ao_Menu_Ranking_FP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51656" y="968377"/>
          <a:ext cx="558805" cy="472960"/>
        </a:xfrm>
        <a:prstGeom prst="rect">
          <a:avLst/>
        </a:prstGeom>
      </xdr:spPr>
    </xdr:pic>
    <xdr:clientData fPrintsWithSheet="0"/>
  </xdr:twoCellAnchor>
  <xdr:twoCellAnchor editAs="oneCell">
    <xdr:from>
      <xdr:col>57</xdr:col>
      <xdr:colOff>759620</xdr:colOff>
      <xdr:row>2</xdr:row>
      <xdr:rowOff>226218</xdr:rowOff>
    </xdr:from>
    <xdr:to>
      <xdr:col>57</xdr:col>
      <xdr:colOff>1450182</xdr:colOff>
      <xdr:row>3</xdr:row>
      <xdr:rowOff>345280</xdr:rowOff>
    </xdr:to>
    <xdr:pic macro="[0]!Extrai_Ranking_Formadores_FP">
      <xdr:nvPicPr>
        <xdr:cNvPr id="18" name="Extrai_PDF_Ranking_FP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63651" y="845343"/>
          <a:ext cx="690562" cy="690562"/>
        </a:xfrm>
        <a:prstGeom prst="rect">
          <a:avLst/>
        </a:prstGeom>
      </xdr:spPr>
    </xdr:pic>
    <xdr:clientData fPrintsWithSheet="0"/>
  </xdr:twoCellAnchor>
  <xdr:twoCellAnchor editAs="absolute">
    <xdr:from>
      <xdr:col>52</xdr:col>
      <xdr:colOff>273844</xdr:colOff>
      <xdr:row>2</xdr:row>
      <xdr:rowOff>23812</xdr:rowOff>
    </xdr:from>
    <xdr:to>
      <xdr:col>52</xdr:col>
      <xdr:colOff>1311593</xdr:colOff>
      <xdr:row>3</xdr:row>
      <xdr:rowOff>523361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93969" y="642937"/>
          <a:ext cx="1037749" cy="1071049"/>
        </a:xfrm>
        <a:prstGeom prst="rect">
          <a:avLst/>
        </a:prstGeom>
      </xdr:spPr>
    </xdr:pic>
    <xdr:clientData/>
  </xdr:twoCellAnchor>
  <xdr:twoCellAnchor editAs="oneCell">
    <xdr:from>
      <xdr:col>36</xdr:col>
      <xdr:colOff>2297906</xdr:colOff>
      <xdr:row>2</xdr:row>
      <xdr:rowOff>321469</xdr:rowOff>
    </xdr:from>
    <xdr:to>
      <xdr:col>36</xdr:col>
      <xdr:colOff>2856711</xdr:colOff>
      <xdr:row>3</xdr:row>
      <xdr:rowOff>222929</xdr:rowOff>
    </xdr:to>
    <xdr:pic macro="[0]!Retorna_ao_Menu">
      <xdr:nvPicPr>
        <xdr:cNvPr id="15" name="Retorno_ao_Menu_Ranking_FP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05594" y="940594"/>
          <a:ext cx="558805" cy="472960"/>
        </a:xfrm>
        <a:prstGeom prst="rect">
          <a:avLst/>
        </a:prstGeom>
      </xdr:spPr>
    </xdr:pic>
    <xdr:clientData fPrintsWithSheet="0"/>
  </xdr:twoCellAnchor>
  <xdr:twoCellAnchor editAs="oneCell">
    <xdr:from>
      <xdr:col>21</xdr:col>
      <xdr:colOff>2402681</xdr:colOff>
      <xdr:row>2</xdr:row>
      <xdr:rowOff>33339</xdr:rowOff>
    </xdr:from>
    <xdr:to>
      <xdr:col>21</xdr:col>
      <xdr:colOff>2961486</xdr:colOff>
      <xdr:row>2</xdr:row>
      <xdr:rowOff>506299</xdr:rowOff>
    </xdr:to>
    <xdr:pic macro="[0]!Retorna_ao_Menu">
      <xdr:nvPicPr>
        <xdr:cNvPr id="19" name="Retorno_ao_Menu_Ranking_FP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58869" y="652464"/>
          <a:ext cx="558805" cy="47296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0</xdr:row>
      <xdr:rowOff>152400</xdr:rowOff>
    </xdr:from>
    <xdr:to>
      <xdr:col>5</xdr:col>
      <xdr:colOff>1149355</xdr:colOff>
      <xdr:row>0</xdr:row>
      <xdr:rowOff>625360</xdr:rowOff>
    </xdr:to>
    <xdr:pic macro="[0]!Retorna_ao_Menu">
      <xdr:nvPicPr>
        <xdr:cNvPr id="2" name="Retorno_ao_Menu_Ranking_F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21025" y="152400"/>
          <a:ext cx="558805" cy="4729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402166</xdr:colOff>
      <xdr:row>0</xdr:row>
      <xdr:rowOff>95250</xdr:rowOff>
    </xdr:from>
    <xdr:to>
      <xdr:col>4</xdr:col>
      <xdr:colOff>1008742</xdr:colOff>
      <xdr:row>0</xdr:row>
      <xdr:rowOff>689973</xdr:rowOff>
    </xdr:to>
    <xdr:pic macro="[0]!Abre_Formulário_Formadores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98083" y="95250"/>
          <a:ext cx="606576" cy="5947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8AEF95-3E2D-4143-8672-910AE730C070}" name="Tabela_Avaliação_Presencial" displayName="Tabela_Avaliação_Presencial" ref="Y5:AK164" totalsRowShown="0" headerRowDxfId="52" dataDxfId="50" headerRowBorderDxfId="51" tableBorderDxfId="49">
  <autoFilter ref="Y5:AK164" xr:uid="{EB6F280E-CE20-438C-88E0-3625609F8FA5}"/>
  <sortState xmlns:xlrd2="http://schemas.microsoft.com/office/spreadsheetml/2017/richdata2" ref="Y6:AK164">
    <sortCondition ref="AE6:AE164"/>
    <sortCondition ref="Y6:Y164"/>
  </sortState>
  <tableColumns count="13">
    <tableColumn id="6" xr3:uid="{7DC07978-4E06-4BAD-AEF1-11966AF040CE}" name="Cód. Ação" dataDxfId="48"/>
    <tableColumn id="7" xr3:uid="{CBB3C54B-13A2-486C-B145-6A7163C35557}" name="Desig. Ação" dataDxfId="47"/>
    <tableColumn id="8" xr3:uid="{96183F63-44FD-42E6-83FD-0D7A3EC77470}" name="Cód. UFCD" dataDxfId="46"/>
    <tableColumn id="9" xr3:uid="{BD3A4542-1070-450B-BAFD-803D8875E621}" name="Desig. UFCD" dataDxfId="45"/>
    <tableColumn id="10" xr3:uid="{1BBC68FD-24CA-4039-AC20-BB9619D189A3}" name="Username de registo" dataDxfId="44"/>
    <tableColumn id="11" xr3:uid="{68F56749-1DC1-4C6D-AD44-05770683CBED}" name="Data de registo" dataDxfId="43"/>
    <tableColumn id="12" xr3:uid="{B2E86A2D-823D-417E-83B9-D01329E20946}" name="Nome Completo" dataDxfId="42"/>
    <tableColumn id="1" xr3:uid="{FF625BE2-759B-4175-921C-FBF280AB86EA}" name="4.1 - Conhecimentos e Competências Técnicas" dataDxfId="41"/>
    <tableColumn id="2" xr3:uid="{15AED77D-CA71-4D09-AB3A-559D1D0D7E35}" name="4.2 - Comunicação e Competências Pedagógicas" dataDxfId="40"/>
    <tableColumn id="3" xr3:uid="{23E2788C-1F48-4A50-B3E0-80B867793DCE}" name="4.3 - Pontualidade" dataDxfId="39"/>
    <tableColumn id="4" xr3:uid="{7D03CE9C-4592-4E8C-B308-80AA9839DD8F}" name="4.4 - Relação Formador/Formando" dataDxfId="38"/>
    <tableColumn id="5" xr3:uid="{8F5C8D44-5BF6-4CEE-BE4A-8B32DECC6DF1}" name="4.5 - Empenhamento na Ação" dataDxfId="37"/>
    <tableColumn id="13" xr3:uid="{1225519B-C577-48FE-B717-7065965810D4}" name="Comentários / Sugestões Finais" dataDxfId="36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310F5C-1471-4AE1-A300-C224BC30212F}" name="Tabela_Geral_Presencial" displayName="Tabela_Geral_Presencial" ref="B5:V164" totalsRowShown="0" headerRowDxfId="35" dataDxfId="33" headerRowBorderDxfId="34" tableBorderDxfId="32">
  <autoFilter ref="B5:V164" xr:uid="{181A78B9-B399-4098-8B54-EBF754269928}"/>
  <sortState xmlns:xlrd2="http://schemas.microsoft.com/office/spreadsheetml/2017/richdata2" ref="B6:V164">
    <sortCondition ref="B6:B164"/>
  </sortState>
  <tableColumns count="21">
    <tableColumn id="1" xr3:uid="{3512809F-4443-4235-8593-E244CE862381}" name="Cód. Ação" dataDxfId="31"/>
    <tableColumn id="2" xr3:uid="{B68F20E6-5483-4309-BB1C-EB1D5C2D9798}" name="Desig. Ação" dataDxfId="30"/>
    <tableColumn id="3" xr3:uid="{256517E4-E32B-407E-A8CC-BE39FE86F246}" name="Cód. UFCD" dataDxfId="29"/>
    <tableColumn id="4" xr3:uid="{9B153DEE-96E1-4F74-A4AD-A3D952D9CEF2}" name="Desig. UFCD" dataDxfId="28"/>
    <tableColumn id="5" xr3:uid="{660C4E5C-2A26-488C-80BF-308B351146ED}" name="Username de registo" dataDxfId="27"/>
    <tableColumn id="6" xr3:uid="{29325FEA-7F3E-4C4D-BC12-C3B1A24CE32A}" name="Data de registo" dataDxfId="26"/>
    <tableColumn id="7" xr3:uid="{4B506DB8-1058-44A6-BF2C-0AAFADE1AE2B}" name="1.1 - Utilidade dos temas tratados" dataDxfId="25"/>
    <tableColumn id="8" xr3:uid="{9DE04E0D-51C3-4C9F-ABBA-302E8DE75E9B}" name="2.1 - Cumprimento dos objetivos" dataDxfId="24"/>
    <tableColumn id="9" xr3:uid="{0C9C8801-2F0D-4FF6-96CB-33837314D968}" name="2.2 - Desenvolvimento do Programa" dataDxfId="23"/>
    <tableColumn id="10" xr3:uid="{F889C279-9B66-4192-8F07-82DDBCCD914E}" name="2.3 - Conhecimentos Adquiridos" dataDxfId="22"/>
    <tableColumn id="11" xr3:uid="{7CC6E078-6A04-463D-9C82-C8C65F1E7021}" name="3.1 - Materiais e/ou equipamentos utilizados" dataDxfId="21"/>
    <tableColumn id="12" xr3:uid="{10C6A375-7518-4606-8C56-06CF18EAC5EC}" name="3.2 - Documentação distribuída" dataDxfId="20"/>
    <tableColumn id="13" xr3:uid="{EFB1DD7C-DE68-4D99-8E19-0E908B7CA12B}" name="3.3.1 - Serviços de Apoio: Receção / Segurança" dataDxfId="19"/>
    <tableColumn id="14" xr3:uid="{4DE90967-657F-4B09-8E17-426E42169304}" name="3.3.2 - Serviços de Apoio: Bar" dataDxfId="18"/>
    <tableColumn id="15" xr3:uid="{7228ECDA-385A-43F9-AD68-634A9FDB8BCB}" name="3.3.3 - Serviços de Apoio: CRC" dataDxfId="17"/>
    <tableColumn id="16" xr3:uid="{1C3E4CFD-AC2B-466F-B12D-5FEE9EE42106}" name="3.3.4 - Atendimento ao Cliente / Formando" dataDxfId="16"/>
    <tableColumn id="17" xr3:uid="{2339D333-8907-460A-A321-4DF0EB1D64B2}" name="3.4 - Instalações onde decorreu a ação / módulo" dataDxfId="15"/>
    <tableColumn id="18" xr3:uid="{025B8451-9AE2-46DA-9D90-FA4C9ECFAD56}" name="5.1 - Avaliação Geral da Ação / Módulo" dataDxfId="14"/>
    <tableColumn id="19" xr3:uid="{0596AFAE-E2C4-45D4-B956-19DD7646DC71}" name="Comentários / Sugestões Finais" dataDxfId="13"/>
    <tableColumn id="20" xr3:uid="{3A196B7F-42A7-4413-BD8B-D59C868441B9}" name="Como tomou conhecimento da ação?" dataDxfId="12"/>
    <tableColumn id="21" xr3:uid="{B3B80258-6731-40BD-89E0-1081DD955B68}" name="Conhecimento da ação" dataDxfId="11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42247E-3D5E-4542-8448-A3D2BE96FCFD}" name="Ranking_Formadores_FP" displayName="Ranking_Formadores_FP" ref="BA5:BG6" insertRow="1" totalsRowShown="0" headerRowDxfId="10" dataDxfId="8" headerRowBorderDxfId="9" tableBorderDxfId="7">
  <autoFilter ref="BA5:BG6" xr:uid="{A842247E-3D5E-4542-8448-A3D2BE96FCFD}"/>
  <sortState xmlns:xlrd2="http://schemas.microsoft.com/office/spreadsheetml/2017/richdata2" ref="BA6:BG6">
    <sortCondition descending="1" ref="BG5:BG6"/>
  </sortState>
  <tableColumns count="7">
    <tableColumn id="1" xr3:uid="{076A5EB3-8616-48DA-883F-2D806D50F2EB}" name="Nome Completo" dataDxfId="6"/>
    <tableColumn id="2" xr3:uid="{F2C3581C-BE3D-4BFA-874E-FE479CE5DF88}" name="4.1 - Conhecimentos e Competências Técnicas" dataDxfId="5"/>
    <tableColumn id="3" xr3:uid="{74150DE1-C64B-4024-BB16-A0E25F07EA7F}" name="4.2 - Comunicação e Competências Pedagógicas" dataDxfId="4"/>
    <tableColumn id="4" xr3:uid="{3B0FD02C-A581-425D-8A7C-A53129733741}" name="4.3 - Pontualidade" dataDxfId="3"/>
    <tableColumn id="5" xr3:uid="{72CFC419-9133-40FF-B3C7-2519929DA960}" name="4.4 - Relação Formador e Formando" dataDxfId="2"/>
    <tableColumn id="6" xr3:uid="{827C5080-D562-4FD1-B94B-A2BF4F28244E}" name="4.5 - Empenhamento na Ação" dataDxfId="1"/>
    <tableColumn id="7" xr3:uid="{3B57728D-E660-41C3-93A4-EBF32960363F}" name="Média Global" dataDxfId="0"/>
  </tableColumns>
  <tableStyleInfo name="TableStyleMedium17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abão">
  <a:themeElements>
    <a:clrScheme name="Verde-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Sabão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Sabão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5000"/>
                <a:lumMod val="105000"/>
              </a:schemeClr>
            </a:gs>
            <a:gs pos="100000">
              <a:schemeClr val="phClr">
                <a:tint val="65000"/>
                <a:satMod val="100000"/>
                <a:lumMod val="10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0000"/>
                <a:lumMod val="100000"/>
              </a:schemeClr>
            </a:gs>
            <a:gs pos="50000">
              <a:schemeClr val="phClr">
                <a:shade val="99000"/>
                <a:satMod val="105000"/>
                <a:lumMod val="100000"/>
              </a:schemeClr>
            </a:gs>
            <a:gs pos="100000">
              <a:schemeClr val="phClr">
                <a:shade val="98000"/>
                <a:satMod val="105000"/>
                <a:lumMod val="100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2700" dir="5400000" algn="ctr" rotWithShape="0">
              <a:srgbClr val="000000">
                <a:alpha val="63000"/>
              </a:srgbClr>
            </a:outerShdw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flat" dir="tl">
              <a:rot lat="0" lon="0" rev="4200000"/>
            </a:lightRig>
          </a:scene3d>
          <a:sp3d prstMaterial="flat">
            <a:bevelT w="50800" h="63500" prst="ribl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2000"/>
                <a:satMod val="160000"/>
              </a:schemeClr>
            </a:gs>
            <a:gs pos="77000">
              <a:schemeClr val="phClr">
                <a:tint val="100000"/>
                <a:shade val="73000"/>
                <a:satMod val="155000"/>
              </a:schemeClr>
            </a:gs>
            <a:gs pos="100000">
              <a:schemeClr val="phClr">
                <a:tint val="100000"/>
                <a:shade val="67000"/>
                <a:satMod val="145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2000"/>
                <a:satMod val="115000"/>
              </a:schemeClr>
            </a:duotone>
          </a:blip>
          <a:tile tx="0" ty="0" sx="60000" sy="6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avon" id="{1306E473-ED32-493B-A2D0-240A757EDD34}" vid="{C20BADFE-D095-436F-9677-9264042809F0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>
    <pageSetUpPr fitToPage="1"/>
  </sheetPr>
  <dimension ref="A1:BH1048576"/>
  <sheetViews>
    <sheetView tabSelected="1" zoomScaleNormal="100" workbookViewId="0">
      <selection activeCell="C1" sqref="C1:C1048576"/>
    </sheetView>
  </sheetViews>
  <sheetFormatPr defaultRowHeight="17.25" x14ac:dyDescent="0.3"/>
  <cols>
    <col min="1" max="1" width="4" style="1" customWidth="1"/>
    <col min="2" max="2" width="36" style="1" customWidth="1"/>
    <col min="3" max="3" width="36.5" style="1" customWidth="1"/>
    <col min="4" max="4" width="20.125" style="1" customWidth="1"/>
    <col min="5" max="24" width="7" style="1" customWidth="1"/>
    <col min="25" max="35" width="9" style="1"/>
    <col min="36" max="36" width="27.625" style="1" customWidth="1"/>
    <col min="37" max="37" width="27.375" style="1" customWidth="1"/>
    <col min="38" max="38" width="25.75" style="1" customWidth="1"/>
    <col min="39" max="39" width="9" style="1"/>
    <col min="40" max="40" width="1.875" style="1" customWidth="1"/>
    <col min="41" max="45" width="12.625" style="1" customWidth="1"/>
    <col min="46" max="55" width="9.125" style="1" customWidth="1"/>
    <col min="56" max="59" width="9" style="1"/>
    <col min="60" max="60" width="42.75" style="1" customWidth="1"/>
    <col min="61" max="16384" width="9" style="1"/>
  </cols>
  <sheetData>
    <row r="1" spans="1:60" ht="21" customHeight="1" x14ac:dyDescent="0.3">
      <c r="A1" s="50">
        <v>1</v>
      </c>
      <c r="C1" s="37"/>
      <c r="D1" s="37"/>
      <c r="E1" s="37"/>
      <c r="F1" s="37"/>
      <c r="G1" s="37"/>
      <c r="H1" s="37"/>
      <c r="I1" s="37"/>
      <c r="BH1" s="67" t="s">
        <v>35</v>
      </c>
    </row>
    <row r="2" spans="1:60" ht="242.25" customHeight="1" x14ac:dyDescent="0.3">
      <c r="B2" s="103"/>
      <c r="C2" s="103"/>
      <c r="D2" s="103"/>
      <c r="E2" s="103"/>
      <c r="F2" s="103"/>
      <c r="G2" s="103"/>
      <c r="H2" s="103"/>
      <c r="I2" s="103"/>
      <c r="J2" s="103"/>
      <c r="BH2" s="66" t="s">
        <v>36</v>
      </c>
    </row>
    <row r="3" spans="1:60" ht="18" thickBot="1" x14ac:dyDescent="0.35">
      <c r="BH3" s="66" t="s">
        <v>37</v>
      </c>
    </row>
    <row r="4" spans="1:60" ht="104.25" customHeight="1" thickBot="1" x14ac:dyDescent="0.35">
      <c r="B4" s="4"/>
      <c r="C4" s="172" t="s">
        <v>0</v>
      </c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173"/>
      <c r="V4" s="173"/>
      <c r="W4" s="173"/>
      <c r="X4" s="174"/>
      <c r="BH4" s="66" t="s">
        <v>1295</v>
      </c>
    </row>
    <row r="5" spans="1:60" ht="30" customHeight="1" x14ac:dyDescent="0.3">
      <c r="B5" s="41" t="s">
        <v>7</v>
      </c>
      <c r="C5" s="42" t="s">
        <v>8</v>
      </c>
      <c r="D5" s="146" t="s">
        <v>1</v>
      </c>
      <c r="E5" s="147"/>
      <c r="F5" s="147"/>
      <c r="G5" s="147"/>
      <c r="H5" s="147"/>
      <c r="I5" s="147"/>
      <c r="J5" s="147"/>
      <c r="K5" s="152" t="s">
        <v>4</v>
      </c>
      <c r="L5" s="153"/>
      <c r="M5" s="153"/>
      <c r="N5" s="153"/>
      <c r="O5" s="153"/>
      <c r="P5" s="153"/>
      <c r="Q5" s="154"/>
      <c r="R5" s="175" t="s">
        <v>5</v>
      </c>
      <c r="S5" s="175"/>
      <c r="T5" s="175"/>
      <c r="U5" s="175"/>
      <c r="V5" s="175"/>
      <c r="W5" s="175"/>
      <c r="X5" s="176"/>
      <c r="BH5" s="66" t="s">
        <v>38</v>
      </c>
    </row>
    <row r="6" spans="1:60" ht="27.95" customHeight="1" x14ac:dyDescent="0.3">
      <c r="B6" s="160" t="s">
        <v>1447</v>
      </c>
      <c r="C6" s="163" t="s">
        <v>1448</v>
      </c>
      <c r="D6" s="148"/>
      <c r="E6" s="149"/>
      <c r="F6" s="149"/>
      <c r="G6" s="149"/>
      <c r="H6" s="149"/>
      <c r="I6" s="149"/>
      <c r="J6" s="149"/>
      <c r="K6" s="148"/>
      <c r="L6" s="149"/>
      <c r="M6" s="149"/>
      <c r="N6" s="149"/>
      <c r="O6" s="149"/>
      <c r="P6" s="149"/>
      <c r="Q6" s="157"/>
      <c r="R6" s="149"/>
      <c r="S6" s="149"/>
      <c r="T6" s="149"/>
      <c r="U6" s="149"/>
      <c r="V6" s="149"/>
      <c r="W6" s="149"/>
      <c r="X6" s="157"/>
      <c r="BH6" s="66" t="s">
        <v>1219</v>
      </c>
    </row>
    <row r="7" spans="1:60" ht="26.25" customHeight="1" x14ac:dyDescent="0.3">
      <c r="B7" s="161"/>
      <c r="C7" s="164"/>
      <c r="D7" s="43" t="s">
        <v>1216</v>
      </c>
      <c r="E7" s="155" t="s">
        <v>43</v>
      </c>
      <c r="F7" s="156"/>
      <c r="G7" s="156"/>
      <c r="H7" s="156"/>
      <c r="I7" s="156"/>
      <c r="J7" s="156"/>
      <c r="K7" s="158" t="s">
        <v>1216</v>
      </c>
      <c r="L7" s="142"/>
      <c r="M7" s="142" t="s">
        <v>43</v>
      </c>
      <c r="N7" s="142"/>
      <c r="O7" s="142"/>
      <c r="P7" s="142"/>
      <c r="Q7" s="159"/>
      <c r="R7" s="169" t="s">
        <v>1216</v>
      </c>
      <c r="S7" s="142"/>
      <c r="T7" s="142" t="s">
        <v>43</v>
      </c>
      <c r="U7" s="142"/>
      <c r="V7" s="142"/>
      <c r="W7" s="142"/>
      <c r="X7" s="159"/>
      <c r="BH7" s="66" t="s">
        <v>39</v>
      </c>
    </row>
    <row r="8" spans="1:60" ht="27.95" customHeight="1" thickBot="1" x14ac:dyDescent="0.35">
      <c r="B8" s="162"/>
      <c r="C8" s="165"/>
      <c r="D8" s="48">
        <v>66</v>
      </c>
      <c r="E8" s="150" t="s">
        <v>184</v>
      </c>
      <c r="F8" s="151"/>
      <c r="G8" s="151"/>
      <c r="H8" s="151"/>
      <c r="I8" s="151"/>
      <c r="J8" s="151"/>
      <c r="K8" s="182"/>
      <c r="L8" s="183"/>
      <c r="M8" s="171"/>
      <c r="N8" s="171"/>
      <c r="O8" s="171"/>
      <c r="P8" s="171"/>
      <c r="Q8" s="178"/>
      <c r="R8" s="171"/>
      <c r="S8" s="171"/>
      <c r="T8" s="170"/>
      <c r="U8" s="171"/>
      <c r="V8" s="171"/>
      <c r="W8" s="171"/>
      <c r="X8" s="178"/>
      <c r="BH8" s="66" t="s">
        <v>40</v>
      </c>
    </row>
    <row r="9" spans="1:60" ht="30" customHeight="1" x14ac:dyDescent="0.3">
      <c r="B9" s="41" t="s">
        <v>1246</v>
      </c>
      <c r="C9" s="42" t="s">
        <v>1231</v>
      </c>
      <c r="D9" s="146" t="s">
        <v>2</v>
      </c>
      <c r="E9" s="147"/>
      <c r="F9" s="147"/>
      <c r="G9" s="147"/>
      <c r="H9" s="147"/>
      <c r="I9" s="147"/>
      <c r="J9" s="147"/>
      <c r="K9" s="152" t="s">
        <v>3</v>
      </c>
      <c r="L9" s="153"/>
      <c r="M9" s="153"/>
      <c r="N9" s="153"/>
      <c r="O9" s="153"/>
      <c r="P9" s="153"/>
      <c r="Q9" s="154"/>
      <c r="R9" s="179" t="s">
        <v>6</v>
      </c>
      <c r="S9" s="180"/>
      <c r="T9" s="180"/>
      <c r="U9" s="180"/>
      <c r="V9" s="180"/>
      <c r="W9" s="180"/>
      <c r="X9" s="181"/>
      <c r="BH9" s="66" t="s">
        <v>42</v>
      </c>
    </row>
    <row r="10" spans="1:60" ht="27.95" customHeight="1" x14ac:dyDescent="0.3">
      <c r="B10" s="160" t="s">
        <v>1351</v>
      </c>
      <c r="C10" s="163"/>
      <c r="D10" s="148"/>
      <c r="E10" s="149"/>
      <c r="F10" s="149"/>
      <c r="G10" s="149"/>
      <c r="H10" s="149"/>
      <c r="I10" s="149"/>
      <c r="J10" s="149"/>
      <c r="K10" s="148"/>
      <c r="L10" s="149"/>
      <c r="M10" s="149"/>
      <c r="N10" s="149"/>
      <c r="O10" s="149"/>
      <c r="P10" s="149"/>
      <c r="Q10" s="157"/>
      <c r="R10" s="148"/>
      <c r="S10" s="149"/>
      <c r="T10" s="149"/>
      <c r="U10" s="149"/>
      <c r="V10" s="149"/>
      <c r="W10" s="149"/>
      <c r="X10" s="157"/>
      <c r="BH10" s="66" t="s">
        <v>41</v>
      </c>
    </row>
    <row r="11" spans="1:60" ht="25.5" customHeight="1" x14ac:dyDescent="0.3">
      <c r="B11" s="161"/>
      <c r="C11" s="164"/>
      <c r="D11" s="43" t="s">
        <v>1216</v>
      </c>
      <c r="E11" s="155" t="s">
        <v>43</v>
      </c>
      <c r="F11" s="156"/>
      <c r="G11" s="156"/>
      <c r="H11" s="156"/>
      <c r="I11" s="156"/>
      <c r="J11" s="156"/>
      <c r="K11" s="184" t="s">
        <v>1216</v>
      </c>
      <c r="L11" s="156"/>
      <c r="M11" s="142" t="s">
        <v>43</v>
      </c>
      <c r="N11" s="142"/>
      <c r="O11" s="142"/>
      <c r="P11" s="142"/>
      <c r="Q11" s="142"/>
      <c r="R11" s="169" t="s">
        <v>1216</v>
      </c>
      <c r="S11" s="142"/>
      <c r="T11" s="142" t="s">
        <v>43</v>
      </c>
      <c r="U11" s="142"/>
      <c r="V11" s="142"/>
      <c r="W11" s="142"/>
      <c r="X11" s="159"/>
    </row>
    <row r="12" spans="1:60" ht="27" customHeight="1" thickBot="1" x14ac:dyDescent="0.35">
      <c r="B12" s="162"/>
      <c r="C12" s="165"/>
      <c r="D12" s="49"/>
      <c r="E12" s="170"/>
      <c r="F12" s="171"/>
      <c r="G12" s="171"/>
      <c r="H12" s="171"/>
      <c r="I12" s="171"/>
      <c r="J12" s="171"/>
      <c r="K12" s="182"/>
      <c r="L12" s="183"/>
      <c r="M12" s="171"/>
      <c r="N12" s="171"/>
      <c r="O12" s="171"/>
      <c r="P12" s="171"/>
      <c r="Q12" s="178"/>
      <c r="R12" s="177"/>
      <c r="S12" s="171"/>
      <c r="T12" s="170"/>
      <c r="U12" s="171"/>
      <c r="V12" s="171"/>
      <c r="W12" s="171"/>
      <c r="X12" s="178"/>
    </row>
    <row r="14" spans="1:60" ht="20.25" x14ac:dyDescent="0.3">
      <c r="B14" s="142" t="s">
        <v>26</v>
      </c>
      <c r="C14" s="142" t="s">
        <v>1218</v>
      </c>
      <c r="D14" s="142"/>
      <c r="E14" s="142" t="s">
        <v>25</v>
      </c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</row>
    <row r="15" spans="1:60" ht="20.25" x14ac:dyDescent="0.3">
      <c r="B15" s="142"/>
      <c r="C15" s="142"/>
      <c r="D15" s="142"/>
      <c r="E15" s="46">
        <v>1</v>
      </c>
      <c r="F15" s="46">
        <v>2</v>
      </c>
      <c r="G15" s="46">
        <v>3</v>
      </c>
      <c r="H15" s="46">
        <v>4</v>
      </c>
      <c r="I15" s="46">
        <v>5</v>
      </c>
      <c r="J15" s="46">
        <v>6</v>
      </c>
      <c r="K15" s="46">
        <v>7</v>
      </c>
      <c r="L15" s="46">
        <v>8</v>
      </c>
      <c r="M15" s="46">
        <v>9</v>
      </c>
      <c r="N15" s="46">
        <v>10</v>
      </c>
      <c r="O15" s="46">
        <v>11</v>
      </c>
      <c r="P15" s="46">
        <v>12</v>
      </c>
      <c r="Q15" s="46">
        <v>13</v>
      </c>
      <c r="R15" s="46">
        <v>14</v>
      </c>
      <c r="S15" s="46">
        <v>15</v>
      </c>
      <c r="T15" s="46">
        <v>16</v>
      </c>
      <c r="U15" s="46">
        <v>17</v>
      </c>
      <c r="V15" s="46">
        <v>18</v>
      </c>
      <c r="W15" s="46">
        <v>19</v>
      </c>
      <c r="X15" s="46">
        <v>20</v>
      </c>
    </row>
    <row r="16" spans="1:60" ht="21" customHeight="1" x14ac:dyDescent="0.3">
      <c r="B16" s="44" t="s">
        <v>28</v>
      </c>
      <c r="C16" s="143" t="s">
        <v>9</v>
      </c>
      <c r="D16" s="143"/>
      <c r="E16" s="61">
        <v>5</v>
      </c>
      <c r="F16" s="61">
        <v>4</v>
      </c>
      <c r="G16" s="61">
        <v>4</v>
      </c>
      <c r="H16" s="61">
        <v>4</v>
      </c>
      <c r="I16" s="61">
        <v>5</v>
      </c>
      <c r="J16" s="61">
        <v>5</v>
      </c>
      <c r="K16" s="61">
        <v>4</v>
      </c>
      <c r="L16" s="61">
        <v>5</v>
      </c>
      <c r="M16" s="61">
        <v>5</v>
      </c>
      <c r="N16" s="61">
        <v>5</v>
      </c>
      <c r="O16" s="61">
        <v>5</v>
      </c>
      <c r="P16" s="61">
        <v>4</v>
      </c>
      <c r="Q16" s="61">
        <v>5</v>
      </c>
      <c r="R16" s="61"/>
      <c r="S16" s="61"/>
      <c r="T16" s="61"/>
      <c r="U16" s="61"/>
      <c r="V16" s="61"/>
      <c r="W16" s="61"/>
      <c r="X16" s="61"/>
    </row>
    <row r="17" spans="1:24" ht="21" customHeight="1" x14ac:dyDescent="0.3">
      <c r="A17" s="145"/>
      <c r="B17" s="143" t="s">
        <v>27</v>
      </c>
      <c r="C17" s="143" t="s">
        <v>1217</v>
      </c>
      <c r="D17" s="143"/>
      <c r="E17" s="61">
        <v>5</v>
      </c>
      <c r="F17" s="61">
        <v>4</v>
      </c>
      <c r="G17" s="61">
        <v>4</v>
      </c>
      <c r="H17" s="61">
        <v>3</v>
      </c>
      <c r="I17" s="61">
        <v>5</v>
      </c>
      <c r="J17" s="61">
        <v>5</v>
      </c>
      <c r="K17" s="61">
        <v>4</v>
      </c>
      <c r="L17" s="61">
        <v>5</v>
      </c>
      <c r="M17" s="61">
        <v>4</v>
      </c>
      <c r="N17" s="61">
        <v>5</v>
      </c>
      <c r="O17" s="61">
        <v>5</v>
      </c>
      <c r="P17" s="61">
        <v>4</v>
      </c>
      <c r="Q17" s="61">
        <v>5</v>
      </c>
      <c r="R17" s="61"/>
      <c r="S17" s="61"/>
      <c r="T17" s="61"/>
      <c r="U17" s="61"/>
      <c r="V17" s="61"/>
      <c r="W17" s="61"/>
      <c r="X17" s="61"/>
    </row>
    <row r="18" spans="1:24" ht="21" customHeight="1" x14ac:dyDescent="0.3">
      <c r="A18" s="145"/>
      <c r="B18" s="143"/>
      <c r="C18" s="143" t="s">
        <v>1239</v>
      </c>
      <c r="D18" s="143"/>
      <c r="E18" s="61">
        <v>4</v>
      </c>
      <c r="F18" s="61">
        <v>4</v>
      </c>
      <c r="G18" s="61">
        <v>4</v>
      </c>
      <c r="H18" s="61">
        <v>3</v>
      </c>
      <c r="I18" s="61">
        <v>5</v>
      </c>
      <c r="J18" s="61">
        <v>5</v>
      </c>
      <c r="K18" s="61">
        <v>4</v>
      </c>
      <c r="L18" s="61">
        <v>5</v>
      </c>
      <c r="M18" s="61">
        <v>3</v>
      </c>
      <c r="N18" s="61">
        <v>5</v>
      </c>
      <c r="O18" s="61">
        <v>5</v>
      </c>
      <c r="P18" s="61">
        <v>4</v>
      </c>
      <c r="Q18" s="61">
        <v>5</v>
      </c>
      <c r="R18" s="61"/>
      <c r="S18" s="61"/>
      <c r="T18" s="61"/>
      <c r="U18" s="61"/>
      <c r="V18" s="61"/>
      <c r="W18" s="61"/>
      <c r="X18" s="61"/>
    </row>
    <row r="19" spans="1:24" ht="21" customHeight="1" x14ac:dyDescent="0.3">
      <c r="A19" s="145"/>
      <c r="B19" s="143"/>
      <c r="C19" s="143" t="s">
        <v>1240</v>
      </c>
      <c r="D19" s="143"/>
      <c r="E19" s="61">
        <v>4</v>
      </c>
      <c r="F19" s="61">
        <v>4</v>
      </c>
      <c r="G19" s="61">
        <v>4</v>
      </c>
      <c r="H19" s="61">
        <v>3</v>
      </c>
      <c r="I19" s="61">
        <v>5</v>
      </c>
      <c r="J19" s="61">
        <v>5</v>
      </c>
      <c r="K19" s="61">
        <v>4</v>
      </c>
      <c r="L19" s="61">
        <v>4</v>
      </c>
      <c r="M19" s="61">
        <v>3</v>
      </c>
      <c r="N19" s="61">
        <v>5</v>
      </c>
      <c r="O19" s="61">
        <v>5</v>
      </c>
      <c r="P19" s="61">
        <v>4</v>
      </c>
      <c r="Q19" s="61">
        <v>5</v>
      </c>
      <c r="R19" s="61"/>
      <c r="S19" s="61"/>
      <c r="T19" s="61"/>
      <c r="U19" s="61"/>
      <c r="V19" s="61"/>
      <c r="W19" s="61"/>
      <c r="X19" s="61"/>
    </row>
    <row r="20" spans="1:24" ht="21" customHeight="1" x14ac:dyDescent="0.3">
      <c r="A20" s="145"/>
      <c r="B20" s="144" t="s">
        <v>29</v>
      </c>
      <c r="C20" s="143" t="s">
        <v>12</v>
      </c>
      <c r="D20" s="143"/>
      <c r="E20" s="61">
        <v>3</v>
      </c>
      <c r="F20" s="61">
        <v>3</v>
      </c>
      <c r="G20" s="61">
        <v>4</v>
      </c>
      <c r="H20" s="61">
        <v>3</v>
      </c>
      <c r="I20" s="61">
        <v>5</v>
      </c>
      <c r="J20" s="61">
        <v>4</v>
      </c>
      <c r="K20" s="61">
        <v>4</v>
      </c>
      <c r="L20" s="61">
        <v>4</v>
      </c>
      <c r="M20" s="61">
        <v>4</v>
      </c>
      <c r="N20" s="61">
        <v>3</v>
      </c>
      <c r="O20" s="61">
        <v>4</v>
      </c>
      <c r="P20" s="61">
        <v>3</v>
      </c>
      <c r="Q20" s="61">
        <v>3</v>
      </c>
      <c r="R20" s="61"/>
      <c r="S20" s="61"/>
      <c r="T20" s="61"/>
      <c r="U20" s="61"/>
      <c r="V20" s="61"/>
      <c r="W20" s="61"/>
      <c r="X20" s="61"/>
    </row>
    <row r="21" spans="1:24" ht="21" customHeight="1" x14ac:dyDescent="0.3">
      <c r="A21" s="145"/>
      <c r="B21" s="144"/>
      <c r="C21" s="143" t="s">
        <v>13</v>
      </c>
      <c r="D21" s="143"/>
      <c r="E21" s="61">
        <v>5</v>
      </c>
      <c r="F21" s="61">
        <v>3</v>
      </c>
      <c r="G21" s="61">
        <v>4</v>
      </c>
      <c r="H21" s="61">
        <v>4</v>
      </c>
      <c r="I21" s="61">
        <v>5</v>
      </c>
      <c r="J21" s="61">
        <v>5</v>
      </c>
      <c r="K21" s="61">
        <v>3</v>
      </c>
      <c r="L21" s="61">
        <v>5</v>
      </c>
      <c r="M21" s="61">
        <v>4</v>
      </c>
      <c r="N21" s="61">
        <v>4</v>
      </c>
      <c r="O21" s="61">
        <v>5</v>
      </c>
      <c r="P21" s="61">
        <v>4</v>
      </c>
      <c r="Q21" s="61">
        <v>5</v>
      </c>
      <c r="R21" s="61"/>
      <c r="S21" s="61"/>
      <c r="T21" s="61"/>
      <c r="U21" s="61"/>
      <c r="V21" s="61"/>
      <c r="W21" s="61"/>
      <c r="X21" s="61"/>
    </row>
    <row r="22" spans="1:24" ht="21" customHeight="1" x14ac:dyDescent="0.3">
      <c r="A22" s="145"/>
      <c r="B22" s="144"/>
      <c r="C22" s="143" t="s">
        <v>14</v>
      </c>
      <c r="D22" s="143"/>
      <c r="E22" s="61">
        <v>5</v>
      </c>
      <c r="F22" s="61">
        <v>3</v>
      </c>
      <c r="G22" s="61">
        <v>4</v>
      </c>
      <c r="H22" s="61">
        <v>3</v>
      </c>
      <c r="I22" s="61">
        <v>5</v>
      </c>
      <c r="J22" s="61">
        <v>5</v>
      </c>
      <c r="K22" s="61">
        <v>4</v>
      </c>
      <c r="L22" s="61">
        <v>5</v>
      </c>
      <c r="M22" s="61">
        <v>5</v>
      </c>
      <c r="N22" s="61">
        <v>4</v>
      </c>
      <c r="O22" s="61">
        <v>5</v>
      </c>
      <c r="P22" s="61">
        <v>4</v>
      </c>
      <c r="Q22" s="61">
        <v>5</v>
      </c>
      <c r="R22" s="61"/>
      <c r="S22" s="61"/>
      <c r="T22" s="61"/>
      <c r="U22" s="61"/>
      <c r="V22" s="61"/>
      <c r="W22" s="61"/>
      <c r="X22" s="61"/>
    </row>
    <row r="23" spans="1:24" ht="21" customHeight="1" x14ac:dyDescent="0.3">
      <c r="A23" s="145"/>
      <c r="B23" s="144"/>
      <c r="C23" s="143" t="s">
        <v>15</v>
      </c>
      <c r="D23" s="143"/>
      <c r="E23" s="61">
        <v>3</v>
      </c>
      <c r="F23" s="61">
        <v>3</v>
      </c>
      <c r="G23" s="61">
        <v>4</v>
      </c>
      <c r="H23" s="61">
        <v>1</v>
      </c>
      <c r="I23" s="61"/>
      <c r="J23" s="61">
        <v>4</v>
      </c>
      <c r="K23" s="61">
        <v>2</v>
      </c>
      <c r="L23" s="61">
        <v>4</v>
      </c>
      <c r="M23" s="61">
        <v>4</v>
      </c>
      <c r="N23" s="61">
        <v>2</v>
      </c>
      <c r="O23" s="61">
        <v>5</v>
      </c>
      <c r="P23" s="61">
        <v>2</v>
      </c>
      <c r="Q23" s="61">
        <v>5</v>
      </c>
      <c r="R23" s="61"/>
      <c r="S23" s="61"/>
      <c r="T23" s="61"/>
      <c r="U23" s="61"/>
      <c r="V23" s="61"/>
      <c r="W23" s="61"/>
      <c r="X23" s="61"/>
    </row>
    <row r="24" spans="1:24" ht="21" customHeight="1" x14ac:dyDescent="0.3">
      <c r="A24" s="145"/>
      <c r="B24" s="144"/>
      <c r="C24" s="143" t="s">
        <v>16</v>
      </c>
      <c r="D24" s="143"/>
      <c r="E24" s="61">
        <v>4</v>
      </c>
      <c r="F24" s="61"/>
      <c r="G24" s="61">
        <v>4</v>
      </c>
      <c r="H24" s="61"/>
      <c r="I24" s="61">
        <v>5</v>
      </c>
      <c r="J24" s="61">
        <v>4</v>
      </c>
      <c r="K24" s="61"/>
      <c r="L24" s="61">
        <v>5</v>
      </c>
      <c r="M24" s="61"/>
      <c r="N24" s="61">
        <v>3</v>
      </c>
      <c r="O24" s="61">
        <v>5</v>
      </c>
      <c r="P24" s="61">
        <v>4</v>
      </c>
      <c r="Q24" s="61"/>
      <c r="R24" s="61"/>
      <c r="S24" s="61"/>
      <c r="T24" s="61"/>
      <c r="U24" s="61"/>
      <c r="V24" s="61"/>
      <c r="W24" s="61"/>
      <c r="X24" s="61"/>
    </row>
    <row r="25" spans="1:24" ht="21" customHeight="1" x14ac:dyDescent="0.3">
      <c r="A25" s="145"/>
      <c r="B25" s="144"/>
      <c r="C25" s="143" t="s">
        <v>17</v>
      </c>
      <c r="D25" s="143"/>
      <c r="E25" s="61">
        <v>5</v>
      </c>
      <c r="F25" s="61">
        <v>3</v>
      </c>
      <c r="G25" s="61">
        <v>4</v>
      </c>
      <c r="H25" s="61">
        <v>4</v>
      </c>
      <c r="I25" s="61">
        <v>5</v>
      </c>
      <c r="J25" s="61">
        <v>5</v>
      </c>
      <c r="K25" s="61">
        <v>4</v>
      </c>
      <c r="L25" s="61">
        <v>5</v>
      </c>
      <c r="M25" s="61">
        <v>5</v>
      </c>
      <c r="N25" s="61">
        <v>3</v>
      </c>
      <c r="O25" s="61">
        <v>5</v>
      </c>
      <c r="P25" s="61">
        <v>4</v>
      </c>
      <c r="Q25" s="61">
        <v>5</v>
      </c>
      <c r="R25" s="61"/>
      <c r="S25" s="61"/>
      <c r="T25" s="61"/>
      <c r="U25" s="61"/>
      <c r="V25" s="61"/>
      <c r="W25" s="61"/>
      <c r="X25" s="61"/>
    </row>
    <row r="26" spans="1:24" ht="21" customHeight="1" x14ac:dyDescent="0.3">
      <c r="A26" s="145"/>
      <c r="B26" s="144"/>
      <c r="C26" s="143" t="s">
        <v>18</v>
      </c>
      <c r="D26" s="143"/>
      <c r="E26" s="61">
        <v>5</v>
      </c>
      <c r="F26" s="61">
        <v>3</v>
      </c>
      <c r="G26" s="61">
        <v>4</v>
      </c>
      <c r="H26" s="61">
        <v>4</v>
      </c>
      <c r="I26" s="61">
        <v>5</v>
      </c>
      <c r="J26" s="61">
        <v>4</v>
      </c>
      <c r="K26" s="61">
        <v>4</v>
      </c>
      <c r="L26" s="61">
        <v>4</v>
      </c>
      <c r="M26" s="61">
        <v>3</v>
      </c>
      <c r="N26" s="61">
        <v>3</v>
      </c>
      <c r="O26" s="61">
        <v>5</v>
      </c>
      <c r="P26" s="61">
        <v>3</v>
      </c>
      <c r="Q26" s="61">
        <v>5</v>
      </c>
      <c r="R26" s="61"/>
      <c r="S26" s="61"/>
      <c r="T26" s="61"/>
      <c r="U26" s="61"/>
      <c r="V26" s="61"/>
      <c r="W26" s="61"/>
      <c r="X26" s="61"/>
    </row>
    <row r="27" spans="1:24" ht="21" customHeight="1" x14ac:dyDescent="0.3">
      <c r="A27" s="145"/>
      <c r="B27" s="138" t="s">
        <v>19</v>
      </c>
      <c r="C27" s="141" t="s">
        <v>183</v>
      </c>
      <c r="D27" s="141"/>
      <c r="E27" s="61">
        <v>5</v>
      </c>
      <c r="F27" s="61">
        <v>5</v>
      </c>
      <c r="G27" s="61">
        <v>5</v>
      </c>
      <c r="H27" s="61">
        <v>5</v>
      </c>
      <c r="I27" s="61">
        <v>5</v>
      </c>
      <c r="J27" s="61">
        <v>5</v>
      </c>
      <c r="K27" s="61">
        <v>5</v>
      </c>
      <c r="L27" s="61">
        <v>5</v>
      </c>
      <c r="M27" s="61">
        <v>5</v>
      </c>
      <c r="N27" s="61">
        <v>4</v>
      </c>
      <c r="O27" s="61">
        <v>5</v>
      </c>
      <c r="P27" s="61">
        <v>4</v>
      </c>
      <c r="Q27" s="61">
        <v>5</v>
      </c>
      <c r="R27" s="61"/>
      <c r="S27" s="61"/>
      <c r="T27" s="61"/>
      <c r="U27" s="61"/>
      <c r="V27" s="61"/>
      <c r="W27" s="61"/>
      <c r="X27" s="61"/>
    </row>
    <row r="28" spans="1:24" ht="21" hidden="1" customHeight="1" x14ac:dyDescent="0.3">
      <c r="A28" s="145"/>
      <c r="B28" s="139"/>
      <c r="C28" s="141"/>
      <c r="D28" s="14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</row>
    <row r="29" spans="1:24" ht="21" hidden="1" customHeight="1" x14ac:dyDescent="0.3">
      <c r="A29" s="145"/>
      <c r="B29" s="139"/>
      <c r="C29" s="141"/>
      <c r="D29" s="14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</row>
    <row r="30" spans="1:24" ht="21" hidden="1" customHeight="1" x14ac:dyDescent="0.3">
      <c r="A30" s="145"/>
      <c r="B30" s="139"/>
      <c r="C30" s="141"/>
      <c r="D30" s="14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</row>
    <row r="31" spans="1:24" ht="21" hidden="1" customHeight="1" x14ac:dyDescent="0.3">
      <c r="A31" s="145"/>
      <c r="B31" s="139"/>
      <c r="C31" s="141"/>
      <c r="D31" s="14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</row>
    <row r="32" spans="1:24" ht="21" hidden="1" customHeight="1" x14ac:dyDescent="0.3">
      <c r="A32" s="145"/>
      <c r="B32" s="140"/>
      <c r="C32" s="141"/>
      <c r="D32" s="14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</row>
    <row r="33" spans="1:24" ht="21" customHeight="1" x14ac:dyDescent="0.3">
      <c r="A33" s="145"/>
      <c r="B33" s="138" t="s">
        <v>21</v>
      </c>
      <c r="C33" s="141" t="s">
        <v>183</v>
      </c>
      <c r="D33" s="141"/>
      <c r="E33" s="61">
        <v>5</v>
      </c>
      <c r="F33" s="61">
        <v>4</v>
      </c>
      <c r="G33" s="61">
        <v>5</v>
      </c>
      <c r="H33" s="61">
        <v>5</v>
      </c>
      <c r="I33" s="61">
        <v>5</v>
      </c>
      <c r="J33" s="61">
        <v>5</v>
      </c>
      <c r="K33" s="61">
        <v>5</v>
      </c>
      <c r="L33" s="61">
        <v>5</v>
      </c>
      <c r="M33" s="61">
        <v>5</v>
      </c>
      <c r="N33" s="61">
        <v>4</v>
      </c>
      <c r="O33" s="61">
        <v>5</v>
      </c>
      <c r="P33" s="61">
        <v>4</v>
      </c>
      <c r="Q33" s="61">
        <v>5</v>
      </c>
      <c r="R33" s="61"/>
      <c r="S33" s="61"/>
      <c r="T33" s="61"/>
      <c r="U33" s="61"/>
      <c r="V33" s="61"/>
      <c r="W33" s="61"/>
      <c r="X33" s="61"/>
    </row>
    <row r="34" spans="1:24" ht="21" hidden="1" customHeight="1" x14ac:dyDescent="0.3">
      <c r="A34" s="145"/>
      <c r="B34" s="139"/>
      <c r="C34" s="141"/>
      <c r="D34" s="14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</row>
    <row r="35" spans="1:24" ht="21" hidden="1" customHeight="1" x14ac:dyDescent="0.3">
      <c r="A35" s="145"/>
      <c r="B35" s="139"/>
      <c r="C35" s="141"/>
      <c r="D35" s="14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</row>
    <row r="36" spans="1:24" ht="21" hidden="1" customHeight="1" x14ac:dyDescent="0.3">
      <c r="A36" s="145"/>
      <c r="B36" s="139"/>
      <c r="C36" s="141"/>
      <c r="D36" s="141"/>
      <c r="E36" s="61"/>
      <c r="F36" s="61"/>
      <c r="G36" s="61"/>
      <c r="H36" s="61"/>
      <c r="I36" s="61"/>
      <c r="J36" s="62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</row>
    <row r="37" spans="1:24" ht="21" hidden="1" customHeight="1" x14ac:dyDescent="0.3">
      <c r="A37" s="145"/>
      <c r="B37" s="139"/>
      <c r="C37" s="141"/>
      <c r="D37" s="141"/>
      <c r="E37" s="61"/>
      <c r="F37" s="61"/>
      <c r="G37" s="61"/>
      <c r="H37" s="61"/>
      <c r="I37" s="61"/>
      <c r="J37" s="62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</row>
    <row r="38" spans="1:24" ht="21" hidden="1" customHeight="1" x14ac:dyDescent="0.3">
      <c r="A38" s="145"/>
      <c r="B38" s="140"/>
      <c r="C38" s="141"/>
      <c r="D38" s="141"/>
      <c r="E38" s="61"/>
      <c r="F38" s="61"/>
      <c r="G38" s="61"/>
      <c r="H38" s="61"/>
      <c r="I38" s="61"/>
      <c r="J38" s="62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</row>
    <row r="39" spans="1:24" ht="21" customHeight="1" x14ac:dyDescent="0.3">
      <c r="A39" s="145"/>
      <c r="B39" s="166" t="s">
        <v>20</v>
      </c>
      <c r="C39" s="141" t="s">
        <v>183</v>
      </c>
      <c r="D39" s="141"/>
      <c r="E39" s="61">
        <v>5</v>
      </c>
      <c r="F39" s="61">
        <v>5</v>
      </c>
      <c r="G39" s="61">
        <v>5</v>
      </c>
      <c r="H39" s="61">
        <v>5</v>
      </c>
      <c r="I39" s="61">
        <v>5</v>
      </c>
      <c r="J39" s="62">
        <v>5</v>
      </c>
      <c r="K39" s="61">
        <v>5</v>
      </c>
      <c r="L39" s="61">
        <v>5</v>
      </c>
      <c r="M39" s="61">
        <v>5</v>
      </c>
      <c r="N39" s="61">
        <v>4</v>
      </c>
      <c r="O39" s="61">
        <v>5</v>
      </c>
      <c r="P39" s="61">
        <v>4</v>
      </c>
      <c r="Q39" s="61">
        <v>5</v>
      </c>
      <c r="R39" s="61"/>
      <c r="S39" s="61"/>
      <c r="T39" s="61"/>
      <c r="U39" s="61"/>
      <c r="V39" s="61"/>
      <c r="W39" s="61"/>
      <c r="X39" s="61"/>
    </row>
    <row r="40" spans="1:24" ht="21" hidden="1" customHeight="1" x14ac:dyDescent="0.3">
      <c r="A40" s="145"/>
      <c r="B40" s="167"/>
      <c r="C40" s="141"/>
      <c r="D40" s="141"/>
      <c r="E40" s="61"/>
      <c r="F40" s="61"/>
      <c r="G40" s="61"/>
      <c r="H40" s="61"/>
      <c r="I40" s="61"/>
      <c r="J40" s="62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</row>
    <row r="41" spans="1:24" ht="21" hidden="1" customHeight="1" x14ac:dyDescent="0.3">
      <c r="A41" s="145"/>
      <c r="B41" s="167"/>
      <c r="C41" s="141"/>
      <c r="D41" s="141"/>
      <c r="E41" s="61"/>
      <c r="F41" s="61"/>
      <c r="G41" s="61"/>
      <c r="H41" s="61"/>
      <c r="I41" s="61"/>
      <c r="J41" s="62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</row>
    <row r="42" spans="1:24" ht="21" hidden="1" customHeight="1" x14ac:dyDescent="0.3">
      <c r="A42" s="145"/>
      <c r="B42" s="167"/>
      <c r="C42" s="141"/>
      <c r="D42" s="141"/>
      <c r="E42" s="61"/>
      <c r="F42" s="61"/>
      <c r="G42" s="61"/>
      <c r="H42" s="61"/>
      <c r="I42" s="61"/>
      <c r="J42" s="62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</row>
    <row r="43" spans="1:24" ht="21" hidden="1" customHeight="1" x14ac:dyDescent="0.3">
      <c r="A43" s="145"/>
      <c r="B43" s="167"/>
      <c r="C43" s="141"/>
      <c r="D43" s="141"/>
      <c r="E43" s="61"/>
      <c r="F43" s="61"/>
      <c r="G43" s="61"/>
      <c r="H43" s="61"/>
      <c r="I43" s="61"/>
      <c r="J43" s="62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</row>
    <row r="44" spans="1:24" ht="21" hidden="1" customHeight="1" x14ac:dyDescent="0.3">
      <c r="A44" s="145"/>
      <c r="B44" s="168"/>
      <c r="C44" s="141"/>
      <c r="D44" s="141"/>
      <c r="E44" s="61"/>
      <c r="F44" s="61"/>
      <c r="G44" s="61"/>
      <c r="H44" s="61"/>
      <c r="I44" s="61"/>
      <c r="J44" s="62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</row>
    <row r="45" spans="1:24" ht="21" customHeight="1" x14ac:dyDescent="0.3">
      <c r="A45" s="145"/>
      <c r="B45" s="138" t="s">
        <v>22</v>
      </c>
      <c r="C45" s="141" t="s">
        <v>183</v>
      </c>
      <c r="D45" s="141"/>
      <c r="E45" s="61">
        <v>5</v>
      </c>
      <c r="F45" s="61">
        <v>5</v>
      </c>
      <c r="G45" s="61">
        <v>5</v>
      </c>
      <c r="H45" s="61">
        <v>5</v>
      </c>
      <c r="I45" s="61">
        <v>5</v>
      </c>
      <c r="J45" s="62">
        <v>5</v>
      </c>
      <c r="K45" s="61">
        <v>5</v>
      </c>
      <c r="L45" s="61">
        <v>5</v>
      </c>
      <c r="M45" s="61">
        <v>5</v>
      </c>
      <c r="N45" s="61">
        <v>5</v>
      </c>
      <c r="O45" s="61">
        <v>5</v>
      </c>
      <c r="P45" s="61">
        <v>4</v>
      </c>
      <c r="Q45" s="61">
        <v>5</v>
      </c>
      <c r="R45" s="61"/>
      <c r="S45" s="61"/>
      <c r="T45" s="61"/>
      <c r="U45" s="61"/>
      <c r="V45" s="61"/>
      <c r="W45" s="61"/>
      <c r="X45" s="61"/>
    </row>
    <row r="46" spans="1:24" ht="21" hidden="1" customHeight="1" x14ac:dyDescent="0.3">
      <c r="A46" s="145"/>
      <c r="B46" s="139"/>
      <c r="C46" s="141"/>
      <c r="D46" s="141"/>
      <c r="E46" s="61"/>
      <c r="F46" s="61"/>
      <c r="G46" s="61"/>
      <c r="H46" s="61"/>
      <c r="I46" s="61"/>
      <c r="J46" s="62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</row>
    <row r="47" spans="1:24" ht="21" hidden="1" customHeight="1" x14ac:dyDescent="0.3">
      <c r="A47" s="145"/>
      <c r="B47" s="139"/>
      <c r="C47" s="141"/>
      <c r="D47" s="141"/>
      <c r="E47" s="61"/>
      <c r="F47" s="61"/>
      <c r="G47" s="61"/>
      <c r="H47" s="61"/>
      <c r="I47" s="61"/>
      <c r="J47" s="62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</row>
    <row r="48" spans="1:24" ht="21" hidden="1" customHeight="1" x14ac:dyDescent="0.3">
      <c r="A48" s="145"/>
      <c r="B48" s="139"/>
      <c r="C48" s="141"/>
      <c r="D48" s="141"/>
      <c r="E48" s="61"/>
      <c r="F48" s="61"/>
      <c r="G48" s="61"/>
      <c r="H48" s="61"/>
      <c r="I48" s="61"/>
      <c r="J48" s="62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</row>
    <row r="49" spans="1:24" ht="21" hidden="1" customHeight="1" x14ac:dyDescent="0.3">
      <c r="A49" s="145"/>
      <c r="B49" s="139"/>
      <c r="C49" s="141"/>
      <c r="D49" s="141"/>
      <c r="E49" s="61"/>
      <c r="F49" s="61"/>
      <c r="G49" s="61"/>
      <c r="H49" s="61"/>
      <c r="I49" s="61"/>
      <c r="J49" s="62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</row>
    <row r="50" spans="1:24" ht="21" hidden="1" customHeight="1" x14ac:dyDescent="0.3">
      <c r="A50" s="145"/>
      <c r="B50" s="140"/>
      <c r="C50" s="141"/>
      <c r="D50" s="141"/>
      <c r="E50" s="61"/>
      <c r="F50" s="61"/>
      <c r="G50" s="61"/>
      <c r="H50" s="61"/>
      <c r="I50" s="61"/>
      <c r="J50" s="62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</row>
    <row r="51" spans="1:24" ht="21" customHeight="1" x14ac:dyDescent="0.3">
      <c r="A51" s="145"/>
      <c r="B51" s="138" t="s">
        <v>23</v>
      </c>
      <c r="C51" s="141" t="s">
        <v>183</v>
      </c>
      <c r="D51" s="141"/>
      <c r="E51" s="61">
        <v>5</v>
      </c>
      <c r="F51" s="61">
        <v>5</v>
      </c>
      <c r="G51" s="61">
        <v>5</v>
      </c>
      <c r="H51" s="61">
        <v>5</v>
      </c>
      <c r="I51" s="61">
        <v>5</v>
      </c>
      <c r="J51" s="62">
        <v>5</v>
      </c>
      <c r="K51" s="61">
        <v>5</v>
      </c>
      <c r="L51" s="61">
        <v>5</v>
      </c>
      <c r="M51" s="61">
        <v>5</v>
      </c>
      <c r="N51" s="61">
        <v>5</v>
      </c>
      <c r="O51" s="61">
        <v>5</v>
      </c>
      <c r="P51" s="61">
        <v>4</v>
      </c>
      <c r="Q51" s="61">
        <v>5</v>
      </c>
      <c r="R51" s="61"/>
      <c r="S51" s="61"/>
      <c r="T51" s="61"/>
      <c r="U51" s="61"/>
      <c r="V51" s="61"/>
      <c r="W51" s="61"/>
      <c r="X51" s="61"/>
    </row>
    <row r="52" spans="1:24" ht="21" hidden="1" customHeight="1" x14ac:dyDescent="0.3">
      <c r="A52" s="145"/>
      <c r="B52" s="139"/>
      <c r="C52" s="141"/>
      <c r="D52" s="141"/>
      <c r="E52" s="61"/>
      <c r="F52" s="61"/>
      <c r="G52" s="61"/>
      <c r="H52" s="61"/>
      <c r="I52" s="61"/>
      <c r="J52" s="62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</row>
    <row r="53" spans="1:24" ht="21" hidden="1" customHeight="1" x14ac:dyDescent="0.3">
      <c r="A53" s="145"/>
      <c r="B53" s="139"/>
      <c r="C53" s="141"/>
      <c r="D53" s="141"/>
      <c r="E53" s="61"/>
      <c r="F53" s="61"/>
      <c r="G53" s="61"/>
      <c r="H53" s="61"/>
      <c r="I53" s="61"/>
      <c r="J53" s="62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</row>
    <row r="54" spans="1:24" ht="21" hidden="1" customHeight="1" x14ac:dyDescent="0.3">
      <c r="A54" s="145"/>
      <c r="B54" s="139"/>
      <c r="C54" s="141"/>
      <c r="D54" s="141"/>
      <c r="E54" s="61"/>
      <c r="F54" s="61"/>
      <c r="G54" s="61"/>
      <c r="H54" s="61"/>
      <c r="I54" s="61"/>
      <c r="J54" s="62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</row>
    <row r="55" spans="1:24" ht="21" hidden="1" customHeight="1" x14ac:dyDescent="0.3">
      <c r="A55" s="145"/>
      <c r="B55" s="139"/>
      <c r="C55" s="141"/>
      <c r="D55" s="141"/>
      <c r="E55" s="61"/>
      <c r="F55" s="61"/>
      <c r="G55" s="61"/>
      <c r="H55" s="61"/>
      <c r="I55" s="61"/>
      <c r="J55" s="62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</row>
    <row r="56" spans="1:24" ht="21" hidden="1" customHeight="1" x14ac:dyDescent="0.3">
      <c r="A56" s="145"/>
      <c r="B56" s="140"/>
      <c r="C56" s="141"/>
      <c r="D56" s="141"/>
      <c r="E56" s="61"/>
      <c r="F56" s="61"/>
      <c r="G56" s="61"/>
      <c r="H56" s="61"/>
      <c r="I56" s="61"/>
      <c r="J56" s="62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</row>
    <row r="57" spans="1:24" ht="21" customHeight="1" x14ac:dyDescent="0.3">
      <c r="B57" s="45" t="s">
        <v>30</v>
      </c>
      <c r="C57" s="143" t="s">
        <v>24</v>
      </c>
      <c r="D57" s="143"/>
      <c r="E57" s="61">
        <v>5</v>
      </c>
      <c r="F57" s="61">
        <v>4</v>
      </c>
      <c r="G57" s="61">
        <v>4</v>
      </c>
      <c r="H57" s="61">
        <v>4</v>
      </c>
      <c r="I57" s="61">
        <v>5</v>
      </c>
      <c r="J57" s="62">
        <v>5</v>
      </c>
      <c r="K57" s="61">
        <v>4</v>
      </c>
      <c r="L57" s="61">
        <v>5</v>
      </c>
      <c r="M57" s="61">
        <v>3</v>
      </c>
      <c r="N57" s="61">
        <v>5</v>
      </c>
      <c r="O57" s="61">
        <v>5</v>
      </c>
      <c r="P57" s="61">
        <v>4</v>
      </c>
      <c r="Q57" s="61">
        <v>5</v>
      </c>
      <c r="R57" s="61"/>
      <c r="S57" s="61"/>
      <c r="T57" s="61"/>
      <c r="U57" s="61"/>
      <c r="V57" s="61"/>
      <c r="W57" s="61"/>
      <c r="X57" s="61"/>
    </row>
    <row r="59" spans="1:24" ht="20.25" x14ac:dyDescent="0.3">
      <c r="A59" s="46" t="s">
        <v>32</v>
      </c>
      <c r="B59" s="137" t="s">
        <v>31</v>
      </c>
      <c r="C59" s="137"/>
      <c r="D59" s="137"/>
      <c r="E59" s="137"/>
      <c r="F59" s="137"/>
      <c r="G59" s="137"/>
      <c r="H59" s="137"/>
      <c r="I59" s="137" t="s">
        <v>33</v>
      </c>
      <c r="J59" s="137"/>
      <c r="K59" s="137"/>
      <c r="L59" s="137"/>
      <c r="M59" s="137"/>
      <c r="N59" s="137"/>
      <c r="O59" s="137"/>
      <c r="P59" s="137" t="s">
        <v>34</v>
      </c>
      <c r="Q59" s="137"/>
      <c r="R59" s="137"/>
      <c r="S59" s="137"/>
      <c r="T59" s="137" t="s">
        <v>1230</v>
      </c>
      <c r="U59" s="137"/>
      <c r="V59" s="137"/>
      <c r="W59" s="137"/>
      <c r="X59" s="137"/>
    </row>
    <row r="60" spans="1:24" x14ac:dyDescent="0.3">
      <c r="A60" s="47">
        <v>1</v>
      </c>
      <c r="B60" s="136" t="s">
        <v>1449</v>
      </c>
      <c r="C60" s="136"/>
      <c r="D60" s="136"/>
      <c r="E60" s="136"/>
      <c r="F60" s="136"/>
      <c r="G60" s="136"/>
      <c r="H60" s="136"/>
      <c r="I60" s="136" t="s">
        <v>1219</v>
      </c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3" t="str">
        <f>I60 &amp; " " &amp; P60</f>
        <v xml:space="preserve">Email enviado pelo Cencal </v>
      </c>
      <c r="U60" s="134"/>
      <c r="V60" s="134"/>
      <c r="W60" s="134"/>
      <c r="X60" s="135"/>
    </row>
    <row r="61" spans="1:24" x14ac:dyDescent="0.3">
      <c r="A61" s="47">
        <v>2</v>
      </c>
      <c r="B61" s="136" t="s">
        <v>1450</v>
      </c>
      <c r="C61" s="136"/>
      <c r="D61" s="136"/>
      <c r="E61" s="136"/>
      <c r="F61" s="136"/>
      <c r="G61" s="136"/>
      <c r="H61" s="136"/>
      <c r="I61" s="136" t="s">
        <v>37</v>
      </c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3" t="str">
        <f>I61 &amp; " " &amp; P61</f>
        <v xml:space="preserve">Empresa </v>
      </c>
      <c r="U61" s="134"/>
      <c r="V61" s="134"/>
      <c r="W61" s="134"/>
      <c r="X61" s="135"/>
    </row>
    <row r="62" spans="1:24" x14ac:dyDescent="0.3">
      <c r="A62" s="47">
        <v>3</v>
      </c>
      <c r="B62" s="136" t="s">
        <v>1451</v>
      </c>
      <c r="C62" s="136"/>
      <c r="D62" s="136"/>
      <c r="E62" s="136"/>
      <c r="F62" s="136"/>
      <c r="G62" s="136"/>
      <c r="H62" s="136"/>
      <c r="I62" s="136" t="s">
        <v>1219</v>
      </c>
      <c r="J62" s="136"/>
      <c r="K62" s="136"/>
      <c r="L62" s="136"/>
      <c r="M62" s="136"/>
      <c r="N62" s="136"/>
      <c r="O62" s="136"/>
      <c r="P62" s="136"/>
      <c r="Q62" s="136"/>
      <c r="R62" s="136"/>
      <c r="S62" s="136"/>
      <c r="T62" s="133" t="str">
        <f>I62 &amp; " " &amp; P62</f>
        <v xml:space="preserve">Email enviado pelo Cencal </v>
      </c>
      <c r="U62" s="134"/>
      <c r="V62" s="134"/>
      <c r="W62" s="134"/>
      <c r="X62" s="135"/>
    </row>
    <row r="63" spans="1:24" x14ac:dyDescent="0.3">
      <c r="A63" s="47">
        <v>4</v>
      </c>
      <c r="B63" s="136"/>
      <c r="C63" s="136"/>
      <c r="D63" s="136"/>
      <c r="E63" s="136"/>
      <c r="F63" s="136"/>
      <c r="G63" s="136"/>
      <c r="H63" s="136"/>
      <c r="I63" s="136" t="s">
        <v>38</v>
      </c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3" t="str">
        <f>I63 &amp; " " &amp; P63</f>
        <v xml:space="preserve">Site do Cencal </v>
      </c>
      <c r="U63" s="134"/>
      <c r="V63" s="134"/>
      <c r="W63" s="134"/>
      <c r="X63" s="135"/>
    </row>
    <row r="64" spans="1:24" x14ac:dyDescent="0.3">
      <c r="A64" s="47">
        <v>5</v>
      </c>
      <c r="B64" s="136"/>
      <c r="C64" s="136"/>
      <c r="D64" s="136"/>
      <c r="E64" s="136"/>
      <c r="F64" s="136"/>
      <c r="G64" s="136"/>
      <c r="H64" s="136"/>
      <c r="I64" s="136" t="s">
        <v>38</v>
      </c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3" t="str">
        <f t="shared" ref="T64:T68" si="0">I64 &amp; " " &amp; P64</f>
        <v xml:space="preserve">Site do Cencal </v>
      </c>
      <c r="U64" s="134"/>
      <c r="V64" s="134"/>
      <c r="W64" s="134"/>
      <c r="X64" s="135"/>
    </row>
    <row r="65" spans="1:24" x14ac:dyDescent="0.3">
      <c r="A65" s="47">
        <v>6</v>
      </c>
      <c r="B65" s="136"/>
      <c r="C65" s="136"/>
      <c r="D65" s="136"/>
      <c r="E65" s="136"/>
      <c r="F65" s="136"/>
      <c r="G65" s="136"/>
      <c r="H65" s="136"/>
      <c r="I65" s="136" t="s">
        <v>1219</v>
      </c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3" t="str">
        <f t="shared" si="0"/>
        <v xml:space="preserve">Email enviado pelo Cencal </v>
      </c>
      <c r="U65" s="134"/>
      <c r="V65" s="134"/>
      <c r="W65" s="134"/>
      <c r="X65" s="135"/>
    </row>
    <row r="66" spans="1:24" x14ac:dyDescent="0.3">
      <c r="A66" s="47">
        <v>7</v>
      </c>
      <c r="B66" s="136"/>
      <c r="C66" s="136"/>
      <c r="D66" s="136"/>
      <c r="E66" s="136"/>
      <c r="F66" s="136"/>
      <c r="G66" s="136"/>
      <c r="H66" s="136"/>
      <c r="I66" s="136" t="s">
        <v>37</v>
      </c>
      <c r="J66" s="136"/>
      <c r="K66" s="136"/>
      <c r="L66" s="136"/>
      <c r="M66" s="136"/>
      <c r="N66" s="136"/>
      <c r="O66" s="136"/>
      <c r="P66" s="136"/>
      <c r="Q66" s="136"/>
      <c r="R66" s="136"/>
      <c r="S66" s="136"/>
      <c r="T66" s="133" t="str">
        <f t="shared" si="0"/>
        <v xml:space="preserve">Empresa </v>
      </c>
      <c r="U66" s="134"/>
      <c r="V66" s="134"/>
      <c r="W66" s="134"/>
      <c r="X66" s="135"/>
    </row>
    <row r="67" spans="1:24" x14ac:dyDescent="0.3">
      <c r="A67" s="47">
        <v>8</v>
      </c>
      <c r="B67" s="136"/>
      <c r="C67" s="136"/>
      <c r="D67" s="136"/>
      <c r="E67" s="136"/>
      <c r="F67" s="136"/>
      <c r="G67" s="136"/>
      <c r="H67" s="136"/>
      <c r="I67" s="136" t="s">
        <v>38</v>
      </c>
      <c r="J67" s="136"/>
      <c r="K67" s="136"/>
      <c r="L67" s="136"/>
      <c r="M67" s="136"/>
      <c r="N67" s="136"/>
      <c r="O67" s="136"/>
      <c r="P67" s="136"/>
      <c r="Q67" s="136"/>
      <c r="R67" s="136"/>
      <c r="S67" s="136"/>
      <c r="T67" s="133" t="str">
        <f t="shared" si="0"/>
        <v xml:space="preserve">Site do Cencal </v>
      </c>
      <c r="U67" s="134"/>
      <c r="V67" s="134"/>
      <c r="W67" s="134"/>
      <c r="X67" s="135"/>
    </row>
    <row r="68" spans="1:24" x14ac:dyDescent="0.3">
      <c r="A68" s="47">
        <v>9</v>
      </c>
      <c r="B68" s="136"/>
      <c r="C68" s="136"/>
      <c r="D68" s="136"/>
      <c r="E68" s="136"/>
      <c r="F68" s="136"/>
      <c r="G68" s="136"/>
      <c r="H68" s="136"/>
      <c r="I68" s="136" t="s">
        <v>42</v>
      </c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3" t="str">
        <f t="shared" si="0"/>
        <v xml:space="preserve">Redes Sociais </v>
      </c>
      <c r="U68" s="134"/>
      <c r="V68" s="134"/>
      <c r="W68" s="134"/>
      <c r="X68" s="135"/>
    </row>
    <row r="69" spans="1:24" x14ac:dyDescent="0.3">
      <c r="A69" s="47">
        <v>10</v>
      </c>
      <c r="B69" s="136"/>
      <c r="C69" s="136"/>
      <c r="D69" s="136"/>
      <c r="E69" s="136"/>
      <c r="F69" s="136"/>
      <c r="G69" s="136"/>
      <c r="H69" s="136"/>
      <c r="I69" s="136" t="s">
        <v>38</v>
      </c>
      <c r="J69" s="136"/>
      <c r="K69" s="136"/>
      <c r="L69" s="136"/>
      <c r="M69" s="136"/>
      <c r="N69" s="136"/>
      <c r="O69" s="136"/>
      <c r="P69" s="136"/>
      <c r="Q69" s="136"/>
      <c r="R69" s="136"/>
      <c r="S69" s="136"/>
      <c r="T69" s="133" t="str">
        <f>I69 &amp; " " &amp; P69</f>
        <v xml:space="preserve">Site do Cencal </v>
      </c>
      <c r="U69" s="134"/>
      <c r="V69" s="134"/>
      <c r="W69" s="134"/>
      <c r="X69" s="135"/>
    </row>
    <row r="70" spans="1:24" x14ac:dyDescent="0.3">
      <c r="A70" s="47">
        <v>11</v>
      </c>
      <c r="B70" s="136"/>
      <c r="C70" s="136"/>
      <c r="D70" s="136"/>
      <c r="E70" s="136"/>
      <c r="F70" s="136"/>
      <c r="G70" s="136"/>
      <c r="H70" s="136"/>
      <c r="I70" s="136" t="s">
        <v>38</v>
      </c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3" t="str">
        <f>I70 &amp; " " &amp; P70</f>
        <v xml:space="preserve">Site do Cencal </v>
      </c>
      <c r="U70" s="134"/>
      <c r="V70" s="134"/>
      <c r="W70" s="134"/>
      <c r="X70" s="135"/>
    </row>
    <row r="71" spans="1:24" x14ac:dyDescent="0.3">
      <c r="A71" s="47">
        <v>12</v>
      </c>
      <c r="B71" s="136"/>
      <c r="C71" s="136"/>
      <c r="D71" s="136"/>
      <c r="E71" s="136"/>
      <c r="F71" s="136"/>
      <c r="G71" s="136"/>
      <c r="H71" s="136"/>
      <c r="I71" s="136" t="s">
        <v>40</v>
      </c>
      <c r="J71" s="136"/>
      <c r="K71" s="136"/>
      <c r="L71" s="136"/>
      <c r="M71" s="136"/>
      <c r="N71" s="136"/>
      <c r="O71" s="136"/>
      <c r="P71" s="136"/>
      <c r="Q71" s="136"/>
      <c r="R71" s="136"/>
      <c r="S71" s="136"/>
      <c r="T71" s="133" t="str">
        <f t="shared" ref="T71:T79" si="1">I71 &amp; " " &amp; P71</f>
        <v xml:space="preserve">Instalações do Cencal </v>
      </c>
      <c r="U71" s="134"/>
      <c r="V71" s="134"/>
      <c r="W71" s="134"/>
      <c r="X71" s="135"/>
    </row>
    <row r="72" spans="1:24" x14ac:dyDescent="0.3">
      <c r="A72" s="47">
        <v>13</v>
      </c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3" t="str">
        <f t="shared" si="1"/>
        <v xml:space="preserve"> </v>
      </c>
      <c r="U72" s="134"/>
      <c r="V72" s="134"/>
      <c r="W72" s="134"/>
      <c r="X72" s="135"/>
    </row>
    <row r="73" spans="1:24" x14ac:dyDescent="0.3">
      <c r="A73" s="47">
        <v>14</v>
      </c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3" t="str">
        <f t="shared" si="1"/>
        <v xml:space="preserve"> </v>
      </c>
      <c r="U73" s="134"/>
      <c r="V73" s="134"/>
      <c r="W73" s="134"/>
      <c r="X73" s="135"/>
    </row>
    <row r="74" spans="1:24" x14ac:dyDescent="0.3">
      <c r="A74" s="47">
        <v>15</v>
      </c>
      <c r="B74" s="136"/>
      <c r="C74" s="136"/>
      <c r="D74" s="136"/>
      <c r="E74" s="136"/>
      <c r="F74" s="136"/>
      <c r="G74" s="136"/>
      <c r="H74" s="136"/>
      <c r="I74" s="136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3" t="str">
        <f>I74 &amp; " " &amp; P74</f>
        <v xml:space="preserve"> </v>
      </c>
      <c r="U74" s="134"/>
      <c r="V74" s="134"/>
      <c r="W74" s="134"/>
      <c r="X74" s="135"/>
    </row>
    <row r="75" spans="1:24" x14ac:dyDescent="0.3">
      <c r="A75" s="47">
        <v>16</v>
      </c>
      <c r="B75" s="136"/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36"/>
      <c r="R75" s="136"/>
      <c r="S75" s="136"/>
      <c r="T75" s="133" t="str">
        <f t="shared" si="1"/>
        <v xml:space="preserve"> </v>
      </c>
      <c r="U75" s="134"/>
      <c r="V75" s="134"/>
      <c r="W75" s="134"/>
      <c r="X75" s="135"/>
    </row>
    <row r="76" spans="1:24" x14ac:dyDescent="0.3">
      <c r="A76" s="47">
        <v>17</v>
      </c>
      <c r="B76" s="136"/>
      <c r="C76" s="136"/>
      <c r="D76" s="136"/>
      <c r="E76" s="136"/>
      <c r="F76" s="136"/>
      <c r="G76" s="136"/>
      <c r="H76" s="136"/>
      <c r="I76" s="136"/>
      <c r="J76" s="136"/>
      <c r="K76" s="136"/>
      <c r="L76" s="136"/>
      <c r="M76" s="136"/>
      <c r="N76" s="136"/>
      <c r="O76" s="136"/>
      <c r="P76" s="136"/>
      <c r="Q76" s="136"/>
      <c r="R76" s="136"/>
      <c r="S76" s="136"/>
      <c r="T76" s="133" t="str">
        <f t="shared" si="1"/>
        <v xml:space="preserve"> </v>
      </c>
      <c r="U76" s="134"/>
      <c r="V76" s="134"/>
      <c r="W76" s="134"/>
      <c r="X76" s="135"/>
    </row>
    <row r="77" spans="1:24" x14ac:dyDescent="0.3">
      <c r="A77" s="47">
        <v>18</v>
      </c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3" t="str">
        <f t="shared" si="1"/>
        <v xml:space="preserve"> </v>
      </c>
      <c r="U77" s="134"/>
      <c r="V77" s="134"/>
      <c r="W77" s="134"/>
      <c r="X77" s="135"/>
    </row>
    <row r="78" spans="1:24" x14ac:dyDescent="0.3">
      <c r="A78" s="47">
        <v>19</v>
      </c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3" t="str">
        <f t="shared" si="1"/>
        <v xml:space="preserve"> </v>
      </c>
      <c r="U78" s="134"/>
      <c r="V78" s="134"/>
      <c r="W78" s="134"/>
      <c r="X78" s="135"/>
    </row>
    <row r="79" spans="1:24" x14ac:dyDescent="0.3">
      <c r="A79" s="47">
        <v>20</v>
      </c>
      <c r="B79" s="136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3" t="str">
        <f t="shared" si="1"/>
        <v xml:space="preserve"> </v>
      </c>
      <c r="U79" s="134"/>
      <c r="V79" s="134"/>
      <c r="W79" s="134"/>
      <c r="X79" s="135"/>
    </row>
    <row r="197" spans="36:54" x14ac:dyDescent="0.3">
      <c r="AQ197" s="35"/>
      <c r="AR197" s="35"/>
      <c r="AS197" s="35"/>
      <c r="AT197" s="35"/>
    </row>
    <row r="198" spans="36:54" x14ac:dyDescent="0.3">
      <c r="AQ198" s="35"/>
      <c r="AR198" s="35"/>
      <c r="AS198" s="35"/>
      <c r="AT198" s="35"/>
    </row>
    <row r="199" spans="36:54" x14ac:dyDescent="0.3">
      <c r="AQ199" s="35"/>
      <c r="AR199" s="35"/>
      <c r="AS199" s="35"/>
      <c r="AT199" s="35"/>
    </row>
    <row r="200" spans="36:54" x14ac:dyDescent="0.3">
      <c r="AQ200" s="35"/>
      <c r="AR200" s="35"/>
      <c r="AS200" s="35"/>
      <c r="AT200" s="35"/>
    </row>
    <row r="201" spans="36:54" x14ac:dyDescent="0.3">
      <c r="AQ201" s="35"/>
      <c r="AR201" s="35"/>
      <c r="AS201" s="35"/>
      <c r="AT201" s="35"/>
    </row>
    <row r="203" spans="36:54" ht="50.1" customHeight="1" x14ac:dyDescent="0.3">
      <c r="AJ203" s="112"/>
      <c r="AK203" s="116"/>
      <c r="AL203" s="117"/>
      <c r="AM203" s="117"/>
      <c r="AN203" s="117"/>
      <c r="AO203" s="117"/>
      <c r="AP203" s="117"/>
      <c r="AQ203" s="117"/>
      <c r="AR203" s="117"/>
      <c r="AS203" s="118"/>
      <c r="AT203" s="17"/>
      <c r="AU203" s="6"/>
    </row>
    <row r="204" spans="36:54" ht="50.1" customHeight="1" x14ac:dyDescent="0.3">
      <c r="AJ204" s="112"/>
      <c r="AK204" s="121"/>
      <c r="AL204" s="121"/>
      <c r="AM204" s="121"/>
      <c r="AN204" s="121"/>
      <c r="AO204" s="121"/>
      <c r="AP204" s="121"/>
      <c r="AQ204" s="121"/>
      <c r="AR204" s="121"/>
      <c r="AS204" s="121"/>
      <c r="AT204" s="17"/>
      <c r="AU204" s="6"/>
      <c r="AV204" s="12"/>
      <c r="AW204" s="12"/>
      <c r="AX204" s="12"/>
      <c r="AY204" s="12"/>
      <c r="AZ204" s="12"/>
      <c r="BA204" s="12"/>
    </row>
    <row r="205" spans="36:54" x14ac:dyDescent="0.3">
      <c r="AV205" s="12"/>
      <c r="AW205" s="12"/>
      <c r="AX205" s="12"/>
      <c r="AY205" s="12"/>
      <c r="AZ205" s="12"/>
      <c r="BA205" s="12"/>
    </row>
    <row r="206" spans="36:54" x14ac:dyDescent="0.3">
      <c r="AJ206" s="52" t="s">
        <v>7</v>
      </c>
      <c r="AK206" s="122" t="s">
        <v>8</v>
      </c>
      <c r="AL206" s="123"/>
      <c r="AM206" s="124"/>
      <c r="AN206" s="6"/>
      <c r="AO206" s="119" t="s">
        <v>1241</v>
      </c>
      <c r="AP206" s="119"/>
      <c r="AQ206" s="119"/>
      <c r="AR206" s="119"/>
      <c r="AS206" s="47" t="s">
        <v>1237</v>
      </c>
      <c r="AV206" s="12"/>
      <c r="AW206" s="12"/>
      <c r="AX206" s="12"/>
      <c r="AY206" s="12"/>
      <c r="AZ206" s="12"/>
      <c r="BA206" s="12"/>
    </row>
    <row r="207" spans="36:54" x14ac:dyDescent="0.3">
      <c r="AJ207" s="51" t="s">
        <v>1447</v>
      </c>
      <c r="AK207" s="125" t="str">
        <f>IFERROR(VLOOKUP($AJ$207,Tabela_Geral_Presencial[],2,FALSE),"")</f>
        <v>Fotografia e Imagem Digital</v>
      </c>
      <c r="AL207" s="126"/>
      <c r="AM207" s="127"/>
      <c r="AO207" s="120" t="s">
        <v>183</v>
      </c>
      <c r="AP207" s="120"/>
      <c r="AQ207" s="120"/>
      <c r="AR207" s="120"/>
      <c r="AS207" s="57">
        <f>IFERROR(AVERAGE(AM233,AM240,AM247,AM254,AM261),"")</f>
        <v>4.8615384615384611</v>
      </c>
      <c r="AV207" s="12"/>
      <c r="AW207" s="12"/>
      <c r="AX207" s="12"/>
      <c r="AY207" s="12"/>
      <c r="AZ207" s="12"/>
      <c r="BA207" s="12"/>
      <c r="BB207" s="12"/>
    </row>
    <row r="208" spans="36:54" x14ac:dyDescent="0.3">
      <c r="AJ208" s="47" t="s">
        <v>1246</v>
      </c>
      <c r="AK208" s="122" t="s">
        <v>1247</v>
      </c>
      <c r="AL208" s="123"/>
      <c r="AM208" s="124"/>
      <c r="AN208" s="5"/>
      <c r="AO208" s="120"/>
      <c r="AP208" s="120"/>
      <c r="AQ208" s="120"/>
      <c r="AR208" s="120"/>
      <c r="AS208" s="57" t="str">
        <f t="shared" ref="AS208:AS211" si="2">IFERROR(AVERAGE(AM234,AM241,AM248,AM255,AM262),"")</f>
        <v/>
      </c>
      <c r="AT208" s="1" t="s">
        <v>1234</v>
      </c>
      <c r="AV208" s="12"/>
      <c r="AW208" s="12"/>
      <c r="AX208" s="12"/>
      <c r="AY208" s="12"/>
      <c r="AZ208" s="12"/>
      <c r="BA208" s="12"/>
    </row>
    <row r="209" spans="36:53" x14ac:dyDescent="0.3">
      <c r="AJ209" s="51" t="s">
        <v>1351</v>
      </c>
      <c r="AK209" s="125" t="str">
        <f>IF(IFERROR(VLOOKUP($AJ$209,Tabela_Geral_Presencial[[Cód. UFCD]:[Desig. UFCD]],2,FALSE),"") = 0, "", IFERROR(VLOOKUP($AJ$209,Tabela_Geral_Presencial[[Cód. UFCD]:[Desig. UFCD]],2,FALSE),""))</f>
        <v/>
      </c>
      <c r="AL209" s="126"/>
      <c r="AM209" s="127"/>
      <c r="AO209" s="120"/>
      <c r="AP209" s="120"/>
      <c r="AQ209" s="120"/>
      <c r="AR209" s="120"/>
      <c r="AS209" s="57" t="str">
        <f t="shared" si="2"/>
        <v/>
      </c>
      <c r="AT209" s="1" t="s">
        <v>1234</v>
      </c>
      <c r="AV209" s="12"/>
      <c r="AW209" s="12"/>
      <c r="AX209" s="12"/>
      <c r="AY209" s="12"/>
      <c r="AZ209" s="12"/>
      <c r="BA209" s="12"/>
    </row>
    <row r="210" spans="36:53" x14ac:dyDescent="0.3">
      <c r="AO210" s="120"/>
      <c r="AP210" s="120"/>
      <c r="AQ210" s="120"/>
      <c r="AR210" s="120"/>
      <c r="AS210" s="57" t="str">
        <f t="shared" si="2"/>
        <v/>
      </c>
      <c r="AV210" s="12"/>
      <c r="AW210" s="12"/>
      <c r="AX210" s="12"/>
      <c r="AY210" s="12"/>
      <c r="AZ210" s="12"/>
      <c r="BA210" s="12"/>
    </row>
    <row r="211" spans="36:53" x14ac:dyDescent="0.3">
      <c r="AO211" s="120"/>
      <c r="AP211" s="120"/>
      <c r="AQ211" s="120"/>
      <c r="AR211" s="120"/>
      <c r="AS211" s="57" t="str">
        <f t="shared" si="2"/>
        <v/>
      </c>
      <c r="AV211" s="12"/>
      <c r="AW211" s="12"/>
      <c r="AX211" s="12"/>
      <c r="AY211" s="12"/>
      <c r="AZ211" s="12"/>
      <c r="BA211" s="12"/>
    </row>
    <row r="212" spans="36:53" x14ac:dyDescent="0.3">
      <c r="AJ212" s="53" t="s">
        <v>1245</v>
      </c>
      <c r="AK212" s="56">
        <f>IFERROR(COUNTIFS(Tabela_Geral_Presencial[Cód. Ação],$AJ$207,Tabela_Geral_Presencial[Cód. UFCD],$AJ$209),"")</f>
        <v>13</v>
      </c>
      <c r="AO212" s="120"/>
      <c r="AP212" s="120"/>
      <c r="AQ212" s="120"/>
      <c r="AR212" s="120"/>
      <c r="AS212" s="57" t="str">
        <f>IFERROR(AVERAGE(AM238,AM245,AM252,AM259,AM266),"")</f>
        <v/>
      </c>
      <c r="AV212" s="12"/>
      <c r="AW212" s="12"/>
      <c r="AX212" s="12"/>
      <c r="AY212" s="12"/>
      <c r="AZ212" s="12"/>
      <c r="BA212" s="12"/>
    </row>
    <row r="213" spans="36:53" x14ac:dyDescent="0.3">
      <c r="AJ213" s="52" t="s">
        <v>1248</v>
      </c>
      <c r="AK213" s="56">
        <f>IFERROR(COUNTA($AO$207:$AR$212),"")</f>
        <v>1</v>
      </c>
      <c r="AO213" s="103"/>
      <c r="AP213" s="103"/>
      <c r="AQ213" s="103"/>
      <c r="AR213" s="103"/>
      <c r="AS213" s="103"/>
      <c r="AU213" s="81"/>
      <c r="AV213" s="81"/>
      <c r="AW213" s="81"/>
      <c r="AX213" s="81"/>
      <c r="AY213" s="81"/>
      <c r="AZ213" s="81"/>
      <c r="BA213" s="12"/>
    </row>
    <row r="214" spans="36:53" x14ac:dyDescent="0.3">
      <c r="AO214" s="111" t="s">
        <v>1238</v>
      </c>
      <c r="AP214" s="111"/>
      <c r="AQ214" s="111"/>
      <c r="AR214" s="111"/>
      <c r="AS214" s="111"/>
      <c r="AU214" s="81"/>
      <c r="AV214" s="81"/>
      <c r="AW214" s="81"/>
      <c r="AX214" s="81"/>
      <c r="AY214" s="81"/>
      <c r="AZ214" s="81"/>
      <c r="BA214" s="12"/>
    </row>
    <row r="215" spans="36:53" x14ac:dyDescent="0.3">
      <c r="AJ215" s="111" t="s">
        <v>1236</v>
      </c>
      <c r="AK215" s="111"/>
      <c r="AL215" s="111"/>
      <c r="AM215" s="54" t="s">
        <v>1237</v>
      </c>
      <c r="AO215" s="54">
        <v>1</v>
      </c>
      <c r="AP215" s="54">
        <v>2</v>
      </c>
      <c r="AQ215" s="54">
        <v>3</v>
      </c>
      <c r="AR215" s="54">
        <v>4</v>
      </c>
      <c r="AS215" s="54">
        <v>5</v>
      </c>
      <c r="AU215" s="81"/>
      <c r="AV215" s="81"/>
      <c r="AW215" s="81"/>
      <c r="AX215" s="81"/>
      <c r="AY215" s="81"/>
      <c r="AZ215" s="81"/>
      <c r="BA215" s="12"/>
    </row>
    <row r="216" spans="36:53" ht="40.5" customHeight="1" x14ac:dyDescent="0.3">
      <c r="AJ216" s="40" t="s">
        <v>28</v>
      </c>
      <c r="AK216" s="106" t="s">
        <v>1249</v>
      </c>
      <c r="AL216" s="106"/>
      <c r="AM216" s="59">
        <f>AVERAGEIFS(Tabela_Geral_Presencial[1.1 - Utilidade dos temas tratados],
Tabela_Geral_Presencial[Cód. Ação],$AJ$207,
Tabela_Geral_Presencial[Cód. UFCD],$AJ$209)</f>
        <v>4.615384615384615</v>
      </c>
      <c r="AO216" s="58">
        <f>IFERROR((COUNTIFS(Tabela_Geral_Presencial[Cód. Ação],Questionários_FP!$AJ$207,Tabela_Geral_Presencial[Cód. UFCD],Questionários_FP!$AJ$209,Tabela_Geral_Presencial[1.1 - Utilidade dos temas tratados],Questionários_FP!AO215))/$AK$212, "")</f>
        <v>0</v>
      </c>
      <c r="AP216" s="58">
        <f>IFERROR((COUNTIFS(Tabela_Geral_Presencial[Cód. Ação],Questionários_FP!$AJ$207,Tabela_Geral_Presencial[Cód. UFCD],Questionários_FP!$AJ$209,Tabela_Geral_Presencial[1.1 - Utilidade dos temas tratados],Questionários_FP!AP215))/$AK$212, "")</f>
        <v>0</v>
      </c>
      <c r="AQ216" s="58">
        <f>IFERROR((COUNTIFS(Tabela_Geral_Presencial[Cód. Ação],Questionários_FP!$AJ$207,Tabela_Geral_Presencial[Cód. UFCD],Questionários_FP!$AJ$209,Tabela_Geral_Presencial[1.1 - Utilidade dos temas tratados],Questionários_FP!AQ215)) / $AK$212, "")</f>
        <v>0</v>
      </c>
      <c r="AR216" s="58">
        <f>IFERROR((COUNTIFS(Tabela_Geral_Presencial[Cód. Ação],Questionários_FP!$AJ$207,Tabela_Geral_Presencial[Cód. UFCD],Questionários_FP!$AJ$209,Tabela_Geral_Presencial[1.1 - Utilidade dos temas tratados],Questionários_FP!AR215)) / $AK$212, "")</f>
        <v>0.38461538461538464</v>
      </c>
      <c r="AS216" s="58">
        <f>IFERROR((COUNTIFS(Tabela_Geral_Presencial[Cód. Ação],Questionários_FP!$AJ$207,Tabela_Geral_Presencial[Cód. UFCD],Questionários_FP!$AJ$209,Tabela_Geral_Presencial[1.1 - Utilidade dos temas tratados],Questionários_FP!AS215)) / $AK$212, "")</f>
        <v>0.61538461538461542</v>
      </c>
      <c r="AU216" s="11"/>
      <c r="AV216" s="81"/>
      <c r="AW216" s="81"/>
      <c r="AX216" s="81"/>
      <c r="AY216" s="81"/>
      <c r="AZ216" s="81"/>
      <c r="BA216" s="12"/>
    </row>
    <row r="217" spans="36:53" x14ac:dyDescent="0.3">
      <c r="AM217" s="11"/>
      <c r="AO217" s="9"/>
      <c r="AP217" s="9"/>
      <c r="AQ217" s="9"/>
      <c r="AR217" s="9"/>
      <c r="AS217" s="9"/>
      <c r="AU217" s="11"/>
    </row>
    <row r="218" spans="36:53" x14ac:dyDescent="0.3">
      <c r="AJ218" s="104" t="s">
        <v>27</v>
      </c>
      <c r="AK218" s="105" t="s">
        <v>1217</v>
      </c>
      <c r="AL218" s="105"/>
      <c r="AM218" s="59">
        <f>AVERAGEIFS(Tabela_Geral_Presencial[2.1 - Cumprimento dos objetivos],
Tabela_Geral_Presencial[Cód. Ação],$AJ$207,
Tabela_Geral_Presencial[Cód. UFCD],$AJ$209)</f>
        <v>4.4615384615384617</v>
      </c>
      <c r="AO218" s="58">
        <f>IFERROR((COUNTIFS(Tabela_Geral_Presencial[Cód. Ação],Questionários_FP!$AJ$207,Tabela_Geral_Presencial[Cód. UFCD],Questionários_FP!$AJ$209,Tabela_Geral_Presencial[2.1 - Cumprimento dos objetivos],Questionários_FP!AO215))/$AK$212, "")</f>
        <v>0</v>
      </c>
      <c r="AP218" s="58">
        <f>IFERROR((COUNTIFS(Tabela_Geral_Presencial[Cód. Ação],Questionários_FP!$AJ$207,Tabela_Geral_Presencial[Cód. UFCD],Questionários_FP!$AJ$209,Tabela_Geral_Presencial[2.1 - Cumprimento dos objetivos],Questionários_FP!AP215))/$AK$212, "")</f>
        <v>0</v>
      </c>
      <c r="AQ218" s="58">
        <f>IFERROR((COUNTIFS(Tabela_Geral_Presencial[Cód. Ação],Questionários_FP!$AJ$207,Tabela_Geral_Presencial[Cód. UFCD],Questionários_FP!$AJ$209,Tabela_Geral_Presencial[2.1 - Cumprimento dos objetivos],Questionários_FP!AQ215))/$AK$212, "")</f>
        <v>7.6923076923076927E-2</v>
      </c>
      <c r="AR218" s="58">
        <f>IFERROR((COUNTIFS(Tabela_Geral_Presencial[Cód. Ação],Questionários_FP!$AJ$207,Tabela_Geral_Presencial[Cód. UFCD],Questionários_FP!$AJ$209,Tabela_Geral_Presencial[2.1 - Cumprimento dos objetivos],Questionários_FP!AR215))/$AK$212, "")</f>
        <v>0.38461538461538464</v>
      </c>
      <c r="AS218" s="58">
        <f>IFERROR((COUNTIFS(Tabela_Geral_Presencial[Cód. Ação],Questionários_FP!$AJ$207,Tabela_Geral_Presencial[Cód. UFCD],Questionários_FP!$AJ$209,Tabela_Geral_Presencial[2.1 - Cumprimento dos objetivos],Questionários_FP!AS215))/$AK$212, "")</f>
        <v>0.53846153846153844</v>
      </c>
      <c r="AU218" s="11"/>
    </row>
    <row r="219" spans="36:53" ht="17.25" customHeight="1" x14ac:dyDescent="0.3">
      <c r="AJ219" s="104"/>
      <c r="AK219" s="106" t="s">
        <v>1239</v>
      </c>
      <c r="AL219" s="106"/>
      <c r="AM219" s="59">
        <f>AVERAGEIFS(Tabela_Geral_Presencial[2.2 - Desenvolvimento do Programa],
Tabela_Geral_Presencial[Cód. Ação],$AJ$207,
Tabela_Geral_Presencial[Cód. UFCD],$AJ$209)</f>
        <v>4.3076923076923075</v>
      </c>
      <c r="AO219" s="58">
        <f>IFERROR((COUNTIFS(Tabela_Geral_Presencial[Cód. Ação],Questionários_FP!$AJ$207,Tabela_Geral_Presencial[Cód. UFCD],Questionários_FP!$AJ$209,Tabela_Geral_Presencial[2.2 - Desenvolvimento do Programa],Questionários_FP!$AO$215))/$AK$212, "")</f>
        <v>0</v>
      </c>
      <c r="AP219" s="58">
        <f>IFERROR((COUNTIFS(Tabela_Geral_Presencial[Cód. Ação],Questionários_FP!$AJ$207,Tabela_Geral_Presencial[Cód. UFCD],Questionários_FP!$AJ$209,Tabela_Geral_Presencial[2.2 - Desenvolvimento do Programa],Questionários_FP!$AP$215))/$AK$212, "")</f>
        <v>0</v>
      </c>
      <c r="AQ219" s="58">
        <f>IFERROR((COUNTIFS(Tabela_Geral_Presencial[Cód. Ação],Questionários_FP!$AJ$207,Tabela_Geral_Presencial[Cód. UFCD],Questionários_FP!$AJ$209,Tabela_Geral_Presencial[2.2 - Desenvolvimento do Programa],Questionários_FP!$AQ$215))/$AK$212, "")</f>
        <v>0.15384615384615385</v>
      </c>
      <c r="AR219" s="58">
        <f>IFERROR((COUNTIFS(Tabela_Geral_Presencial[Cód. Ação],Questionários_FP!$AJ$207,Tabela_Geral_Presencial[Cód. UFCD],Questionários_FP!$AJ$209,Tabela_Geral_Presencial[2.2 - Desenvolvimento do Programa],Questionários_FP!$AR$215))/$AK$212, "")</f>
        <v>0.38461538461538464</v>
      </c>
      <c r="AS219" s="58">
        <f>IFERROR((COUNTIFS(Tabela_Geral_Presencial[Cód. Ação],Questionários_FP!$AJ$207,Tabela_Geral_Presencial[Cód. UFCD],Questionários_FP!$AJ$209,Tabela_Geral_Presencial[2.2 - Desenvolvimento do Programa],Questionários_FP!$AS$215))/$AK$212, "")</f>
        <v>0.46153846153846156</v>
      </c>
      <c r="AU219" s="11"/>
    </row>
    <row r="220" spans="36:53" x14ac:dyDescent="0.3">
      <c r="AJ220" s="104"/>
      <c r="AK220" s="106" t="s">
        <v>1240</v>
      </c>
      <c r="AL220" s="106"/>
      <c r="AM220" s="59">
        <f>AVERAGEIFS(Tabela_Geral_Presencial[2.3 - Conhecimentos Adquiridos],
Tabela_Geral_Presencial[Cód. Ação],$AJ$207,
Tabela_Geral_Presencial[Cód. UFCD],$AJ$209)</f>
        <v>4.2307692307692308</v>
      </c>
      <c r="AO220" s="58">
        <f>IFERROR((COUNTIFS(Tabela_Geral_Presencial[Cód. Ação],Questionários_FP!$AJ$207,Tabela_Geral_Presencial[Cód. UFCD],Questionários_FP!$AJ$209,Tabela_Geral_Presencial[2.3 - Conhecimentos Adquiridos],Questionários_FP!$AO$215))/$AK$212, "")</f>
        <v>0</v>
      </c>
      <c r="AP220" s="58">
        <f>IFERROR((COUNTIFS(Tabela_Geral_Presencial[Cód. Ação],Questionários_FP!$AJ$207,Tabela_Geral_Presencial[Cód. UFCD],Questionários_FP!$AJ$209,Tabela_Geral_Presencial[2.3 - Conhecimentos Adquiridos],Questionários_FP!$AP$215))/$AK$212, "")</f>
        <v>0</v>
      </c>
      <c r="AQ220" s="58">
        <f>IFERROR((COUNTIFS(Tabela_Geral_Presencial[Cód. Ação],Questionários_FP!$AJ$207,Tabela_Geral_Presencial[Cód. UFCD],Questionários_FP!$AJ$209,Tabela_Geral_Presencial[2.3 - Conhecimentos Adquiridos],Questionários_FP!$AQ$215))/$AK$212, "")</f>
        <v>0.15384615384615385</v>
      </c>
      <c r="AR220" s="58">
        <f>IFERROR((COUNTIFS(Tabela_Geral_Presencial[Cód. Ação],Questionários_FP!$AJ$207,Tabela_Geral_Presencial[Cód. UFCD],Questionários_FP!$AJ$209,Tabela_Geral_Presencial[2.3 - Conhecimentos Adquiridos],Questionários_FP!$AR$215))/$AK$212, "")</f>
        <v>0.46153846153846156</v>
      </c>
      <c r="AS220" s="58">
        <f>IFERROR((COUNTIFS(Tabela_Geral_Presencial[Cód. Ação],Questionários_FP!$AJ$207,Tabela_Geral_Presencial[Cód. UFCD],Questionários_FP!$AJ$209,Tabela_Geral_Presencial[2.3 - Conhecimentos Adquiridos],Questionários_FP!$AS$215))/$AK$212, "")</f>
        <v>0.38461538461538464</v>
      </c>
      <c r="AU220" s="11"/>
    </row>
    <row r="221" spans="36:53" x14ac:dyDescent="0.3">
      <c r="AL221" s="54" t="s">
        <v>1243</v>
      </c>
      <c r="AM221" s="60">
        <f>IFERROR(AVERAGE($AM$218:$AM$220),"")</f>
        <v>4.333333333333333</v>
      </c>
      <c r="AO221" s="10"/>
      <c r="AP221" s="10"/>
      <c r="AQ221" s="10"/>
      <c r="AR221" s="10"/>
      <c r="AS221" s="10"/>
      <c r="AU221" s="11"/>
    </row>
    <row r="222" spans="36:53" ht="18" customHeight="1" x14ac:dyDescent="0.3">
      <c r="AM222" s="11"/>
      <c r="AO222" s="10"/>
      <c r="AP222" s="10"/>
      <c r="AQ222" s="10"/>
      <c r="AR222" s="10"/>
      <c r="AS222" s="10"/>
      <c r="AU222" s="11"/>
    </row>
    <row r="223" spans="36:53" ht="17.25" customHeight="1" x14ac:dyDescent="0.3">
      <c r="AJ223" s="104" t="s">
        <v>29</v>
      </c>
      <c r="AK223" s="105" t="s">
        <v>12</v>
      </c>
      <c r="AL223" s="105"/>
      <c r="AM223" s="59">
        <f>AVERAGEIFS(Tabela_Geral_Presencial[3.1 - Materiais e/ou equipamentos utilizados],
Tabela_Geral_Presencial[Cód. Ação],$AJ$207,
Tabela_Geral_Presencial[Cód. UFCD],$AJ$209)</f>
        <v>3.6153846153846154</v>
      </c>
      <c r="AO223" s="58">
        <f>IFERROR((COUNTIFS(Tabela_Geral_Presencial[Cód. Ação],Questionários_FP!$AJ$207,Tabela_Geral_Presencial[Cód. UFCD],Questionários_FP!$AJ$209,Tabela_Geral_Presencial[3.1 - Materiais e/ou equipamentos utilizados],Questionários_FP!$AO$215))/$AK$212, "")</f>
        <v>0</v>
      </c>
      <c r="AP223" s="58">
        <f>IFERROR((COUNTIFS(Tabela_Geral_Presencial[Cód. Ação],Questionários_FP!$AJ$207,Tabela_Geral_Presencial[Cód. UFCD],Questionários_FP!$AJ$209,Tabela_Geral_Presencial[3.1 - Materiais e/ou equipamentos utilizados],Questionários_FP!$AP$215))/$AK$212, "")</f>
        <v>0</v>
      </c>
      <c r="AQ223" s="58">
        <f>IFERROR((COUNTIFS(Tabela_Geral_Presencial[Cód. Ação],Questionários_FP!$AJ$207,Tabela_Geral_Presencial[Cód. UFCD],Questionários_FP!$AJ$209,Tabela_Geral_Presencial[3.1 - Materiais e/ou equipamentos utilizados],Questionários_FP!$AQ$215))/$AK$212, "")</f>
        <v>0.46153846153846156</v>
      </c>
      <c r="AR223" s="58">
        <f>IFERROR((COUNTIFS(Tabela_Geral_Presencial[Cód. Ação],Questionários_FP!$AJ$207,Tabela_Geral_Presencial[Cód. UFCD],Questionários_FP!$AJ$209,Tabela_Geral_Presencial[3.1 - Materiais e/ou equipamentos utilizados],Questionários_FP!$AR$215))/$AK$212, "")</f>
        <v>0.46153846153846156</v>
      </c>
      <c r="AS223" s="58">
        <f>IFERROR((COUNTIFS(Tabela_Geral_Presencial[Cód. Ação],Questionários_FP!$AJ$207,Tabela_Geral_Presencial[Cód. UFCD],Questionários_FP!$AJ$209,Tabela_Geral_Presencial[3.1 - Materiais e/ou equipamentos utilizados],Questionários_FP!$AS$215))/$AK$212, "")</f>
        <v>7.6923076923076927E-2</v>
      </c>
      <c r="AU223" s="11"/>
    </row>
    <row r="224" spans="36:53" x14ac:dyDescent="0.3">
      <c r="AJ224" s="104"/>
      <c r="AK224" s="105" t="s">
        <v>13</v>
      </c>
      <c r="AL224" s="105"/>
      <c r="AM224" s="59">
        <f>AVERAGEIFS(Tabela_Geral_Presencial[3.2 - Documentação distribuída],
Tabela_Geral_Presencial[Cód. Ação],$AJ$207,
Tabela_Geral_Presencial[Cód. UFCD],$AJ$209)</f>
        <v>4.3076923076923075</v>
      </c>
      <c r="AO224" s="58">
        <f>IFERROR((COUNTIFS(Tabela_Geral_Presencial[Cód. Ação],Questionários_FP!$AJ$207,Tabela_Geral_Presencial[Cód. UFCD],Questionários_FP!$AJ$209,Tabela_Geral_Presencial[3.2 - Documentação distribuída],Questionários_FP!$AO$215))/$AK$212, "")</f>
        <v>0</v>
      </c>
      <c r="AP224" s="58">
        <f>IFERROR((COUNTIFS(Tabela_Geral_Presencial[Cód. Ação],Questionários_FP!$AJ$207,Tabela_Geral_Presencial[Cód. UFCD],Questionários_FP!$AJ$209,Tabela_Geral_Presencial[3.2 - Documentação distribuída],Questionários_FP!$AP$215))/$AK$212, "")</f>
        <v>0</v>
      </c>
      <c r="AQ224" s="58">
        <f>IFERROR((COUNTIFS(Tabela_Geral_Presencial[Cód. Ação],Questionários_FP!$AJ$207,Tabela_Geral_Presencial[Cód. UFCD],Questionários_FP!$AJ$209,Tabela_Geral_Presencial[3.2 - Documentação distribuída],Questionários_FP!$AQ$215))/$AK$212, "")</f>
        <v>0.15384615384615385</v>
      </c>
      <c r="AR224" s="58">
        <f>IFERROR((COUNTIFS(Tabela_Geral_Presencial[Cód. Ação],Questionários_FP!$AJ$207,Tabela_Geral_Presencial[Cód. UFCD],Questionários_FP!$AJ$209,Tabela_Geral_Presencial[3.2 - Documentação distribuída],Questionários_FP!$AR$215))/$AK$212, "")</f>
        <v>0.38461538461538464</v>
      </c>
      <c r="AS224" s="58">
        <f>IFERROR((COUNTIFS(Tabela_Geral_Presencial[Cód. Ação],Questionários_FP!$AJ$207,Tabela_Geral_Presencial[Cód. UFCD],Questionários_FP!$AJ$209,Tabela_Geral_Presencial[3.2 - Documentação distribuída],Questionários_FP!$AS$215))/$AK$212, "")</f>
        <v>0.46153846153846156</v>
      </c>
      <c r="AU224" s="11"/>
    </row>
    <row r="225" spans="35:47" x14ac:dyDescent="0.3">
      <c r="AJ225" s="104"/>
      <c r="AK225" s="105" t="s">
        <v>14</v>
      </c>
      <c r="AL225" s="105"/>
      <c r="AM225" s="59">
        <f>AVERAGEIFS(Tabela_Geral_Presencial[3.3.1 - Serviços de Apoio: Receção / Segurança],
Tabela_Geral_Presencial[Cód. Ação],$AJ$207,
Tabela_Geral_Presencial[Cód. UFCD],$AJ$209)</f>
        <v>4.384615384615385</v>
      </c>
      <c r="AO225" s="58">
        <f>IFERROR((COUNTIFS(Tabela_Geral_Presencial[Cód. Ação],Questionários_FP!$AJ$207,Tabela_Geral_Presencial[Cód. UFCD],Questionários_FP!$AJ$209,Tabela_Geral_Presencial[3.3.1 - Serviços de Apoio: Receção / Segurança],Questionários_FP!$AO$215))/$AK$212, "")</f>
        <v>0</v>
      </c>
      <c r="AP225" s="58">
        <f>IFERROR((COUNTIFS(Tabela_Geral_Presencial[Cód. Ação],Questionários_FP!$AJ$207,Tabela_Geral_Presencial[Cód. UFCD],Questionários_FP!$AJ$209,Tabela_Geral_Presencial[3.3.1 - Serviços de Apoio: Receção / Segurança],Questionários_FP!$AP$215))/$AK$212, "")</f>
        <v>0</v>
      </c>
      <c r="AQ225" s="58">
        <f>IFERROR((COUNTIFS(Tabela_Geral_Presencial[Cód. Ação],Questionários_FP!$AJ$207,Tabela_Geral_Presencial[Cód. UFCD],Questionários_FP!$AJ$209,Tabela_Geral_Presencial[3.3.1 - Serviços de Apoio: Receção / Segurança],Questionários_FP!$AQ$215))/$AK$212, "")</f>
        <v>0.15384615384615385</v>
      </c>
      <c r="AR225" s="58">
        <f>IFERROR((COUNTIFS(Tabela_Geral_Presencial[Cód. Ação],Questionários_FP!$AJ$207,Tabela_Geral_Presencial[Cód. UFCD],Questionários_FP!$AJ$209,Tabela_Geral_Presencial[3.3.1 - Serviços de Apoio: Receção / Segurança],Questionários_FP!$AR$215))/$AK$212, "")</f>
        <v>0.30769230769230771</v>
      </c>
      <c r="AS225" s="58">
        <f>IFERROR((COUNTIFS(Tabela_Geral_Presencial[Cód. Ação],Questionários_FP!$AJ$207,Tabela_Geral_Presencial[Cód. UFCD],Questionários_FP!$AJ$209,Tabela_Geral_Presencial[3.3.1 - Serviços de Apoio: Receção / Segurança],Questionários_FP!$AS$215))/$AK$212, "")</f>
        <v>0.53846153846153844</v>
      </c>
      <c r="AU225" s="11"/>
    </row>
    <row r="226" spans="35:47" x14ac:dyDescent="0.3">
      <c r="AI226" s="12"/>
      <c r="AJ226" s="104"/>
      <c r="AK226" s="105" t="s">
        <v>15</v>
      </c>
      <c r="AL226" s="105"/>
      <c r="AM226" s="59">
        <f>AVERAGEIFS(Tabela_Geral_Presencial[3.3.2 - Serviços de Apoio: Bar],
Tabela_Geral_Presencial[Cód. Ação],$AJ$207,
Tabela_Geral_Presencial[Cód. UFCD],$AJ$209)</f>
        <v>3.25</v>
      </c>
      <c r="AO226" s="58">
        <f>IFERROR((COUNTIFS(Tabela_Geral_Presencial[Cód. Ação],Questionários_FP!$AJ$207,Tabela_Geral_Presencial[Cód. UFCD],Questionários_FP!$AJ$209,Tabela_Geral_Presencial[3.3.2 - Serviços de Apoio: Bar],Questionários_FP!$AO$215))/$AK$212, "")</f>
        <v>7.6923076923076927E-2</v>
      </c>
      <c r="AP226" s="58">
        <f>IFERROR((COUNTIFS(Tabela_Geral_Presencial[Cód. Ação],Questionários_FP!$AJ$207,Tabela_Geral_Presencial[Cód. UFCD],Questionários_FP!$AJ$209,Tabela_Geral_Presencial[3.3.2 - Serviços de Apoio: Bar],Questionários_FP!$AP$215))/$AK$212, "")</f>
        <v>0.23076923076923078</v>
      </c>
      <c r="AQ226" s="58">
        <f>IFERROR((COUNTIFS(Tabela_Geral_Presencial[Cód. Ação],Questionários_FP!$AJ$207,Tabela_Geral_Presencial[Cód. UFCD],Questionários_FP!$AJ$209,Tabela_Geral_Presencial[3.3.2 - Serviços de Apoio: Bar],Questionários_FP!$AQ$215))/$AK$212, "")</f>
        <v>0.15384615384615385</v>
      </c>
      <c r="AR226" s="58">
        <f>IFERROR((COUNTIFS(Tabela_Geral_Presencial[Cód. Ação],Questionários_FP!$AJ$207,Tabela_Geral_Presencial[Cód. UFCD],Questionários_FP!$AJ$209,Tabela_Geral_Presencial[3.3.2 - Serviços de Apoio: Bar],Questionários_FP!$AR$215))/$AK$212, "")</f>
        <v>0.30769230769230771</v>
      </c>
      <c r="AS226" s="58">
        <f>IFERROR((COUNTIFS(Tabela_Geral_Presencial[Cód. Ação],Questionários_FP!$AJ$207,Tabela_Geral_Presencial[Cód. UFCD],Questionários_FP!$AJ$209,Tabela_Geral_Presencial[3.3.2 - Serviços de Apoio: Bar],Questionários_FP!$AS$215))/$AK$212, "")</f>
        <v>0.15384615384615385</v>
      </c>
      <c r="AU226" s="11"/>
    </row>
    <row r="227" spans="35:47" x14ac:dyDescent="0.3">
      <c r="AI227" s="12"/>
      <c r="AJ227" s="104"/>
      <c r="AK227" s="105" t="s">
        <v>16</v>
      </c>
      <c r="AL227" s="105"/>
      <c r="AM227" s="59">
        <f>AVERAGEIFS(Tabela_Geral_Presencial[3.3.3 - Serviços de Apoio: CRC],
Tabela_Geral_Presencial[Cód. Ação],$AJ$207,
Tabela_Geral_Presencial[Cód. UFCD],$AJ$209)</f>
        <v>4.25</v>
      </c>
      <c r="AO227" s="58">
        <f>IFERROR((COUNTIFS(Tabela_Geral_Presencial[Cód. Ação],Questionários_FP!$AJ$207,Tabela_Geral_Presencial[Cód. UFCD],Questionários_FP!$AJ$209,Tabela_Geral_Presencial[3.3.3 - Serviços de Apoio: CRC],Questionários_FP!$AO$215))/$AK$212, "")</f>
        <v>0</v>
      </c>
      <c r="AP227" s="58">
        <f>IFERROR((COUNTIFS(Tabela_Geral_Presencial[Cód. Ação],Questionários_FP!$AJ$207,Tabela_Geral_Presencial[Cód. UFCD],Questionários_FP!$AJ$209,Tabela_Geral_Presencial[3.3.3 - Serviços de Apoio: CRC],Questionários_FP!$AP$215))/$AK$212, "")</f>
        <v>0</v>
      </c>
      <c r="AQ227" s="58">
        <f>IFERROR((COUNTIFS(Tabela_Geral_Presencial[Cód. Ação],Questionários_FP!$AJ$207,Tabela_Geral_Presencial[Cód. UFCD],Questionários_FP!$AJ$209,Tabela_Geral_Presencial[3.3.3 - Serviços de Apoio: CRC],Questionários_FP!$AQ$215))/$AK$212, "")</f>
        <v>7.6923076923076927E-2</v>
      </c>
      <c r="AR227" s="58">
        <f>IFERROR((COUNTIFS(Tabela_Geral_Presencial[Cód. Ação],Questionários_FP!$AJ$207,Tabela_Geral_Presencial[Cód. UFCD],Questionários_FP!$AJ$209,Tabela_Geral_Presencial[3.3.3 - Serviços de Apoio: CRC],Questionários_FP!$AR$215))/$AK$212, "")</f>
        <v>0.30769230769230771</v>
      </c>
      <c r="AS227" s="58">
        <f>IFERROR((COUNTIFS(Tabela_Geral_Presencial[Cód. Ação],Questionários_FP!$AJ$207,Tabela_Geral_Presencial[Cód. UFCD],Questionários_FP!$AJ$209,Tabela_Geral_Presencial[3.3.3 - Serviços de Apoio: CRC],Questionários_FP!$AS$215))/$AK$212, "")</f>
        <v>0.23076923076923078</v>
      </c>
      <c r="AU227" s="11"/>
    </row>
    <row r="228" spans="35:47" x14ac:dyDescent="0.3">
      <c r="AI228" s="12"/>
      <c r="AJ228" s="104"/>
      <c r="AK228" s="105" t="s">
        <v>17</v>
      </c>
      <c r="AL228" s="105"/>
      <c r="AM228" s="59">
        <f>AVERAGEIFS(Tabela_Geral_Presencial[3.3.4 - Atendimento ao Cliente / Formando],
Tabela_Geral_Presencial[Cód. Ação],$AJ$207,
Tabela_Geral_Presencial[Cód. UFCD],$AJ$209)</f>
        <v>4.384615384615385</v>
      </c>
      <c r="AO228" s="58">
        <f>IFERROR((COUNTIFS(Tabela_Geral_Presencial[Cód. Ação],Questionários_FP!$AJ$207,Tabela_Geral_Presencial[Cód. UFCD],Questionários_FP!$AJ$209,Tabela_Geral_Presencial[3.3.4 - Atendimento ao Cliente / Formando],Questionários_FP!$AO$215))/$AK$212, "")</f>
        <v>0</v>
      </c>
      <c r="AP228" s="58">
        <f>IFERROR((COUNTIFS(Tabela_Geral_Presencial[Cód. Ação],Questionários_FP!$AJ$207,Tabela_Geral_Presencial[Cód. UFCD],Questionários_FP!$AJ$209,Tabela_Geral_Presencial[3.3.4 - Atendimento ao Cliente / Formando],Questionários_FP!$AP$215))/$AK$212, "")</f>
        <v>0</v>
      </c>
      <c r="AQ228" s="58">
        <f>IFERROR((COUNTIFS(Tabela_Geral_Presencial[Cód. Ação],Questionários_FP!$AJ$207,Tabela_Geral_Presencial[Cód. UFCD],Questionários_FP!$AJ$209,Tabela_Geral_Presencial[3.3.4 - Atendimento ao Cliente / Formando],Questionários_FP!$AQ$215))/$AK$212, "")</f>
        <v>0.15384615384615385</v>
      </c>
      <c r="AR228" s="58">
        <f>IFERROR((COUNTIFS(Tabela_Geral_Presencial[Cód. Ação],Questionários_FP!$AJ$207,Tabela_Geral_Presencial[Cód. UFCD],Questionários_FP!$AJ$209,Tabela_Geral_Presencial[3.3.4 - Atendimento ao Cliente / Formando],Questionários_FP!$AR$215))/$AK$212, "")</f>
        <v>0.30769230769230771</v>
      </c>
      <c r="AS228" s="58">
        <f>IFERROR((COUNTIFS(Tabela_Geral_Presencial[Cód. Ação],Questionários_FP!$AJ$207,Tabela_Geral_Presencial[Cód. UFCD],Questionários_FP!$AJ$209,Tabela_Geral_Presencial[3.3.4 - Atendimento ao Cliente / Formando],Questionários_FP!$AS$215))/$AK$212, "")</f>
        <v>0.53846153846153844</v>
      </c>
      <c r="AU228" s="11"/>
    </row>
    <row r="229" spans="35:47" x14ac:dyDescent="0.3">
      <c r="AJ229" s="104"/>
      <c r="AK229" s="105" t="s">
        <v>18</v>
      </c>
      <c r="AL229" s="105"/>
      <c r="AM229" s="59">
        <f>AVERAGEIFS(Tabela_Geral_Presencial[3.4 - Instalações onde decorreu a ação / módulo],
Tabela_Geral_Presencial[Cód. Ação],$AJ$207,
Tabela_Geral_Presencial[Cód. UFCD],$AJ$209)</f>
        <v>4</v>
      </c>
      <c r="AO229" s="58">
        <f>IFERROR((COUNTIFS(Tabela_Geral_Presencial[Cód. Ação],Questionários_FP!$AJ$207,Tabela_Geral_Presencial[Cód. UFCD],Questionários_FP!$AJ$209,Tabela_Geral_Presencial[3.4 - Instalações onde decorreu a ação / módulo],Questionários_FP!$AO$215))/$AK$212, "")</f>
        <v>0</v>
      </c>
      <c r="AP229" s="58">
        <f>IFERROR((COUNTIFS(Tabela_Geral_Presencial[Cód. Ação],Questionários_FP!$AJ$207,Tabela_Geral_Presencial[Cód. UFCD],Questionários_FP!$AJ$209,Tabela_Geral_Presencial[3.4 - Instalações onde decorreu a ação / módulo],Questionários_FP!$AP$215))/$AK$212, "")</f>
        <v>0</v>
      </c>
      <c r="AQ229" s="58">
        <f>IFERROR((COUNTIFS(Tabela_Geral_Presencial[Cód. Ação],Questionários_FP!$AJ$207,Tabela_Geral_Presencial[Cód. UFCD],Questionários_FP!$AJ$209,Tabela_Geral_Presencial[3.4 - Instalações onde decorreu a ação / módulo],Questionários_FP!$AQ$215))/$AK$212, "")</f>
        <v>0.30769230769230771</v>
      </c>
      <c r="AR229" s="58">
        <f>IFERROR((COUNTIFS(Tabela_Geral_Presencial[Cód. Ação],Questionários_FP!$AJ$207,Tabela_Geral_Presencial[Cód. UFCD],Questionários_FP!$AJ$209,Tabela_Geral_Presencial[3.4 - Instalações onde decorreu a ação / módulo],Questionários_FP!$AR$215))/$AK$212, "")</f>
        <v>0.38461538461538464</v>
      </c>
      <c r="AS229" s="58">
        <f>IFERROR((COUNTIFS(Tabela_Geral_Presencial[Cód. Ação],Questionários_FP!$AJ$207,Tabela_Geral_Presencial[Cód. UFCD],Questionários_FP!$AJ$209,Tabela_Geral_Presencial[3.4 - Instalações onde decorreu a ação / módulo],Questionários_FP!$AS$215))/$AK$212, "")</f>
        <v>0.30769230769230771</v>
      </c>
      <c r="AU229" s="11"/>
    </row>
    <row r="230" spans="35:47" x14ac:dyDescent="0.3">
      <c r="AL230" s="54" t="s">
        <v>1244</v>
      </c>
      <c r="AM230" s="60">
        <f>IFERROR(AVERAGE($AM$223:$AM$229),"")</f>
        <v>4.0274725274725274</v>
      </c>
      <c r="AU230" s="11"/>
    </row>
    <row r="232" spans="35:47" x14ac:dyDescent="0.3">
      <c r="AK232" s="111" t="s">
        <v>1241</v>
      </c>
      <c r="AL232" s="111"/>
      <c r="AM232" s="54" t="s">
        <v>1237</v>
      </c>
    </row>
    <row r="233" spans="35:47" ht="17.25" customHeight="1" x14ac:dyDescent="0.3">
      <c r="AJ233" s="104" t="s">
        <v>19</v>
      </c>
      <c r="AK233" s="107" t="str">
        <f>IF(AO207 &lt;&gt; "",AO207,"")</f>
        <v>Pedro Dos Santos Vicente</v>
      </c>
      <c r="AL233" s="107"/>
      <c r="AM233" s="59">
        <f>IF(AO207&lt;&gt;"",
AVERAGEIFS(Tabela_Avaliação_Presencial[4.1 - Conhecimentos e Competências Técnicas],Tabela_Avaliação_Presencial[Cód. Ação],$AJ$207,Tabela_Avaliação_Presencial[Cód. UFCD],$AJ$209,Tabela_Avaliação_Presencial[Nome Completo],AO207),"")</f>
        <v>4.8461538461538458</v>
      </c>
      <c r="AO233" s="58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Técnicas],Questionários_FP!AO$215)) / $AK$212, "")</f>
        <v>0</v>
      </c>
      <c r="AP233" s="58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Técnicas],Questionários_FP!AP$215)) / $AK$212, "")</f>
        <v>0</v>
      </c>
      <c r="AQ233" s="58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Técnicas],Questionários_FP!AQ$215)) / $AK$212, "")</f>
        <v>0</v>
      </c>
      <c r="AR233" s="58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Técnicas],Questionários_FP!AR$215)) / $AK$212, "")</f>
        <v>0.15384615384615385</v>
      </c>
      <c r="AS233" s="58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Técnicas],Questionários_FP!AS$215)) / $AK$212, "")</f>
        <v>0.84615384615384615</v>
      </c>
      <c r="AU233" s="11"/>
    </row>
    <row r="234" spans="35:47" ht="17.25" hidden="1" customHeight="1" x14ac:dyDescent="0.3">
      <c r="AJ234" s="104"/>
      <c r="AK234" s="107" t="str">
        <f>IF(AO208 &lt;&gt; "",AO208,"")</f>
        <v/>
      </c>
      <c r="AL234" s="107"/>
      <c r="AM234" s="59" t="str">
        <f>IF(AO208&lt;&gt;"",
AVERAGEIFS(Tabela_Avaliação_Presencial[4.1 - Conhecimentos e Competências Técnicas],Tabela_Avaliação_Presencial[Cód. Ação],$AJ$207,Tabela_Avaliação_Presencial[Cód. UFCD],$AJ$209,Tabela_Avaliação_Presencial[Nome Completo],AO208),"")</f>
        <v/>
      </c>
      <c r="AO234" s="58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Técnicas],Questionários_FP!AO$215)) / $AK$212, "")</f>
        <v>0</v>
      </c>
      <c r="AP234" s="58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Técnicas],Questionários_FP!AP$215)) / $AK$212, "")</f>
        <v>0</v>
      </c>
      <c r="AQ234" s="58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Técnicas],Questionários_FP!AQ$215)) / $AK$212, "")</f>
        <v>0</v>
      </c>
      <c r="AR234" s="58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Técnicas],Questionários_FP!AR$215)) / $AK$212, "")</f>
        <v>0</v>
      </c>
      <c r="AS234" s="58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Técnicas],Questionários_FP!AS$215)) / $AK$212, "")</f>
        <v>0</v>
      </c>
      <c r="AU234" s="11"/>
    </row>
    <row r="235" spans="35:47" ht="17.25" hidden="1" customHeight="1" x14ac:dyDescent="0.3">
      <c r="AJ235" s="104"/>
      <c r="AK235" s="107" t="str">
        <f t="shared" ref="AK235:AK238" si="3">IF(AO209 &lt;&gt; "",AO209,"")</f>
        <v/>
      </c>
      <c r="AL235" s="107"/>
      <c r="AM235" s="59" t="str">
        <f>IF(AO209&lt;&gt;"",
AVERAGEIFS(Tabela_Avaliação_Presencial[4.1 - Conhecimentos e Competências Técnicas],Tabela_Avaliação_Presencial[Cód. Ação],$AJ$207,Tabela_Avaliação_Presencial[Cód. UFCD],$AJ$209,Tabela_Avaliação_Presencial[Nome Completo],AO209),"")</f>
        <v/>
      </c>
      <c r="AO235" s="58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Técnicas],Questionários_FP!AO$215)) / $AK$212, "")</f>
        <v>0</v>
      </c>
      <c r="AP235" s="58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Técnicas],Questionários_FP!AP$215)) / $AK$212, "")</f>
        <v>0</v>
      </c>
      <c r="AQ235" s="58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Técnicas],Questionários_FP!AQ$215)) / $AK$212, "")</f>
        <v>0</v>
      </c>
      <c r="AR235" s="58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Técnicas],Questionários_FP!AR$215)) / $AK$212, "")</f>
        <v>0</v>
      </c>
      <c r="AS235" s="58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Técnicas],Questionários_FP!AS$215)) / $AK$212, "")</f>
        <v>0</v>
      </c>
      <c r="AU235" s="11"/>
    </row>
    <row r="236" spans="35:47" ht="17.25" hidden="1" customHeight="1" x14ac:dyDescent="0.3">
      <c r="AJ236" s="104"/>
      <c r="AK236" s="107" t="str">
        <f t="shared" si="3"/>
        <v/>
      </c>
      <c r="AL236" s="107"/>
      <c r="AM236" s="59" t="str">
        <f>IF(AO210&lt;&gt;"",
AVERAGEIFS(Tabela_Avaliação_Presencial[4.1 - Conhecimentos e Competências Técnicas],Tabela_Avaliação_Presencial[Cód. Ação],$AJ$207,Tabela_Avaliação_Presencial[Cód. UFCD],$AJ$209,Tabela_Avaliação_Presencial[Nome Completo],AO210),"")</f>
        <v/>
      </c>
      <c r="AO236" s="58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Técnicas],Questionários_FP!AO$215)) / $AK$212, "")</f>
        <v>0</v>
      </c>
      <c r="AP236" s="58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Técnicas],Questionários_FP!AP$215)) / $AK$212, "")</f>
        <v>0</v>
      </c>
      <c r="AQ236" s="58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Técnicas],Questionários_FP!AQ$215)) / $AK$212, "")</f>
        <v>0</v>
      </c>
      <c r="AR236" s="58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Técnicas],Questionários_FP!AR$215)) / $AK$212, "")</f>
        <v>0</v>
      </c>
      <c r="AS236" s="58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Técnicas],Questionários_FP!AS$215)) / $AK$212, "")</f>
        <v>0</v>
      </c>
      <c r="AU236" s="11"/>
    </row>
    <row r="237" spans="35:47" ht="17.25" hidden="1" customHeight="1" x14ac:dyDescent="0.3">
      <c r="AJ237" s="104"/>
      <c r="AK237" s="107" t="str">
        <f t="shared" si="3"/>
        <v/>
      </c>
      <c r="AL237" s="107"/>
      <c r="AM237" s="59" t="str">
        <f>IF(AO211&lt;&gt;"",
AVERAGEIFS(Tabela_Avaliação_Presencial[4.1 - Conhecimentos e Competências Técnicas],Tabela_Avaliação_Presencial[Cód. Ação],$AJ$207,Tabela_Avaliação_Presencial[Cód. UFCD],$AJ$209,Tabela_Avaliação_Presencial[Nome Completo],AO211),"")</f>
        <v/>
      </c>
      <c r="AO237" s="58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Técnicas],Questionários_FP!AO$215)) / $AK$212, "")</f>
        <v>0</v>
      </c>
      <c r="AP237" s="58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Técnicas],Questionários_FP!AP$215)) / $AK$212, "")</f>
        <v>0</v>
      </c>
      <c r="AQ237" s="58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Técnicas],Questionários_FP!AQ$215)) / $AK$212, "")</f>
        <v>0</v>
      </c>
      <c r="AR237" s="58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Técnicas],Questionários_FP!AR$215)) / $AK$212, "")</f>
        <v>0</v>
      </c>
      <c r="AS237" s="58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Técnicas],Questionários_FP!AS$215)) / $AK$212, "")</f>
        <v>0</v>
      </c>
      <c r="AU237" s="11"/>
    </row>
    <row r="238" spans="35:47" ht="17.25" hidden="1" customHeight="1" x14ac:dyDescent="0.3">
      <c r="AJ238" s="104"/>
      <c r="AK238" s="107" t="str">
        <f t="shared" si="3"/>
        <v/>
      </c>
      <c r="AL238" s="107"/>
      <c r="AM238" s="59" t="str">
        <f>IF(AO212&lt;&gt;"",
AVERAGEIFS(Tabela_Avaliação_Presencial[4.1 - Conhecimentos e Competências Técnicas],Tabela_Avaliação_Presencial[Cód. Ação],$AJ$207,Tabela_Avaliação_Presencial[Cód. UFCD],$AJ$209,Tabela_Avaliação_Presencial[Nome Completo],AO212),"")</f>
        <v/>
      </c>
      <c r="AO238" s="58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Técnicas],Questionários_FP!AO$215)) / $AK$212, "")</f>
        <v>0</v>
      </c>
      <c r="AP238" s="58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Técnicas],Questionários_FP!AP$215)) / $AK$212, "")</f>
        <v>0</v>
      </c>
      <c r="AQ238" s="58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Técnicas],Questionários_FP!AQ$215)) / $AK$212, "")</f>
        <v>0</v>
      </c>
      <c r="AR238" s="58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Técnicas],Questionários_FP!AR$215)) / $AK$212, "")</f>
        <v>0</v>
      </c>
      <c r="AS238" s="58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Técnicas],Questionários_FP!AS$215)) / $AK$212, "")</f>
        <v>0</v>
      </c>
      <c r="AU238" s="11"/>
    </row>
    <row r="239" spans="35:47" ht="17.25" customHeight="1" x14ac:dyDescent="0.3">
      <c r="AJ239" s="104"/>
      <c r="AK239" s="111" t="s">
        <v>1237</v>
      </c>
      <c r="AL239" s="111"/>
      <c r="AM239" s="55">
        <f>IFERROR(AVERAGE($AM$233:$AM$238), "")</f>
        <v>4.8461538461538458</v>
      </c>
      <c r="AO239" s="1" t="s">
        <v>1234</v>
      </c>
      <c r="AP239" s="1" t="s">
        <v>1234</v>
      </c>
      <c r="AQ239" s="1" t="s">
        <v>1234</v>
      </c>
      <c r="AR239" s="1" t="s">
        <v>1234</v>
      </c>
      <c r="AS239" s="1" t="s">
        <v>1234</v>
      </c>
      <c r="AU239" s="11"/>
    </row>
    <row r="240" spans="35:47" ht="17.25" customHeight="1" x14ac:dyDescent="0.3">
      <c r="AJ240" s="104" t="s">
        <v>21</v>
      </c>
      <c r="AK240" s="107" t="str">
        <f>IF(AO207 &lt;&gt; "",AO207,"")</f>
        <v>Pedro Dos Santos Vicente</v>
      </c>
      <c r="AL240" s="107"/>
      <c r="AM240" s="59">
        <f>IF(AO207&lt;&gt;"",
AVERAGEIFS(Tabela_Avaliação_Presencial[4.2 - Comunicação e Competências Pedagógicas],Tabela_Avaliação_Presencial[Cód. Ação],$AJ$207,Tabela_Avaliação_Presencial[Cód. UFCD],$AJ$209,Tabela_Avaliação_Presencial[Nome Completo],AO207),"")</f>
        <v>4.7692307692307692</v>
      </c>
      <c r="AO240" s="58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Pedagógicas],Questionários_FP!AO$215)) / $AK$212, "")</f>
        <v>0</v>
      </c>
      <c r="AP240" s="58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Pedagógicas],Questionários_FP!AP$215)) / $AK$212, "")</f>
        <v>0</v>
      </c>
      <c r="AQ240" s="58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Pedagógicas],Questionários_FP!AQ$215)) / $AK$212, "")</f>
        <v>0</v>
      </c>
      <c r="AR240" s="58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Pedagógicas],Questionários_FP!AR$215)) / $AK$212, "")</f>
        <v>0.23076923076923078</v>
      </c>
      <c r="AS240" s="58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Pedagógicas],Questionários_FP!AS$215)) / $AK$212, "")</f>
        <v>0.76923076923076927</v>
      </c>
      <c r="AU240" s="11"/>
    </row>
    <row r="241" spans="36:47" ht="17.25" hidden="1" customHeight="1" x14ac:dyDescent="0.3">
      <c r="AJ241" s="104"/>
      <c r="AK241" s="107" t="str">
        <f t="shared" ref="AK241:AK245" si="4">IF(AO208 &lt;&gt; "",AO208,"")</f>
        <v/>
      </c>
      <c r="AL241" s="107"/>
      <c r="AM241" s="59" t="str">
        <f>IF(AO208&lt;&gt;"",
AVERAGEIFS(Tabela_Avaliação_Presencial[4.2 - Comunicação e Competências Pedagógicas],Tabela_Avaliação_Presencial[Cód. Ação],$AJ$207,Tabela_Avaliação_Presencial[Cód. UFCD],$AJ$209,Tabela_Avaliação_Presencial[Nome Completo],AO208),"")</f>
        <v/>
      </c>
      <c r="AO241" s="58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Pedagógicas],Questionários_FP!AO$215)) / $AK$212, "")</f>
        <v>0</v>
      </c>
      <c r="AP241" s="58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Pedagógicas],Questionários_FP!AP$215)) / $AK$212, "")</f>
        <v>0</v>
      </c>
      <c r="AQ241" s="58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Pedagógicas],Questionários_FP!AQ$215)) / $AK$212, "")</f>
        <v>0</v>
      </c>
      <c r="AR241" s="58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Pedagógicas],Questionários_FP!AR$215)) / $AK$212, "")</f>
        <v>0</v>
      </c>
      <c r="AS241" s="58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Pedagógicas],Questionários_FP!AS$215)) / $AK$212, "")</f>
        <v>0</v>
      </c>
      <c r="AU241" s="11"/>
    </row>
    <row r="242" spans="36:47" ht="17.25" hidden="1" customHeight="1" x14ac:dyDescent="0.3">
      <c r="AJ242" s="104"/>
      <c r="AK242" s="107" t="str">
        <f t="shared" si="4"/>
        <v/>
      </c>
      <c r="AL242" s="107"/>
      <c r="AM242" s="59" t="str">
        <f>IF(AO209&lt;&gt;"",
AVERAGEIFS(Tabela_Avaliação_Presencial[4.2 - Comunicação e Competências Pedagógicas],Tabela_Avaliação_Presencial[Cód. Ação],$AJ$207,Tabela_Avaliação_Presencial[Cód. UFCD],$AJ$209,Tabela_Avaliação_Presencial[Nome Completo],AO209),"")</f>
        <v/>
      </c>
      <c r="AO242" s="58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Pedagógicas],Questionários_FP!AO$215)) / $AK$212, "")</f>
        <v>0</v>
      </c>
      <c r="AP242" s="58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Pedagógicas],Questionários_FP!AP$215)) / $AK$212, "")</f>
        <v>0</v>
      </c>
      <c r="AQ242" s="58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Pedagógicas],Questionários_FP!AQ$215)) / $AK$212, "")</f>
        <v>0</v>
      </c>
      <c r="AR242" s="58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Pedagógicas],Questionários_FP!AR$215)) / $AK$212, "")</f>
        <v>0</v>
      </c>
      <c r="AS242" s="58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Pedagógicas],Questionários_FP!AS$215)) / $AK$212, "")</f>
        <v>0</v>
      </c>
      <c r="AU242" s="11"/>
    </row>
    <row r="243" spans="36:47" ht="17.25" hidden="1" customHeight="1" x14ac:dyDescent="0.3">
      <c r="AJ243" s="104"/>
      <c r="AK243" s="107" t="str">
        <f t="shared" si="4"/>
        <v/>
      </c>
      <c r="AL243" s="107"/>
      <c r="AM243" s="59" t="str">
        <f>IF(AO210&lt;&gt;"",
AVERAGEIFS(Tabela_Avaliação_Presencial[4.2 - Comunicação e Competências Pedagógicas],Tabela_Avaliação_Presencial[Cód. Ação],$AJ$207,Tabela_Avaliação_Presencial[Cód. UFCD],$AJ$209,Tabela_Avaliação_Presencial[Nome Completo],AO210),"")</f>
        <v/>
      </c>
      <c r="AO243" s="58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Pedagógicas],Questionários_FP!AO$215)) / $AK$212, "")</f>
        <v>0</v>
      </c>
      <c r="AP243" s="58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Pedagógicas],Questionários_FP!AP$215)) / $AK$212, "")</f>
        <v>0</v>
      </c>
      <c r="AQ243" s="58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Pedagógicas],Questionários_FP!AQ$215)) / $AK$212, "")</f>
        <v>0</v>
      </c>
      <c r="AR243" s="58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Pedagógicas],Questionários_FP!AR$215)) / $AK$212, "")</f>
        <v>0</v>
      </c>
      <c r="AS243" s="58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Pedagógicas],Questionários_FP!AS$215)) / $AK$212, "")</f>
        <v>0</v>
      </c>
      <c r="AU243" s="11"/>
    </row>
    <row r="244" spans="36:47" ht="17.25" hidden="1" customHeight="1" x14ac:dyDescent="0.3">
      <c r="AJ244" s="104"/>
      <c r="AK244" s="107" t="str">
        <f t="shared" si="4"/>
        <v/>
      </c>
      <c r="AL244" s="107"/>
      <c r="AM244" s="59" t="str">
        <f>IF(AO211&lt;&gt;"",
AVERAGEIFS(Tabela_Avaliação_Presencial[4.2 - Comunicação e Competências Pedagógicas],Tabela_Avaliação_Presencial[Cód. Ação],$AJ$207,Tabela_Avaliação_Presencial[Cód. UFCD],$AJ$209,Tabela_Avaliação_Presencial[Nome Completo],AO211),"")</f>
        <v/>
      </c>
      <c r="AO244" s="58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Pedagógicas],Questionários_FP!AO$215)) / $AK$212, "")</f>
        <v>0</v>
      </c>
      <c r="AP244" s="58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Pedagógicas],Questionários_FP!AP$215)) / $AK$212, "")</f>
        <v>0</v>
      </c>
      <c r="AQ244" s="58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Pedagógicas],Questionários_FP!AQ$215)) / $AK$212, "")</f>
        <v>0</v>
      </c>
      <c r="AR244" s="58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Pedagógicas],Questionários_FP!AR$215)) / $AK$212, "")</f>
        <v>0</v>
      </c>
      <c r="AS244" s="58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Pedagógicas],Questionários_FP!AS$215)) / $AK$212, "")</f>
        <v>0</v>
      </c>
      <c r="AU244" s="11"/>
    </row>
    <row r="245" spans="36:47" ht="17.25" hidden="1" customHeight="1" x14ac:dyDescent="0.3">
      <c r="AJ245" s="104"/>
      <c r="AK245" s="107" t="str">
        <f t="shared" si="4"/>
        <v/>
      </c>
      <c r="AL245" s="107"/>
      <c r="AM245" s="59" t="str">
        <f>IF(AO212&lt;&gt;"",
AVERAGEIFS(Tabela_Avaliação_Presencial[4.2 - Comunicação e Competências Pedagógicas],Tabela_Avaliação_Presencial[Cód. Ação],$AJ$207,Tabela_Avaliação_Presencial[Cód. UFCD],$AJ$209,Tabela_Avaliação_Presencial[Nome Completo],AO212),"")</f>
        <v/>
      </c>
      <c r="AO245" s="58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Pedagógicas],Questionários_FP!AO$215)) / $AK$212, "")</f>
        <v>0</v>
      </c>
      <c r="AP245" s="58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Pedagógicas],Questionários_FP!AP$215)) / $AK$212, "")</f>
        <v>0</v>
      </c>
      <c r="AQ245" s="58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Pedagógicas],Questionários_FP!AQ$215)) / $AK$212, "")</f>
        <v>0</v>
      </c>
      <c r="AR245" s="58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Pedagógicas],Questionários_FP!AR$215)) / $AK$212, "")</f>
        <v>0</v>
      </c>
      <c r="AS245" s="58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Pedagógicas],Questionários_FP!AS$215)) / $AK$212, "")</f>
        <v>0</v>
      </c>
      <c r="AU245" s="11"/>
    </row>
    <row r="246" spans="36:47" ht="17.25" customHeight="1" x14ac:dyDescent="0.3">
      <c r="AJ246" s="109"/>
      <c r="AK246" s="111" t="s">
        <v>1237</v>
      </c>
      <c r="AL246" s="111"/>
      <c r="AM246" s="55">
        <f>IFERROR(AVERAGE($AM$240:$AM$245), "")</f>
        <v>4.7692307692307692</v>
      </c>
      <c r="AU246" s="11"/>
    </row>
    <row r="247" spans="36:47" ht="17.25" customHeight="1" x14ac:dyDescent="0.3">
      <c r="AJ247" s="107" t="s">
        <v>20</v>
      </c>
      <c r="AK247" s="107" t="str">
        <f>IF(AO207 &lt;&gt; "",AO207,"")</f>
        <v>Pedro Dos Santos Vicente</v>
      </c>
      <c r="AL247" s="107"/>
      <c r="AM247" s="59">
        <f>IF(AO207&lt;&gt;"",
AVERAGEIFS(Tabela_Avaliação_Presencial[4.3 - Pontualidade],Tabela_Avaliação_Presencial[Cód. Ação],$AJ$207,Tabela_Avaliação_Presencial[Cód. UFCD],$AJ$209,Tabela_Avaliação_Presencial[Nome Completo],AO207),"")</f>
        <v>4.8461538461538458</v>
      </c>
      <c r="AO247" s="58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Pontualidade],Questionários_FP!AO$215)) / $AK$212, "")</f>
        <v>0</v>
      </c>
      <c r="AP247" s="58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Pontualidade],Questionários_FP!AP$215)) / $AK$212, "")</f>
        <v>0</v>
      </c>
      <c r="AQ247" s="58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Pontualidade],Questionários_FP!AQ$215)) / $AK$212, "")</f>
        <v>0</v>
      </c>
      <c r="AR247" s="58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Pontualidade],Questionários_FP!AR$215)) / $AK$212, "")</f>
        <v>0.15384615384615385</v>
      </c>
      <c r="AS247" s="58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Pontualidade],Questionários_FP!AS$215)) / $AK$212, "")</f>
        <v>0.84615384615384615</v>
      </c>
      <c r="AU247" s="11"/>
    </row>
    <row r="248" spans="36:47" ht="17.25" hidden="1" customHeight="1" x14ac:dyDescent="0.3">
      <c r="AJ248" s="107"/>
      <c r="AK248" s="107" t="str">
        <f t="shared" ref="AK248:AK252" si="5">IF(AO208 &lt;&gt; "",AO208,"")</f>
        <v/>
      </c>
      <c r="AL248" s="107"/>
      <c r="AM248" s="59" t="str">
        <f>IF(AO208&lt;&gt;"",
AVERAGEIFS(Tabela_Avaliação_Presencial[4.3 - Pontualidade],Tabela_Avaliação_Presencial[Cód. Ação],$AJ$207,Tabela_Avaliação_Presencial[Cód. UFCD],$AJ$209,Tabela_Avaliação_Presencial[Nome Completo],AO208),"")</f>
        <v/>
      </c>
      <c r="AO248" s="58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Pontualidade],Questionários_FP!AO$215)) / $AK$212, "")</f>
        <v>0</v>
      </c>
      <c r="AP248" s="58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Pontualidade],Questionários_FP!AP$215)) / $AK$212, "")</f>
        <v>0</v>
      </c>
      <c r="AQ248" s="58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Pontualidade],Questionários_FP!AQ$215)) / $AK$212, "")</f>
        <v>0</v>
      </c>
      <c r="AR248" s="58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Pontualidade],Questionários_FP!AR$215)) / $AK$212, "")</f>
        <v>0</v>
      </c>
      <c r="AS248" s="58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Pontualidade],Questionários_FP!AS$215)) / $AK$212, "")</f>
        <v>0</v>
      </c>
      <c r="AU248" s="11"/>
    </row>
    <row r="249" spans="36:47" ht="17.25" hidden="1" customHeight="1" x14ac:dyDescent="0.3">
      <c r="AJ249" s="107"/>
      <c r="AK249" s="107" t="str">
        <f t="shared" si="5"/>
        <v/>
      </c>
      <c r="AL249" s="107"/>
      <c r="AM249" s="59" t="str">
        <f>IF(AO209&lt;&gt;"",
AVERAGEIFS(Tabela_Avaliação_Presencial[4.3 - Pontualidade],Tabela_Avaliação_Presencial[Cód. Ação],$AJ$207,Tabela_Avaliação_Presencial[Cód. UFCD],$AJ$209,Tabela_Avaliação_Presencial[Nome Completo],AO209),"")</f>
        <v/>
      </c>
      <c r="AO249" s="58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Pontualidade],Questionários_FP!AO$215)) / $AK$212, "")</f>
        <v>0</v>
      </c>
      <c r="AP249" s="58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Pontualidade],Questionários_FP!AP$215)) / $AK$212, "")</f>
        <v>0</v>
      </c>
      <c r="AQ249" s="58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Pontualidade],Questionários_FP!AQ$215)) / $AK$212, "")</f>
        <v>0</v>
      </c>
      <c r="AR249" s="58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Pontualidade],Questionários_FP!AR$215)) / $AK$212, "")</f>
        <v>0</v>
      </c>
      <c r="AS249" s="58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Pontualidade],Questionários_FP!AS$215)) / $AK$212, "")</f>
        <v>0</v>
      </c>
      <c r="AU249" s="11"/>
    </row>
    <row r="250" spans="36:47" ht="17.25" hidden="1" customHeight="1" x14ac:dyDescent="0.3">
      <c r="AJ250" s="107"/>
      <c r="AK250" s="107" t="str">
        <f t="shared" si="5"/>
        <v/>
      </c>
      <c r="AL250" s="107"/>
      <c r="AM250" s="59" t="str">
        <f>IF(AO210&lt;&gt;"",
AVERAGEIFS(Tabela_Avaliação_Presencial[4.3 - Pontualidade],Tabela_Avaliação_Presencial[Cód. Ação],$AJ$207,Tabela_Avaliação_Presencial[Cód. UFCD],$AJ$209,Tabela_Avaliação_Presencial[Nome Completo],AO210),"")</f>
        <v/>
      </c>
      <c r="AO250" s="58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Pontualidade],Questionários_FP!AO$215)) / $AK$212, "")</f>
        <v>0</v>
      </c>
      <c r="AP250" s="58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Pontualidade],Questionários_FP!AP$215)) / $AK$212, "")</f>
        <v>0</v>
      </c>
      <c r="AQ250" s="58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Pontualidade],Questionários_FP!AQ$215)) / $AK$212, "")</f>
        <v>0</v>
      </c>
      <c r="AR250" s="58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Pontualidade],Questionários_FP!AR$215)) / $AK$212, "")</f>
        <v>0</v>
      </c>
      <c r="AS250" s="58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Pontualidade],Questionários_FP!AS$215)) / $AK$212, "")</f>
        <v>0</v>
      </c>
      <c r="AU250" s="11"/>
    </row>
    <row r="251" spans="36:47" ht="17.25" hidden="1" customHeight="1" x14ac:dyDescent="0.3">
      <c r="AJ251" s="107"/>
      <c r="AK251" s="107" t="str">
        <f t="shared" si="5"/>
        <v/>
      </c>
      <c r="AL251" s="107"/>
      <c r="AM251" s="59" t="str">
        <f>IF(AO211&lt;&gt;"",
AVERAGEIFS(Tabela_Avaliação_Presencial[4.3 - Pontualidade],Tabela_Avaliação_Presencial[Cód. Ação],$AJ$207,Tabela_Avaliação_Presencial[Cód. UFCD],$AJ$209,Tabela_Avaliação_Presencial[Nome Completo],AO211),"")</f>
        <v/>
      </c>
      <c r="AO251" s="58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Pontualidade],Questionários_FP!AO$215)) / $AK$212, "")</f>
        <v>0</v>
      </c>
      <c r="AP251" s="58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Pontualidade],Questionários_FP!AP$215)) / $AK$212, "")</f>
        <v>0</v>
      </c>
      <c r="AQ251" s="58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Pontualidade],Questionários_FP!AQ$215)) / $AK$212, "")</f>
        <v>0</v>
      </c>
      <c r="AR251" s="58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Pontualidade],Questionários_FP!AR$215)) / $AK$212, "")</f>
        <v>0</v>
      </c>
      <c r="AS251" s="58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Pontualidade],Questionários_FP!AS$215)) / $AK$212, "")</f>
        <v>0</v>
      </c>
      <c r="AU251" s="11"/>
    </row>
    <row r="252" spans="36:47" ht="17.25" hidden="1" customHeight="1" x14ac:dyDescent="0.3">
      <c r="AJ252" s="107"/>
      <c r="AK252" s="107" t="str">
        <f t="shared" si="5"/>
        <v/>
      </c>
      <c r="AL252" s="107"/>
      <c r="AM252" s="59" t="str">
        <f>IF(AO212&lt;&gt;"",
AVERAGEIFS(Tabela_Avaliação_Presencial[4.3 - Pontualidade],Tabela_Avaliação_Presencial[Cód. Ação],$AJ$207,Tabela_Avaliação_Presencial[Cód. UFCD],$AJ$209,Tabela_Avaliação_Presencial[Nome Completo],AO212),"")</f>
        <v/>
      </c>
      <c r="AO252" s="58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Pontualidade],Questionários_FP!AO$215)) / $AK$212, "")</f>
        <v>0</v>
      </c>
      <c r="AP252" s="58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Pontualidade],Questionários_FP!AP$215)) / $AK$212, "")</f>
        <v>0</v>
      </c>
      <c r="AQ252" s="58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Pontualidade],Questionários_FP!AQ$215)) / $AK$212, "")</f>
        <v>0</v>
      </c>
      <c r="AR252" s="58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Pontualidade],Questionários_FP!AR$215)) / $AK$212, "")</f>
        <v>0</v>
      </c>
      <c r="AS252" s="58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Pontualidade],Questionários_FP!AS$215)) / $AK$212, "")</f>
        <v>0</v>
      </c>
      <c r="AU252" s="11"/>
    </row>
    <row r="253" spans="36:47" ht="17.25" customHeight="1" x14ac:dyDescent="0.3">
      <c r="AJ253" s="108"/>
      <c r="AK253" s="111" t="s">
        <v>1237</v>
      </c>
      <c r="AL253" s="111"/>
      <c r="AM253" s="55">
        <f>IFERROR(AVERAGE($AM$247:$AM$252),"")</f>
        <v>4.8461538461538458</v>
      </c>
      <c r="AU253" s="11"/>
    </row>
    <row r="254" spans="36:47" ht="17.25" customHeight="1" x14ac:dyDescent="0.3">
      <c r="AJ254" s="104" t="s">
        <v>22</v>
      </c>
      <c r="AK254" s="107" t="str">
        <f>IF(AO207 &lt;&gt; "",AO207,"")</f>
        <v>Pedro Dos Santos Vicente</v>
      </c>
      <c r="AL254" s="107"/>
      <c r="AM254" s="59">
        <f>IF(AO207&lt;&gt;"",
AVERAGEIFS(Tabela_Avaliação_Presencial[4.4 - Relação Formador/Formando],Tabela_Avaliação_Presencial[Cód. Ação],$AJ$207,Tabela_Avaliação_Presencial[Cód. UFCD],$AJ$209,Tabela_Avaliação_Presencial[Nome Completo],AO207),"")</f>
        <v>4.9230769230769234</v>
      </c>
      <c r="AO254" s="58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Formador/Formando],Questionários_FP!AO$215)) / $AK$212, "")</f>
        <v>0</v>
      </c>
      <c r="AP254" s="58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Formador/Formando],Questionários_FP!AP$215)) / $AK$212, "")</f>
        <v>0</v>
      </c>
      <c r="AQ254" s="58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Formador/Formando],Questionários_FP!AQ$215)) / $AK$212, "")</f>
        <v>0</v>
      </c>
      <c r="AR254" s="58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Formador/Formando],Questionários_FP!AR$215)) / $AK$212, "")</f>
        <v>7.6923076923076927E-2</v>
      </c>
      <c r="AS254" s="58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Formador/Formando],Questionários_FP!AS$215)) / $AK$212, "")</f>
        <v>0.92307692307692313</v>
      </c>
      <c r="AU254" s="11"/>
    </row>
    <row r="255" spans="36:47" ht="17.25" hidden="1" customHeight="1" x14ac:dyDescent="0.3">
      <c r="AJ255" s="104"/>
      <c r="AK255" s="107" t="str">
        <f t="shared" ref="AK255:AK259" si="6">IF(AO208 &lt;&gt; "",AO208,"")</f>
        <v/>
      </c>
      <c r="AL255" s="107"/>
      <c r="AM255" s="59" t="str">
        <f>IF(AO208&lt;&gt;"",
AVERAGEIFS(Tabela_Avaliação_Presencial[4.4 - Relação Formador/Formando],Tabela_Avaliação_Presencial[Cód. Ação],$AJ$207,Tabela_Avaliação_Presencial[Cód. UFCD],$AJ$209,Tabela_Avaliação_Presencial[Nome Completo],AO208),"")</f>
        <v/>
      </c>
      <c r="AO255" s="58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Formador/Formando],Questionários_FP!AO$215)) / $AK$212, "")</f>
        <v>0</v>
      </c>
      <c r="AP255" s="58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Formador/Formando],Questionários_FP!AP$215)) / $AK$212, "")</f>
        <v>0</v>
      </c>
      <c r="AQ255" s="58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Formador/Formando],Questionários_FP!AQ$215)) / $AK$212, "")</f>
        <v>0</v>
      </c>
      <c r="AR255" s="58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Formador/Formando],Questionários_FP!AR$215)) / $AK$212, "")</f>
        <v>0</v>
      </c>
      <c r="AS255" s="58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Formador/Formando],Questionários_FP!AS$215)) / $AK$212, "")</f>
        <v>0</v>
      </c>
      <c r="AU255" s="11"/>
    </row>
    <row r="256" spans="36:47" ht="17.25" hidden="1" customHeight="1" x14ac:dyDescent="0.3">
      <c r="AJ256" s="104"/>
      <c r="AK256" s="107" t="str">
        <f t="shared" si="6"/>
        <v/>
      </c>
      <c r="AL256" s="107"/>
      <c r="AM256" s="59" t="str">
        <f>IF(AO209&lt;&gt;"",
AVERAGEIFS(Tabela_Avaliação_Presencial[4.4 - Relação Formador/Formando],Tabela_Avaliação_Presencial[Cód. Ação],$AJ$207,Tabela_Avaliação_Presencial[Cód. UFCD],$AJ$209,Tabela_Avaliação_Presencial[Nome Completo],AO209),"")</f>
        <v/>
      </c>
      <c r="AO256" s="58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Formador/Formando],Questionários_FP!AO$215)) / $AK$212, "")</f>
        <v>0</v>
      </c>
      <c r="AP256" s="58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Formador/Formando],Questionários_FP!AP$215)) / $AK$212, "")</f>
        <v>0</v>
      </c>
      <c r="AQ256" s="58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Formador/Formando],Questionários_FP!AQ$215)) / $AK$212, "")</f>
        <v>0</v>
      </c>
      <c r="AR256" s="58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Formador/Formando],Questionários_FP!AR$215)) / $AK$212, "")</f>
        <v>0</v>
      </c>
      <c r="AS256" s="58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Formador/Formando],Questionários_FP!AS$215)) / $AK$212, "")</f>
        <v>0</v>
      </c>
      <c r="AU256" s="11"/>
    </row>
    <row r="257" spans="36:47" ht="17.25" hidden="1" customHeight="1" x14ac:dyDescent="0.3">
      <c r="AJ257" s="104"/>
      <c r="AK257" s="107" t="str">
        <f t="shared" si="6"/>
        <v/>
      </c>
      <c r="AL257" s="107"/>
      <c r="AM257" s="59" t="str">
        <f>IF(AO210&lt;&gt;"",
AVERAGEIFS(Tabela_Avaliação_Presencial[4.4 - Relação Formador/Formando],Tabela_Avaliação_Presencial[Cód. Ação],$AJ$207,Tabela_Avaliação_Presencial[Cód. UFCD],$AJ$209,Tabela_Avaliação_Presencial[Nome Completo],AO210),"")</f>
        <v/>
      </c>
      <c r="AO257" s="58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Formador/Formando],Questionários_FP!AO$215)) / $AK$212, "")</f>
        <v>0</v>
      </c>
      <c r="AP257" s="58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Formador/Formando],Questionários_FP!AP$215)) / $AK$212, "")</f>
        <v>0</v>
      </c>
      <c r="AQ257" s="58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Formador/Formando],Questionários_FP!AQ$215)) / $AK$212, "")</f>
        <v>0</v>
      </c>
      <c r="AR257" s="58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Formador/Formando],Questionários_FP!AR$215)) / $AK$212, "")</f>
        <v>0</v>
      </c>
      <c r="AS257" s="58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Formador/Formando],Questionários_FP!AS$215)) / $AK$212, "")</f>
        <v>0</v>
      </c>
      <c r="AU257" s="11"/>
    </row>
    <row r="258" spans="36:47" ht="17.25" hidden="1" customHeight="1" x14ac:dyDescent="0.3">
      <c r="AJ258" s="104"/>
      <c r="AK258" s="107" t="str">
        <f t="shared" si="6"/>
        <v/>
      </c>
      <c r="AL258" s="107"/>
      <c r="AM258" s="59" t="str">
        <f>IF(AO211&lt;&gt;"",
AVERAGEIFS(Tabela_Avaliação_Presencial[4.4 - Relação Formador/Formando],Tabela_Avaliação_Presencial[Cód. Ação],$AJ$207,Tabela_Avaliação_Presencial[Cód. UFCD],$AJ$209,Tabela_Avaliação_Presencial[Nome Completo],AO211),"")</f>
        <v/>
      </c>
      <c r="AO258" s="58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Formador/Formando],Questionários_FP!AO$215)) / $AK$212, "")</f>
        <v>0</v>
      </c>
      <c r="AP258" s="58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Formador/Formando],Questionários_FP!AP$215)) / $AK$212, "")</f>
        <v>0</v>
      </c>
      <c r="AQ258" s="58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Formador/Formando],Questionários_FP!AQ$215)) / $AK$212, "")</f>
        <v>0</v>
      </c>
      <c r="AR258" s="58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Formador/Formando],Questionários_FP!AR$215)) / $AK$212, "")</f>
        <v>0</v>
      </c>
      <c r="AS258" s="58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Formador/Formando],Questionários_FP!AS$215)) / $AK$212, "")</f>
        <v>0</v>
      </c>
      <c r="AU258" s="11"/>
    </row>
    <row r="259" spans="36:47" ht="17.25" hidden="1" customHeight="1" x14ac:dyDescent="0.3">
      <c r="AJ259" s="104"/>
      <c r="AK259" s="107" t="str">
        <f t="shared" si="6"/>
        <v/>
      </c>
      <c r="AL259" s="107"/>
      <c r="AM259" s="59" t="str">
        <f>IF(AO212&lt;&gt;"",
AVERAGEIFS(Tabela_Avaliação_Presencial[4.4 - Relação Formador/Formando],Tabela_Avaliação_Presencial[Cód. Ação],$AJ$207,Tabela_Avaliação_Presencial[Cód. UFCD],$AJ$209,Tabela_Avaliação_Presencial[Nome Completo],AO212),"")</f>
        <v/>
      </c>
      <c r="AO259" s="58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Formador/Formando],Questionários_FP!AO$215)) / $AK$212, "")</f>
        <v>0</v>
      </c>
      <c r="AP259" s="58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Formador/Formando],Questionários_FP!AP$215)) / $AK$212, "")</f>
        <v>0</v>
      </c>
      <c r="AQ259" s="58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Formador/Formando],Questionários_FP!AQ$215)) / $AK$212, "")</f>
        <v>0</v>
      </c>
      <c r="AR259" s="58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Formador/Formando],Questionários_FP!AR$215)) / $AK$212, "")</f>
        <v>0</v>
      </c>
      <c r="AS259" s="58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Formador/Formando],Questionários_FP!AS$215)) / $AK$212, "")</f>
        <v>0</v>
      </c>
      <c r="AU259" s="11"/>
    </row>
    <row r="260" spans="36:47" ht="17.25" customHeight="1" x14ac:dyDescent="0.3">
      <c r="AJ260" s="109"/>
      <c r="AK260" s="111" t="s">
        <v>1237</v>
      </c>
      <c r="AL260" s="111"/>
      <c r="AM260" s="55">
        <f>IFERROR(AVERAGE($AM$254:$AM$259),"")</f>
        <v>4.9230769230769234</v>
      </c>
      <c r="AU260" s="11"/>
    </row>
    <row r="261" spans="36:47" ht="17.25" customHeight="1" x14ac:dyDescent="0.3">
      <c r="AJ261" s="104" t="s">
        <v>23</v>
      </c>
      <c r="AK261" s="107" t="str">
        <f>IF(AO207 &lt;&gt; "",AO207,"")</f>
        <v>Pedro Dos Santos Vicente</v>
      </c>
      <c r="AL261" s="107"/>
      <c r="AM261" s="59">
        <f>IF(AO207&lt;&gt;"",
AVERAGEIFS(Tabela_Avaliação_Presencial[4.5 - Empenhamento na Ação],Tabela_Avaliação_Presencial[Cód. Ação],$AJ$207,Tabela_Avaliação_Presencial[Cód. UFCD],$AJ$209,Tabela_Avaliação_Presencial[Nome Completo],AO207),"")</f>
        <v>4.9230769230769234</v>
      </c>
      <c r="AO261" s="58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Ação],Questionários_FP!AO$215)) / $AK$212, "")</f>
        <v>0</v>
      </c>
      <c r="AP261" s="58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Ação],Questionários_FP!AP$215)) / $AK$212, "")</f>
        <v>0</v>
      </c>
      <c r="AQ261" s="58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Ação],Questionários_FP!AQ$215)) / $AK$212, "")</f>
        <v>0</v>
      </c>
      <c r="AR261" s="58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Ação],Questionários_FP!AR$215)) / $AK$212, "")</f>
        <v>7.6923076923076927E-2</v>
      </c>
      <c r="AS261" s="58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Ação],Questionários_FP!AS$215)) / $AK$212, "")</f>
        <v>0.92307692307692313</v>
      </c>
      <c r="AU261" s="11"/>
    </row>
    <row r="262" spans="36:47" ht="17.25" hidden="1" customHeight="1" x14ac:dyDescent="0.3">
      <c r="AJ262" s="104"/>
      <c r="AK262" s="107" t="str">
        <f t="shared" ref="AK262:AK266" si="7">IF(AO208 &lt;&gt; "",AO208,"")</f>
        <v/>
      </c>
      <c r="AL262" s="107"/>
      <c r="AM262" s="59" t="str">
        <f>IF(AO208&lt;&gt;"",
AVERAGEIFS(Tabela_Avaliação_Presencial[4.5 - Empenhamento na Ação],Tabela_Avaliação_Presencial[Cód. Ação],$AJ$207,Tabela_Avaliação_Presencial[Cód. UFCD],$AJ$209,Tabela_Avaliação_Presencial[Nome Completo],AO208),"")</f>
        <v/>
      </c>
      <c r="AO262" s="58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Ação],Questionários_FP!AO$215)) / $AK$212, "")</f>
        <v>0</v>
      </c>
      <c r="AP262" s="58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Ação],Questionários_FP!AP$215)) / $AK$212, "")</f>
        <v>0</v>
      </c>
      <c r="AQ262" s="58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Ação],Questionários_FP!AQ$215)) / $AK$212, "")</f>
        <v>0</v>
      </c>
      <c r="AR262" s="58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Ação],Questionários_FP!AR$215)) / $AK$212, "")</f>
        <v>0</v>
      </c>
      <c r="AS262" s="58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Ação],Questionários_FP!AS$215)) / $AK$212, "")</f>
        <v>0</v>
      </c>
      <c r="AU262" s="11"/>
    </row>
    <row r="263" spans="36:47" ht="17.25" hidden="1" customHeight="1" x14ac:dyDescent="0.3">
      <c r="AJ263" s="104"/>
      <c r="AK263" s="129" t="str">
        <f t="shared" si="7"/>
        <v/>
      </c>
      <c r="AL263" s="130"/>
      <c r="AM263" s="59" t="str">
        <f>IF(AO209&lt;&gt;"",
AVERAGEIFS(Tabela_Avaliação_Presencial[4.5 - Empenhamento na Ação],Tabela_Avaliação_Presencial[Cód. Ação],$AJ$207,Tabela_Avaliação_Presencial[Cód. UFCD],$AJ$209,Tabela_Avaliação_Presencial[Nome Completo],AO209),"")</f>
        <v/>
      </c>
      <c r="AO263" s="58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Ação],Questionários_FP!AO$215)) / $AK$212, "")</f>
        <v>0</v>
      </c>
      <c r="AP263" s="58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Ação],Questionários_FP!AP$215)) / $AK$212, "")</f>
        <v>0</v>
      </c>
      <c r="AQ263" s="58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Ação],Questionários_FP!AQ$215)) / $AK$212, "")</f>
        <v>0</v>
      </c>
      <c r="AR263" s="58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Ação],Questionários_FP!AR$215)) / $AK$212, "")</f>
        <v>0</v>
      </c>
      <c r="AS263" s="58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Ação],Questionários_FP!AS$215)) / $AK$212, "")</f>
        <v>0</v>
      </c>
      <c r="AU263" s="11"/>
    </row>
    <row r="264" spans="36:47" ht="17.25" hidden="1" customHeight="1" x14ac:dyDescent="0.3">
      <c r="AJ264" s="104"/>
      <c r="AK264" s="129" t="str">
        <f t="shared" si="7"/>
        <v/>
      </c>
      <c r="AL264" s="130"/>
      <c r="AM264" s="59" t="str">
        <f>IF(AO210&lt;&gt;"",
AVERAGEIFS(Tabela_Avaliação_Presencial[4.5 - Empenhamento na Ação],Tabela_Avaliação_Presencial[Cód. Ação],$AJ$207,Tabela_Avaliação_Presencial[Cód. UFCD],$AJ$209,Tabela_Avaliação_Presencial[Nome Completo],AO210),"")</f>
        <v/>
      </c>
      <c r="AO264" s="58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Ação],Questionários_FP!AO$215)) / $AK$212, "")</f>
        <v>0</v>
      </c>
      <c r="AP264" s="58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Ação],Questionários_FP!AP$215)) / $AK$212, "")</f>
        <v>0</v>
      </c>
      <c r="AQ264" s="58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Ação],Questionários_FP!AQ$215)) / $AK$212, "")</f>
        <v>0</v>
      </c>
      <c r="AR264" s="58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Ação],Questionários_FP!AR$215)) / $AK$212, "")</f>
        <v>0</v>
      </c>
      <c r="AS264" s="58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Ação],Questionários_FP!AS$215)) / $AK$212, "")</f>
        <v>0</v>
      </c>
      <c r="AU264" s="11"/>
    </row>
    <row r="265" spans="36:47" ht="17.25" hidden="1" customHeight="1" x14ac:dyDescent="0.3">
      <c r="AJ265" s="104"/>
      <c r="AK265" s="129" t="str">
        <f t="shared" si="7"/>
        <v/>
      </c>
      <c r="AL265" s="130"/>
      <c r="AM265" s="59" t="str">
        <f>IF(AO211&lt;&gt;"",
AVERAGEIFS(Tabela_Avaliação_Presencial[4.5 - Empenhamento na Ação],Tabela_Avaliação_Presencial[Cód. Ação],$AJ$207,Tabela_Avaliação_Presencial[Cód. UFCD],$AJ$209,Tabela_Avaliação_Presencial[Nome Completo],AO211),"")</f>
        <v/>
      </c>
      <c r="AO265" s="58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Ação],Questionários_FP!AO$215)) / $AK$212, "")</f>
        <v>0</v>
      </c>
      <c r="AP265" s="58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Ação],Questionários_FP!AP$215)) / $AK$212, "")</f>
        <v>0</v>
      </c>
      <c r="AQ265" s="58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Ação],Questionários_FP!AQ$215)) / $AK$212, "")</f>
        <v>0</v>
      </c>
      <c r="AR265" s="58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Ação],Questionários_FP!AR$215)) / $AK$212, "")</f>
        <v>0</v>
      </c>
      <c r="AS265" s="58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Ação],Questionários_FP!AS$215)) / $AK$212, "")</f>
        <v>0</v>
      </c>
      <c r="AU265" s="11"/>
    </row>
    <row r="266" spans="36:47" ht="17.25" hidden="1" customHeight="1" x14ac:dyDescent="0.3">
      <c r="AJ266" s="104"/>
      <c r="AK266" s="131" t="str">
        <f t="shared" si="7"/>
        <v/>
      </c>
      <c r="AL266" s="132"/>
      <c r="AM266" s="59" t="str">
        <f>IF(AO212&lt;&gt;"",
AVERAGEIFS(Tabela_Avaliação_Presencial[4.5 - Empenhamento na Ação],Tabela_Avaliação_Presencial[Cód. Ação],$AJ$207,Tabela_Avaliação_Presencial[Cód. UFCD],$AJ$209,Tabela_Avaliação_Presencial[Nome Completo],AO212),"")</f>
        <v/>
      </c>
      <c r="AO266" s="58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Ação],Questionários_FP!AO$215)) / $AK$212, "")</f>
        <v>0</v>
      </c>
      <c r="AP266" s="58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Ação],Questionários_FP!AP$215)) / $AK$212, "")</f>
        <v>0</v>
      </c>
      <c r="AQ266" s="58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Ação],Questionários_FP!AQ$215)) / $AK$212, "")</f>
        <v>0</v>
      </c>
      <c r="AR266" s="58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Ação],Questionários_FP!AR$215)) / $AK$212, "")</f>
        <v>0</v>
      </c>
      <c r="AS266" s="58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Ação],Questionários_FP!AS$215)) / $AK$212, "")</f>
        <v>0</v>
      </c>
      <c r="AU266" s="11"/>
    </row>
    <row r="267" spans="36:47" ht="17.25" customHeight="1" x14ac:dyDescent="0.3">
      <c r="AJ267" s="109"/>
      <c r="AK267" s="111" t="s">
        <v>1237</v>
      </c>
      <c r="AL267" s="111"/>
      <c r="AM267" s="55">
        <f>IFERROR(AVERAGE($AM$261:$AM$266),"")</f>
        <v>4.9230769230769234</v>
      </c>
      <c r="AO267" s="8"/>
      <c r="AP267" s="8"/>
      <c r="AQ267" s="8"/>
      <c r="AR267" s="8"/>
      <c r="AS267" s="8"/>
      <c r="AU267" s="11"/>
    </row>
    <row r="268" spans="36:47" ht="17.25" customHeight="1" x14ac:dyDescent="0.3">
      <c r="AL268" s="54" t="s">
        <v>1242</v>
      </c>
      <c r="AM268" s="55">
        <f>IFERROR(AVERAGE($AM$239,$AM$246,$AM$253,$AM$260,$AM$267),"")</f>
        <v>4.8615384615384611</v>
      </c>
      <c r="AU268" s="11"/>
    </row>
    <row r="269" spans="36:47" x14ac:dyDescent="0.3">
      <c r="AL269" s="7"/>
      <c r="AU269" s="11"/>
    </row>
    <row r="270" spans="36:47" ht="37.5" customHeight="1" x14ac:dyDescent="0.3">
      <c r="AJ270" s="40" t="s">
        <v>30</v>
      </c>
      <c r="AK270" s="104" t="s">
        <v>24</v>
      </c>
      <c r="AL270" s="104"/>
      <c r="AM270" s="59">
        <f>AVERAGEIFS(Tabela_Geral_Presencial[5.1 - Avaliação Geral da Ação / Módulo],Tabela_Geral_Presencial[Cód. Ação],$AJ$207,Tabela_Geral_Presencial[Cód. UFCD],$AJ$209)</f>
        <v>4.4615384615384617</v>
      </c>
      <c r="AO270" s="58">
        <f>IFERROR((COUNTIFS(Tabela_Geral_Presencial[Cód. Ação],Questionários_FP!$AJ$207,Tabela_Geral_Presencial[Cód. UFCD],Questionários_FP!$AJ$209,Tabela_Geral_Presencial[5.1 - Avaliação Geral da Ação / Módulo],Questionários_FP!$AO$215))/$AK$212, "")</f>
        <v>0</v>
      </c>
      <c r="AP270" s="58">
        <f>IFERROR((COUNTIFS(Tabela_Geral_Presencial[Cód. Ação],Questionários_FP!$AJ$207,Tabela_Geral_Presencial[Cód. UFCD],Questionários_FP!$AJ$209,Tabela_Geral_Presencial[5.1 - Avaliação Geral da Ação / Módulo],Questionários_FP!$AP$215))/$AK$212, "")</f>
        <v>0</v>
      </c>
      <c r="AQ270" s="58">
        <f>IFERROR((COUNTIFS(Tabela_Geral_Presencial[Cód. Ação],Questionários_FP!$AJ$207,Tabela_Geral_Presencial[Cód. UFCD],Questionários_FP!$AJ$209,Tabela_Geral_Presencial[5.1 - Avaliação Geral da Ação / Módulo],Questionários_FP!$AQ$215))/$AK$212, "")</f>
        <v>7.6923076923076927E-2</v>
      </c>
      <c r="AR270" s="58">
        <f>IFERROR((COUNTIFS(Tabela_Geral_Presencial[Cód. Ação],Questionários_FP!$AJ$207,Tabela_Geral_Presencial[Cód. UFCD],Questionários_FP!$AJ$209,Tabela_Geral_Presencial[5.1 - Avaliação Geral da Ação / Módulo],Questionários_FP!$AR$215))/$AK$212, "")</f>
        <v>0.38461538461538464</v>
      </c>
      <c r="AS270" s="58">
        <f>IFERROR((COUNTIFS(Tabela_Geral_Presencial[Cód. Ação],Questionários_FP!$AJ$207,Tabela_Geral_Presencial[Cód. UFCD],Questionários_FP!$AJ$209,Tabela_Geral_Presencial[5.1 - Avaliação Geral da Ação / Módulo],Questionários_FP!$AS$215))/$AK$212, "")</f>
        <v>0.53846153846153844</v>
      </c>
      <c r="AU270" s="11"/>
    </row>
    <row r="271" spans="36:47" x14ac:dyDescent="0.3">
      <c r="AK271" s="111" t="s">
        <v>1378</v>
      </c>
      <c r="AL271" s="111"/>
      <c r="AM271" s="82">
        <f>AVERAGE($AM$216,$AM$221,$AM$230,$AM$270,$AM$268)</f>
        <v>4.4598534798534804</v>
      </c>
      <c r="AU271" s="11"/>
    </row>
    <row r="273" spans="36:45" ht="20.100000000000001" customHeight="1" x14ac:dyDescent="0.3">
      <c r="AJ273" s="14" t="s">
        <v>1235</v>
      </c>
      <c r="AK273" s="112"/>
      <c r="AL273" s="112"/>
      <c r="AM273" s="112"/>
      <c r="AN273" s="112"/>
      <c r="AO273" s="112"/>
      <c r="AP273" s="112"/>
      <c r="AQ273" s="112"/>
      <c r="AR273" s="112"/>
      <c r="AS273" s="112"/>
    </row>
    <row r="274" spans="36:45" x14ac:dyDescent="0.3"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</row>
    <row r="275" spans="36:45" ht="30" customHeight="1" x14ac:dyDescent="0.3"/>
    <row r="276" spans="36:45" ht="17.25" customHeight="1" x14ac:dyDescent="0.3"/>
    <row r="299" spans="36:45" ht="17.25" customHeight="1" x14ac:dyDescent="0.3"/>
    <row r="300" spans="36:45" x14ac:dyDescent="0.3"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</row>
    <row r="301" spans="36:45" x14ac:dyDescent="0.3"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</row>
    <row r="325" ht="17.25" customHeight="1" x14ac:dyDescent="0.3"/>
    <row r="326" ht="17.25" customHeight="1" x14ac:dyDescent="0.3"/>
    <row r="327" ht="17.25" customHeight="1" x14ac:dyDescent="0.3"/>
    <row r="328" ht="17.25" customHeight="1" x14ac:dyDescent="0.3"/>
    <row r="337" spans="36:45" ht="20.100000000000001" customHeight="1" x14ac:dyDescent="0.3">
      <c r="AJ337" s="16" t="s">
        <v>1271</v>
      </c>
      <c r="AK337" s="15"/>
      <c r="AL337" s="15"/>
      <c r="AM337" s="15"/>
      <c r="AN337" s="15"/>
      <c r="AO337" s="15"/>
      <c r="AP337" s="15"/>
      <c r="AQ337" s="15"/>
      <c r="AR337" s="15"/>
      <c r="AS337" s="15"/>
    </row>
    <row r="338" spans="36:45" ht="20.100000000000001" customHeight="1" x14ac:dyDescent="0.3">
      <c r="AJ338" s="94" t="s">
        <v>1456</v>
      </c>
      <c r="AK338" s="95"/>
      <c r="AL338" s="95"/>
      <c r="AM338" s="95"/>
      <c r="AN338" s="95"/>
      <c r="AO338" s="95"/>
      <c r="AP338" s="95"/>
      <c r="AQ338" s="95"/>
      <c r="AR338" s="95"/>
      <c r="AS338" s="96"/>
    </row>
    <row r="339" spans="36:45" ht="20.100000000000001" customHeight="1" x14ac:dyDescent="0.3">
      <c r="AJ339" s="97"/>
      <c r="AK339" s="98"/>
      <c r="AL339" s="98"/>
      <c r="AM339" s="98"/>
      <c r="AN339" s="98"/>
      <c r="AO339" s="98"/>
      <c r="AP339" s="98"/>
      <c r="AQ339" s="98"/>
      <c r="AR339" s="98"/>
      <c r="AS339" s="99"/>
    </row>
    <row r="340" spans="36:45" ht="17.25" customHeight="1" x14ac:dyDescent="0.3">
      <c r="AJ340" s="97"/>
      <c r="AK340" s="98"/>
      <c r="AL340" s="98"/>
      <c r="AM340" s="98"/>
      <c r="AN340" s="98"/>
      <c r="AO340" s="98"/>
      <c r="AP340" s="98"/>
      <c r="AQ340" s="98"/>
      <c r="AR340" s="98"/>
      <c r="AS340" s="99"/>
    </row>
    <row r="341" spans="36:45" ht="20.100000000000001" customHeight="1" x14ac:dyDescent="0.3">
      <c r="AJ341" s="97"/>
      <c r="AK341" s="98"/>
      <c r="AL341" s="98"/>
      <c r="AM341" s="98"/>
      <c r="AN341" s="98"/>
      <c r="AO341" s="98"/>
      <c r="AP341" s="98"/>
      <c r="AQ341" s="98"/>
      <c r="AR341" s="98"/>
      <c r="AS341" s="99"/>
    </row>
    <row r="342" spans="36:45" ht="17.25" customHeight="1" x14ac:dyDescent="0.3">
      <c r="AJ342" s="97"/>
      <c r="AK342" s="98"/>
      <c r="AL342" s="98"/>
      <c r="AM342" s="98"/>
      <c r="AN342" s="98"/>
      <c r="AO342" s="98"/>
      <c r="AP342" s="98"/>
      <c r="AQ342" s="98"/>
      <c r="AR342" s="98"/>
      <c r="AS342" s="99"/>
    </row>
    <row r="343" spans="36:45" ht="17.25" customHeight="1" x14ac:dyDescent="0.3">
      <c r="AJ343" s="97"/>
      <c r="AK343" s="98"/>
      <c r="AL343" s="98"/>
      <c r="AM343" s="98"/>
      <c r="AN343" s="98"/>
      <c r="AO343" s="98"/>
      <c r="AP343" s="98"/>
      <c r="AQ343" s="98"/>
      <c r="AR343" s="98"/>
      <c r="AS343" s="99"/>
    </row>
    <row r="344" spans="36:45" x14ac:dyDescent="0.3">
      <c r="AJ344" s="97"/>
      <c r="AK344" s="98"/>
      <c r="AL344" s="98"/>
      <c r="AM344" s="98"/>
      <c r="AN344" s="98"/>
      <c r="AO344" s="98"/>
      <c r="AP344" s="98"/>
      <c r="AQ344" s="98"/>
      <c r="AR344" s="98"/>
      <c r="AS344" s="99"/>
    </row>
    <row r="345" spans="36:45" x14ac:dyDescent="0.3">
      <c r="AJ345" s="97"/>
      <c r="AK345" s="98"/>
      <c r="AL345" s="98"/>
      <c r="AM345" s="98"/>
      <c r="AN345" s="98"/>
      <c r="AO345" s="98"/>
      <c r="AP345" s="98"/>
      <c r="AQ345" s="98"/>
      <c r="AR345" s="98"/>
      <c r="AS345" s="99"/>
    </row>
    <row r="346" spans="36:45" x14ac:dyDescent="0.3">
      <c r="AJ346" s="97"/>
      <c r="AK346" s="98"/>
      <c r="AL346" s="98"/>
      <c r="AM346" s="98"/>
      <c r="AN346" s="98"/>
      <c r="AO346" s="98"/>
      <c r="AP346" s="98"/>
      <c r="AQ346" s="98"/>
      <c r="AR346" s="98"/>
      <c r="AS346" s="99"/>
    </row>
    <row r="347" spans="36:45" x14ac:dyDescent="0.3">
      <c r="AJ347" s="97"/>
      <c r="AK347" s="98"/>
      <c r="AL347" s="98"/>
      <c r="AM347" s="98"/>
      <c r="AN347" s="98"/>
      <c r="AO347" s="98"/>
      <c r="AP347" s="98"/>
      <c r="AQ347" s="98"/>
      <c r="AR347" s="98"/>
      <c r="AS347" s="99"/>
    </row>
    <row r="348" spans="36:45" x14ac:dyDescent="0.3">
      <c r="AJ348" s="97"/>
      <c r="AK348" s="98"/>
      <c r="AL348" s="98"/>
      <c r="AM348" s="98"/>
      <c r="AN348" s="98"/>
      <c r="AO348" s="98"/>
      <c r="AP348" s="98"/>
      <c r="AQ348" s="98"/>
      <c r="AR348" s="98"/>
      <c r="AS348" s="99"/>
    </row>
    <row r="349" spans="36:45" x14ac:dyDescent="0.3">
      <c r="AJ349" s="97"/>
      <c r="AK349" s="98"/>
      <c r="AL349" s="98"/>
      <c r="AM349" s="98"/>
      <c r="AN349" s="98"/>
      <c r="AO349" s="98"/>
      <c r="AP349" s="98"/>
      <c r="AQ349" s="98"/>
      <c r="AR349" s="98"/>
      <c r="AS349" s="99"/>
    </row>
    <row r="350" spans="36:45" x14ac:dyDescent="0.3">
      <c r="AJ350" s="97"/>
      <c r="AK350" s="98"/>
      <c r="AL350" s="98"/>
      <c r="AM350" s="98"/>
      <c r="AN350" s="98"/>
      <c r="AO350" s="98"/>
      <c r="AP350" s="98"/>
      <c r="AQ350" s="98"/>
      <c r="AR350" s="98"/>
      <c r="AS350" s="99"/>
    </row>
    <row r="351" spans="36:45" x14ac:dyDescent="0.3">
      <c r="AJ351" s="97"/>
      <c r="AK351" s="98"/>
      <c r="AL351" s="98"/>
      <c r="AM351" s="98"/>
      <c r="AN351" s="98"/>
      <c r="AO351" s="98"/>
      <c r="AP351" s="98"/>
      <c r="AQ351" s="98"/>
      <c r="AR351" s="98"/>
      <c r="AS351" s="99"/>
    </row>
    <row r="352" spans="36:45" x14ac:dyDescent="0.3">
      <c r="AJ352" s="97"/>
      <c r="AK352" s="98"/>
      <c r="AL352" s="98"/>
      <c r="AM352" s="98"/>
      <c r="AN352" s="98"/>
      <c r="AO352" s="98"/>
      <c r="AP352" s="98"/>
      <c r="AQ352" s="98"/>
      <c r="AR352" s="98"/>
      <c r="AS352" s="99"/>
    </row>
    <row r="353" spans="36:46" x14ac:dyDescent="0.3">
      <c r="AJ353" s="97"/>
      <c r="AK353" s="98"/>
      <c r="AL353" s="98"/>
      <c r="AM353" s="98"/>
      <c r="AN353" s="98"/>
      <c r="AO353" s="98"/>
      <c r="AP353" s="98"/>
      <c r="AQ353" s="98"/>
      <c r="AR353" s="98"/>
      <c r="AS353" s="99"/>
    </row>
    <row r="354" spans="36:46" x14ac:dyDescent="0.3">
      <c r="AJ354" s="97"/>
      <c r="AK354" s="98"/>
      <c r="AL354" s="98"/>
      <c r="AM354" s="98"/>
      <c r="AN354" s="98"/>
      <c r="AO354" s="98"/>
      <c r="AP354" s="98"/>
      <c r="AQ354" s="98"/>
      <c r="AR354" s="98"/>
      <c r="AS354" s="99"/>
    </row>
    <row r="355" spans="36:46" x14ac:dyDescent="0.3">
      <c r="AJ355" s="100"/>
      <c r="AK355" s="101"/>
      <c r="AL355" s="101"/>
      <c r="AM355" s="101"/>
      <c r="AN355" s="101"/>
      <c r="AO355" s="101"/>
      <c r="AP355" s="101"/>
      <c r="AQ355" s="101"/>
      <c r="AR355" s="101"/>
      <c r="AS355" s="102"/>
    </row>
    <row r="356" spans="36:46" ht="17.25" customHeight="1" x14ac:dyDescent="0.3"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</row>
    <row r="357" spans="36:46" x14ac:dyDescent="0.3"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</row>
    <row r="358" spans="36:46" x14ac:dyDescent="0.3"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5"/>
    </row>
    <row r="359" spans="36:46" x14ac:dyDescent="0.3"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</row>
    <row r="360" spans="36:46" x14ac:dyDescent="0.3"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</row>
    <row r="361" spans="36:46" x14ac:dyDescent="0.3"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</row>
    <row r="362" spans="36:46" x14ac:dyDescent="0.3"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</row>
    <row r="363" spans="36:46" x14ac:dyDescent="0.3"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</row>
    <row r="364" spans="36:46" x14ac:dyDescent="0.3"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</row>
    <row r="365" spans="36:46" x14ac:dyDescent="0.3"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</row>
    <row r="497" spans="36:46" ht="50.1" customHeight="1" x14ac:dyDescent="0.3">
      <c r="AJ497" s="112"/>
      <c r="AK497" s="191"/>
      <c r="AL497" s="191"/>
      <c r="AM497" s="191"/>
      <c r="AN497" s="191"/>
      <c r="AO497" s="191"/>
      <c r="AP497" s="191"/>
      <c r="AQ497" s="191"/>
      <c r="AR497" s="191"/>
      <c r="AS497" s="191"/>
      <c r="AT497" s="191"/>
    </row>
    <row r="498" spans="36:46" ht="50.1" customHeight="1" x14ac:dyDescent="0.3">
      <c r="AJ498" s="112"/>
      <c r="AK498" s="191"/>
      <c r="AL498" s="191"/>
      <c r="AM498" s="191"/>
      <c r="AN498" s="191"/>
      <c r="AO498" s="191"/>
      <c r="AP498" s="191"/>
      <c r="AQ498" s="191"/>
      <c r="AR498" s="191"/>
      <c r="AS498" s="191"/>
      <c r="AT498" s="191"/>
    </row>
    <row r="500" spans="36:46" ht="38.25" customHeight="1" x14ac:dyDescent="0.3">
      <c r="AJ500" s="188" t="s">
        <v>1282</v>
      </c>
      <c r="AK500" s="188"/>
      <c r="AL500" s="188"/>
      <c r="AM500" s="188"/>
      <c r="AO500" s="190" t="s">
        <v>1296</v>
      </c>
      <c r="AP500" s="188"/>
      <c r="AQ500" s="188"/>
      <c r="AR500" s="188"/>
      <c r="AS500" s="188"/>
      <c r="AT500" s="188"/>
    </row>
    <row r="501" spans="36:46" x14ac:dyDescent="0.3">
      <c r="AJ501" s="189" t="s">
        <v>1181</v>
      </c>
      <c r="AK501" s="189"/>
      <c r="AL501" s="189"/>
      <c r="AM501" s="189"/>
      <c r="AO501" s="189" t="s">
        <v>1355</v>
      </c>
      <c r="AP501" s="189"/>
      <c r="AQ501" s="189"/>
      <c r="AR501" s="189"/>
      <c r="AS501" s="189"/>
      <c r="AT501" s="189"/>
    </row>
    <row r="502" spans="36:46" x14ac:dyDescent="0.3">
      <c r="AJ502" s="188" t="s">
        <v>1216</v>
      </c>
      <c r="AK502" s="188"/>
      <c r="AL502" s="188" t="s">
        <v>43</v>
      </c>
      <c r="AM502" s="188"/>
      <c r="AO502" s="189"/>
      <c r="AP502" s="189"/>
      <c r="AQ502" s="189"/>
      <c r="AR502" s="189"/>
      <c r="AS502" s="189"/>
      <c r="AT502" s="189"/>
    </row>
    <row r="503" spans="36:46" x14ac:dyDescent="0.3">
      <c r="AJ503" s="189">
        <f>IFERROR(INDEX(Formadores!$A:$B,MATCH($AJ$501,Formadores!$B:$B,0),1),"")</f>
        <v>582</v>
      </c>
      <c r="AK503" s="189"/>
      <c r="AL503" s="189" t="str">
        <f>IFERROR(VLOOKUP($AJ$501,Formadores!$B:$C,2,0), "")</f>
        <v>5337</v>
      </c>
      <c r="AM503" s="189"/>
      <c r="AO503" s="189"/>
      <c r="AP503" s="189"/>
      <c r="AQ503" s="189"/>
      <c r="AR503" s="189"/>
      <c r="AS503" s="189"/>
      <c r="AT503" s="189"/>
    </row>
    <row r="504" spans="36:46" x14ac:dyDescent="0.3">
      <c r="AJ504" s="38"/>
      <c r="AK504" s="38"/>
      <c r="AL504" s="38"/>
      <c r="AM504" s="38"/>
      <c r="AO504" s="189"/>
      <c r="AP504" s="189"/>
      <c r="AQ504" s="189"/>
      <c r="AR504" s="189"/>
      <c r="AS504" s="189"/>
      <c r="AT504" s="189"/>
    </row>
    <row r="505" spans="36:46" x14ac:dyDescent="0.3">
      <c r="AJ505" s="122" t="s">
        <v>1290</v>
      </c>
      <c r="AK505" s="124"/>
      <c r="AL505" s="192">
        <f>COUNTA($AO$501:$AT$530)</f>
        <v>1</v>
      </c>
      <c r="AM505" s="193"/>
      <c r="AO505" s="189"/>
      <c r="AP505" s="189"/>
      <c r="AQ505" s="189"/>
      <c r="AR505" s="189"/>
      <c r="AS505" s="189"/>
      <c r="AT505" s="189"/>
    </row>
    <row r="506" spans="36:46" x14ac:dyDescent="0.3">
      <c r="AO506" s="189"/>
      <c r="AP506" s="189"/>
      <c r="AQ506" s="189"/>
      <c r="AR506" s="189"/>
      <c r="AS506" s="189"/>
      <c r="AT506" s="189"/>
    </row>
    <row r="507" spans="36:46" x14ac:dyDescent="0.3">
      <c r="AJ507" s="122" t="s">
        <v>1283</v>
      </c>
      <c r="AK507" s="124"/>
      <c r="AL507" s="194">
        <f>(AVERAGEIFS(Tabela_Avaliação_Presencial[4.1 - Conhecimentos e Competências Técnicas],Tabela_Avaliação_Presencial[Nome Completo],$AJ$501) +
AVERAGEIFS(Tabela_Avaliação_Presencial[4.2 - Comunicação e Competências Pedagógicas],Tabela_Avaliação_Presencial[Nome Completo],$AJ$501) +
AVERAGEIFS(Tabela_Avaliação_Presencial[4.3 - Pontualidade],Tabela_Avaliação_Presencial[Nome Completo],$AJ$501) +
AVERAGEIFS(Tabela_Avaliação_Presencial[4.4 - Relação Formador/Formando],Tabela_Avaliação_Presencial[Nome Completo],$AJ$501) +
AVERAGEIFS(Tabela_Avaliação_Presencial[4.5 - Empenhamento na Ação],Tabela_Avaliação_Presencial[Nome Completo],$AJ$501)) / 5</f>
        <v>4.9257352941176471</v>
      </c>
      <c r="AM507" s="195"/>
      <c r="AO507" s="189"/>
      <c r="AP507" s="189"/>
      <c r="AQ507" s="189"/>
      <c r="AR507" s="189"/>
      <c r="AS507" s="189"/>
      <c r="AT507" s="189"/>
    </row>
    <row r="508" spans="36:46" x14ac:dyDescent="0.3">
      <c r="AO508" s="189"/>
      <c r="AP508" s="189"/>
      <c r="AQ508" s="189"/>
      <c r="AR508" s="189"/>
      <c r="AS508" s="189"/>
      <c r="AT508" s="189"/>
    </row>
    <row r="509" spans="36:46" x14ac:dyDescent="0.3">
      <c r="AO509" s="189"/>
      <c r="AP509" s="189"/>
      <c r="AQ509" s="189"/>
      <c r="AR509" s="189"/>
      <c r="AS509" s="189"/>
      <c r="AT509" s="189"/>
    </row>
    <row r="510" spans="36:46" x14ac:dyDescent="0.3">
      <c r="AO510" s="189"/>
      <c r="AP510" s="189"/>
      <c r="AQ510" s="189"/>
      <c r="AR510" s="189"/>
      <c r="AS510" s="189"/>
      <c r="AT510" s="189"/>
    </row>
    <row r="511" spans="36:46" x14ac:dyDescent="0.3">
      <c r="AO511" s="189"/>
      <c r="AP511" s="189"/>
      <c r="AQ511" s="189"/>
      <c r="AR511" s="189"/>
      <c r="AS511" s="189"/>
      <c r="AT511" s="189"/>
    </row>
    <row r="512" spans="36:46" x14ac:dyDescent="0.3">
      <c r="AO512" s="189"/>
      <c r="AP512" s="189"/>
      <c r="AQ512" s="189"/>
      <c r="AR512" s="189"/>
      <c r="AS512" s="189"/>
      <c r="AT512" s="189"/>
    </row>
    <row r="513" spans="41:46" x14ac:dyDescent="0.3">
      <c r="AO513" s="189"/>
      <c r="AP513" s="189"/>
      <c r="AQ513" s="189"/>
      <c r="AR513" s="189"/>
      <c r="AS513" s="189"/>
      <c r="AT513" s="189"/>
    </row>
    <row r="514" spans="41:46" x14ac:dyDescent="0.3">
      <c r="AO514" s="189"/>
      <c r="AP514" s="189"/>
      <c r="AQ514" s="189"/>
      <c r="AR514" s="189"/>
      <c r="AS514" s="189"/>
      <c r="AT514" s="189"/>
    </row>
    <row r="515" spans="41:46" x14ac:dyDescent="0.3">
      <c r="AO515" s="189"/>
      <c r="AP515" s="189"/>
      <c r="AQ515" s="189"/>
      <c r="AR515" s="189"/>
      <c r="AS515" s="189"/>
      <c r="AT515" s="189"/>
    </row>
    <row r="516" spans="41:46" x14ac:dyDescent="0.3">
      <c r="AO516" s="189"/>
      <c r="AP516" s="189"/>
      <c r="AQ516" s="189"/>
      <c r="AR516" s="189"/>
      <c r="AS516" s="189"/>
      <c r="AT516" s="189"/>
    </row>
    <row r="517" spans="41:46" x14ac:dyDescent="0.3">
      <c r="AO517" s="189"/>
      <c r="AP517" s="189"/>
      <c r="AQ517" s="189"/>
      <c r="AR517" s="189"/>
      <c r="AS517" s="189"/>
      <c r="AT517" s="189"/>
    </row>
    <row r="518" spans="41:46" x14ac:dyDescent="0.3">
      <c r="AO518" s="189"/>
      <c r="AP518" s="189"/>
      <c r="AQ518" s="189"/>
      <c r="AR518" s="189"/>
      <c r="AS518" s="189"/>
      <c r="AT518" s="189"/>
    </row>
    <row r="519" spans="41:46" x14ac:dyDescent="0.3">
      <c r="AO519" s="189"/>
      <c r="AP519" s="189"/>
      <c r="AQ519" s="189"/>
      <c r="AR519" s="189"/>
      <c r="AS519" s="189"/>
      <c r="AT519" s="189"/>
    </row>
    <row r="520" spans="41:46" x14ac:dyDescent="0.3">
      <c r="AO520" s="189"/>
      <c r="AP520" s="189"/>
      <c r="AQ520" s="189"/>
      <c r="AR520" s="189"/>
      <c r="AS520" s="189"/>
      <c r="AT520" s="189"/>
    </row>
    <row r="521" spans="41:46" x14ac:dyDescent="0.3">
      <c r="AO521" s="189"/>
      <c r="AP521" s="189"/>
      <c r="AQ521" s="189"/>
      <c r="AR521" s="189"/>
      <c r="AS521" s="189"/>
      <c r="AT521" s="189"/>
    </row>
    <row r="522" spans="41:46" x14ac:dyDescent="0.3">
      <c r="AO522" s="189"/>
      <c r="AP522" s="189"/>
      <c r="AQ522" s="189"/>
      <c r="AR522" s="189"/>
      <c r="AS522" s="189"/>
      <c r="AT522" s="189"/>
    </row>
    <row r="523" spans="41:46" x14ac:dyDescent="0.3">
      <c r="AO523" s="189"/>
      <c r="AP523" s="189"/>
      <c r="AQ523" s="189"/>
      <c r="AR523" s="189"/>
      <c r="AS523" s="189"/>
      <c r="AT523" s="189"/>
    </row>
    <row r="524" spans="41:46" x14ac:dyDescent="0.3">
      <c r="AO524" s="189"/>
      <c r="AP524" s="189"/>
      <c r="AQ524" s="189"/>
      <c r="AR524" s="189"/>
      <c r="AS524" s="189"/>
      <c r="AT524" s="189"/>
    </row>
    <row r="525" spans="41:46" x14ac:dyDescent="0.3">
      <c r="AO525" s="189"/>
      <c r="AP525" s="189"/>
      <c r="AQ525" s="189"/>
      <c r="AR525" s="189"/>
      <c r="AS525" s="189"/>
      <c r="AT525" s="189"/>
    </row>
    <row r="526" spans="41:46" x14ac:dyDescent="0.3">
      <c r="AO526" s="189"/>
      <c r="AP526" s="189"/>
      <c r="AQ526" s="189"/>
      <c r="AR526" s="189"/>
      <c r="AS526" s="189"/>
      <c r="AT526" s="189"/>
    </row>
    <row r="527" spans="41:46" x14ac:dyDescent="0.3">
      <c r="AO527" s="189"/>
      <c r="AP527" s="189"/>
      <c r="AQ527" s="189"/>
      <c r="AR527" s="189"/>
      <c r="AS527" s="189"/>
      <c r="AT527" s="189"/>
    </row>
    <row r="528" spans="41:46" x14ac:dyDescent="0.3">
      <c r="AO528" s="189"/>
      <c r="AP528" s="189"/>
      <c r="AQ528" s="189"/>
      <c r="AR528" s="189"/>
      <c r="AS528" s="189"/>
      <c r="AT528" s="189"/>
    </row>
    <row r="529" spans="36:46" x14ac:dyDescent="0.3">
      <c r="AO529" s="189"/>
      <c r="AP529" s="189"/>
      <c r="AQ529" s="189"/>
      <c r="AR529" s="189"/>
      <c r="AS529" s="189"/>
      <c r="AT529" s="189"/>
    </row>
    <row r="530" spans="36:46" x14ac:dyDescent="0.3">
      <c r="AO530" s="189"/>
      <c r="AP530" s="189"/>
      <c r="AQ530" s="189"/>
      <c r="AR530" s="189"/>
      <c r="AS530" s="189"/>
      <c r="AT530" s="189"/>
    </row>
    <row r="532" spans="36:46" ht="20.100000000000001" customHeight="1" x14ac:dyDescent="0.3">
      <c r="AJ532" s="110" t="s">
        <v>1291</v>
      </c>
      <c r="AK532" s="110"/>
      <c r="AL532" s="110"/>
    </row>
    <row r="533" spans="36:46" x14ac:dyDescent="0.3">
      <c r="AJ533" s="84" t="s">
        <v>1356</v>
      </c>
      <c r="AK533" s="85"/>
      <c r="AL533" s="85"/>
      <c r="AM533" s="85"/>
      <c r="AN533" s="85"/>
      <c r="AO533" s="85"/>
      <c r="AP533" s="85"/>
      <c r="AQ533" s="85"/>
      <c r="AR533" s="85"/>
      <c r="AS533" s="85"/>
      <c r="AT533" s="86"/>
    </row>
    <row r="534" spans="36:46" x14ac:dyDescent="0.3">
      <c r="AJ534" s="87"/>
      <c r="AK534" s="83"/>
      <c r="AL534" s="83"/>
      <c r="AM534" s="83"/>
      <c r="AN534" s="83"/>
      <c r="AO534" s="83"/>
      <c r="AP534" s="83"/>
      <c r="AQ534" s="83"/>
      <c r="AR534" s="83"/>
      <c r="AS534" s="83"/>
      <c r="AT534" s="88"/>
    </row>
    <row r="535" spans="36:46" x14ac:dyDescent="0.3">
      <c r="AJ535" s="87"/>
      <c r="AK535" s="83"/>
      <c r="AL535" s="83"/>
      <c r="AM535" s="83"/>
      <c r="AN535" s="83"/>
      <c r="AO535" s="83"/>
      <c r="AP535" s="83"/>
      <c r="AQ535" s="83"/>
      <c r="AR535" s="83"/>
      <c r="AS535" s="83"/>
      <c r="AT535" s="88"/>
    </row>
    <row r="536" spans="36:46" x14ac:dyDescent="0.3">
      <c r="AJ536" s="87" t="s">
        <v>1357</v>
      </c>
      <c r="AK536" s="83"/>
      <c r="AL536" s="83"/>
      <c r="AM536" s="83"/>
      <c r="AN536" s="83"/>
      <c r="AO536" s="83"/>
      <c r="AP536" s="83"/>
      <c r="AQ536" s="83"/>
      <c r="AR536" s="83"/>
      <c r="AS536" s="83"/>
      <c r="AT536" s="88"/>
    </row>
    <row r="537" spans="36:46" x14ac:dyDescent="0.3">
      <c r="AJ537" s="87"/>
      <c r="AK537" s="83"/>
      <c r="AL537" s="83"/>
      <c r="AM537" s="83"/>
      <c r="AN537" s="83"/>
      <c r="AO537" s="83"/>
      <c r="AP537" s="83"/>
      <c r="AQ537" s="83"/>
      <c r="AR537" s="83"/>
      <c r="AS537" s="83"/>
      <c r="AT537" s="88"/>
    </row>
    <row r="538" spans="36:46" x14ac:dyDescent="0.3">
      <c r="AJ538" s="113"/>
      <c r="AK538" s="114"/>
      <c r="AL538" s="114"/>
      <c r="AM538" s="114"/>
      <c r="AN538" s="114"/>
      <c r="AO538" s="114"/>
      <c r="AP538" s="114"/>
      <c r="AQ538" s="114"/>
      <c r="AR538" s="114"/>
      <c r="AS538" s="114"/>
      <c r="AT538" s="115"/>
    </row>
    <row r="539" spans="36:46" x14ac:dyDescent="0.3">
      <c r="AJ539" s="83"/>
      <c r="AK539" s="83"/>
      <c r="AL539" s="83"/>
      <c r="AM539" s="83"/>
      <c r="AN539" s="83"/>
      <c r="AO539" s="83"/>
      <c r="AP539" s="83"/>
      <c r="AQ539" s="83"/>
      <c r="AR539" s="83"/>
      <c r="AS539" s="83"/>
      <c r="AT539" s="83"/>
    </row>
    <row r="540" spans="36:46" x14ac:dyDescent="0.3">
      <c r="AJ540" s="83"/>
      <c r="AK540" s="83"/>
      <c r="AL540" s="83"/>
      <c r="AM540" s="83"/>
      <c r="AN540" s="83"/>
      <c r="AO540" s="83"/>
      <c r="AP540" s="83"/>
      <c r="AQ540" s="83"/>
      <c r="AR540" s="83"/>
      <c r="AS540" s="83"/>
      <c r="AT540" s="83"/>
    </row>
    <row r="541" spans="36:46" x14ac:dyDescent="0.3">
      <c r="AJ541" s="83"/>
      <c r="AK541" s="83"/>
      <c r="AL541" s="83"/>
      <c r="AM541" s="83"/>
      <c r="AN541" s="83"/>
      <c r="AO541" s="83"/>
      <c r="AP541" s="83"/>
      <c r="AQ541" s="83"/>
      <c r="AR541" s="83"/>
      <c r="AS541" s="83"/>
      <c r="AT541" s="83"/>
    </row>
    <row r="542" spans="36:46" x14ac:dyDescent="0.3">
      <c r="AJ542" s="83"/>
      <c r="AK542" s="83"/>
      <c r="AL542" s="83"/>
      <c r="AM542" s="83"/>
      <c r="AN542" s="83"/>
      <c r="AO542" s="83"/>
      <c r="AP542" s="83"/>
      <c r="AQ542" s="83"/>
      <c r="AR542" s="83"/>
      <c r="AS542" s="83"/>
      <c r="AT542" s="83"/>
    </row>
    <row r="543" spans="36:46" x14ac:dyDescent="0.3">
      <c r="AJ543" s="83"/>
      <c r="AK543" s="83"/>
      <c r="AL543" s="83"/>
      <c r="AM543" s="83"/>
      <c r="AN543" s="83"/>
      <c r="AO543" s="83"/>
      <c r="AP543" s="83"/>
      <c r="AQ543" s="83"/>
      <c r="AR543" s="83"/>
      <c r="AS543" s="83"/>
      <c r="AT543" s="83"/>
    </row>
    <row r="544" spans="36:46" x14ac:dyDescent="0.3">
      <c r="AJ544" s="83"/>
      <c r="AK544" s="83"/>
      <c r="AL544" s="83"/>
      <c r="AM544" s="83"/>
      <c r="AN544" s="83"/>
      <c r="AO544" s="83"/>
      <c r="AP544" s="83"/>
      <c r="AQ544" s="83"/>
      <c r="AR544" s="83"/>
      <c r="AS544" s="83"/>
      <c r="AT544" s="83"/>
    </row>
    <row r="545" spans="36:46" x14ac:dyDescent="0.3">
      <c r="AJ545" s="83"/>
      <c r="AK545" s="83"/>
      <c r="AL545" s="83"/>
      <c r="AM545" s="83"/>
      <c r="AN545" s="83"/>
      <c r="AO545" s="83"/>
      <c r="AP545" s="83"/>
      <c r="AQ545" s="83"/>
      <c r="AR545" s="83"/>
      <c r="AS545" s="83"/>
      <c r="AT545" s="83"/>
    </row>
    <row r="546" spans="36:46" x14ac:dyDescent="0.3">
      <c r="AJ546" s="83"/>
      <c r="AK546" s="83"/>
      <c r="AL546" s="83"/>
      <c r="AM546" s="83"/>
      <c r="AN546" s="83"/>
      <c r="AO546" s="83"/>
      <c r="AP546" s="83"/>
      <c r="AQ546" s="83"/>
      <c r="AR546" s="83"/>
      <c r="AS546" s="83"/>
      <c r="AT546" s="83"/>
    </row>
    <row r="547" spans="36:46" x14ac:dyDescent="0.3">
      <c r="AJ547" s="83"/>
      <c r="AK547" s="83"/>
      <c r="AL547" s="83"/>
      <c r="AM547" s="83"/>
      <c r="AN547" s="83"/>
      <c r="AO547" s="83"/>
      <c r="AP547" s="83"/>
      <c r="AQ547" s="83"/>
      <c r="AR547" s="83"/>
      <c r="AS547" s="83"/>
      <c r="AT547" s="83"/>
    </row>
    <row r="548" spans="36:46" x14ac:dyDescent="0.3">
      <c r="AJ548" s="83"/>
      <c r="AK548" s="83"/>
      <c r="AL548" s="83"/>
      <c r="AM548" s="83"/>
      <c r="AN548" s="83"/>
      <c r="AO548" s="83"/>
      <c r="AP548" s="83"/>
      <c r="AQ548" s="83"/>
      <c r="AR548" s="83"/>
      <c r="AS548" s="83"/>
      <c r="AT548" s="83"/>
    </row>
    <row r="549" spans="36:46" x14ac:dyDescent="0.3">
      <c r="AJ549" s="83"/>
      <c r="AK549" s="83"/>
      <c r="AL549" s="83"/>
      <c r="AM549" s="83"/>
      <c r="AN549" s="83"/>
      <c r="AO549" s="83"/>
      <c r="AP549" s="83"/>
      <c r="AQ549" s="83"/>
      <c r="AR549" s="83"/>
      <c r="AS549" s="83"/>
      <c r="AT549" s="83"/>
    </row>
    <row r="550" spans="36:46" x14ac:dyDescent="0.3">
      <c r="AJ550" s="83"/>
      <c r="AK550" s="83"/>
      <c r="AL550" s="83"/>
      <c r="AM550" s="83"/>
      <c r="AN550" s="83"/>
      <c r="AO550" s="83"/>
      <c r="AP550" s="83"/>
      <c r="AQ550" s="83"/>
      <c r="AR550" s="83"/>
      <c r="AS550" s="83"/>
      <c r="AT550" s="83"/>
    </row>
    <row r="551" spans="36:46" x14ac:dyDescent="0.3">
      <c r="AJ551" s="83"/>
      <c r="AK551" s="83"/>
      <c r="AL551" s="83"/>
      <c r="AM551" s="83"/>
      <c r="AN551" s="83"/>
      <c r="AO551" s="83"/>
      <c r="AP551" s="83"/>
      <c r="AQ551" s="83"/>
      <c r="AR551" s="83"/>
      <c r="AS551" s="83"/>
      <c r="AT551" s="83"/>
    </row>
    <row r="552" spans="36:46" x14ac:dyDescent="0.3">
      <c r="AJ552" s="83"/>
      <c r="AK552" s="83"/>
      <c r="AL552" s="83"/>
      <c r="AM552" s="83"/>
      <c r="AN552" s="83"/>
      <c r="AO552" s="83"/>
      <c r="AP552" s="83"/>
      <c r="AQ552" s="83"/>
      <c r="AR552" s="83"/>
      <c r="AS552" s="83"/>
      <c r="AT552" s="83"/>
    </row>
    <row r="553" spans="36:46" x14ac:dyDescent="0.3">
      <c r="AJ553" s="83"/>
      <c r="AK553" s="83"/>
      <c r="AL553" s="83"/>
      <c r="AM553" s="83"/>
      <c r="AN553" s="83"/>
      <c r="AO553" s="83"/>
      <c r="AP553" s="83"/>
      <c r="AQ553" s="83"/>
      <c r="AR553" s="83"/>
      <c r="AS553" s="83"/>
      <c r="AT553" s="83"/>
    </row>
    <row r="554" spans="36:46" x14ac:dyDescent="0.3">
      <c r="AJ554" s="83"/>
      <c r="AK554" s="83"/>
      <c r="AL554" s="83"/>
      <c r="AM554" s="83"/>
      <c r="AN554" s="83"/>
      <c r="AO554" s="83"/>
      <c r="AP554" s="83"/>
      <c r="AQ554" s="83"/>
      <c r="AR554" s="83"/>
      <c r="AS554" s="83"/>
      <c r="AT554" s="83"/>
    </row>
    <row r="555" spans="36:46" x14ac:dyDescent="0.3">
      <c r="AJ555" s="83"/>
      <c r="AK555" s="83"/>
      <c r="AL555" s="83"/>
      <c r="AM555" s="83"/>
      <c r="AN555" s="83"/>
      <c r="AO555" s="83"/>
      <c r="AP555" s="83"/>
      <c r="AQ555" s="83"/>
      <c r="AR555" s="83"/>
      <c r="AS555" s="83"/>
      <c r="AT555" s="83"/>
    </row>
    <row r="556" spans="36:46" x14ac:dyDescent="0.3">
      <c r="AJ556" s="83"/>
      <c r="AK556" s="83"/>
      <c r="AL556" s="83"/>
      <c r="AM556" s="83"/>
      <c r="AN556" s="83"/>
      <c r="AO556" s="83"/>
      <c r="AP556" s="83"/>
      <c r="AQ556" s="83"/>
      <c r="AR556" s="83"/>
      <c r="AS556" s="83"/>
      <c r="AT556" s="83"/>
    </row>
    <row r="557" spans="36:46" x14ac:dyDescent="0.3">
      <c r="AJ557" s="83"/>
      <c r="AK557" s="83"/>
      <c r="AL557" s="83"/>
      <c r="AM557" s="83"/>
      <c r="AN557" s="83"/>
      <c r="AO557" s="83"/>
      <c r="AP557" s="83"/>
      <c r="AQ557" s="83"/>
      <c r="AR557" s="83"/>
      <c r="AS557" s="83"/>
      <c r="AT557" s="83"/>
    </row>
    <row r="558" spans="36:46" x14ac:dyDescent="0.3">
      <c r="AJ558" s="83"/>
      <c r="AK558" s="83"/>
      <c r="AL558" s="83"/>
      <c r="AM558" s="83"/>
      <c r="AN558" s="83"/>
      <c r="AO558" s="83"/>
      <c r="AP558" s="83"/>
      <c r="AQ558" s="83"/>
      <c r="AR558" s="83"/>
      <c r="AS558" s="83"/>
      <c r="AT558" s="83"/>
    </row>
    <row r="559" spans="36:46" x14ac:dyDescent="0.3">
      <c r="AJ559" s="83"/>
      <c r="AK559" s="83"/>
      <c r="AL559" s="83"/>
      <c r="AM559" s="83"/>
      <c r="AN559" s="83"/>
      <c r="AO559" s="83"/>
      <c r="AP559" s="83"/>
      <c r="AQ559" s="83"/>
      <c r="AR559" s="83"/>
      <c r="AS559" s="83"/>
      <c r="AT559" s="83"/>
    </row>
    <row r="560" spans="36:46" x14ac:dyDescent="0.3">
      <c r="AJ560" s="83"/>
      <c r="AK560" s="83"/>
      <c r="AL560" s="83"/>
      <c r="AM560" s="83"/>
      <c r="AN560" s="83"/>
      <c r="AO560" s="83"/>
      <c r="AP560" s="83"/>
      <c r="AQ560" s="83"/>
      <c r="AR560" s="83"/>
      <c r="AS560" s="83"/>
      <c r="AT560" s="83"/>
    </row>
    <row r="561" spans="36:46" x14ac:dyDescent="0.3">
      <c r="AJ561" s="83"/>
      <c r="AK561" s="83"/>
      <c r="AL561" s="83"/>
      <c r="AM561" s="83"/>
      <c r="AN561" s="83"/>
      <c r="AO561" s="83"/>
      <c r="AP561" s="83"/>
      <c r="AQ561" s="83"/>
      <c r="AR561" s="83"/>
      <c r="AS561" s="83"/>
      <c r="AT561" s="83"/>
    </row>
    <row r="562" spans="36:46" x14ac:dyDescent="0.3">
      <c r="AJ562" s="83"/>
      <c r="AK562" s="83"/>
      <c r="AL562" s="83"/>
      <c r="AM562" s="83"/>
      <c r="AN562" s="83"/>
      <c r="AO562" s="83"/>
      <c r="AP562" s="83"/>
      <c r="AQ562" s="83"/>
      <c r="AR562" s="83"/>
      <c r="AS562" s="83"/>
      <c r="AT562" s="83"/>
    </row>
    <row r="563" spans="36:46" x14ac:dyDescent="0.3">
      <c r="AJ563" s="83"/>
      <c r="AK563" s="83"/>
      <c r="AL563" s="83"/>
      <c r="AM563" s="83"/>
      <c r="AN563" s="83"/>
      <c r="AO563" s="83"/>
      <c r="AP563" s="83"/>
      <c r="AQ563" s="83"/>
      <c r="AR563" s="83"/>
      <c r="AS563" s="83"/>
      <c r="AT563" s="83"/>
    </row>
    <row r="564" spans="36:46" x14ac:dyDescent="0.3">
      <c r="AJ564" s="83"/>
      <c r="AK564" s="83"/>
      <c r="AL564" s="83"/>
      <c r="AM564" s="83"/>
      <c r="AN564" s="83"/>
      <c r="AO564" s="83"/>
      <c r="AP564" s="83"/>
      <c r="AQ564" s="83"/>
      <c r="AR564" s="83"/>
      <c r="AS564" s="83"/>
      <c r="AT564" s="83"/>
    </row>
    <row r="565" spans="36:46" x14ac:dyDescent="0.3">
      <c r="AJ565" s="83"/>
      <c r="AK565" s="83"/>
      <c r="AL565" s="83"/>
      <c r="AM565" s="83"/>
      <c r="AN565" s="83"/>
      <c r="AO565" s="83"/>
      <c r="AP565" s="83"/>
      <c r="AQ565" s="83"/>
      <c r="AR565" s="83"/>
      <c r="AS565" s="83"/>
      <c r="AT565" s="83"/>
    </row>
    <row r="566" spans="36:46" x14ac:dyDescent="0.3">
      <c r="AJ566" s="83"/>
      <c r="AK566" s="83"/>
      <c r="AL566" s="83"/>
      <c r="AM566" s="83"/>
      <c r="AN566" s="83"/>
      <c r="AO566" s="83"/>
      <c r="AP566" s="83"/>
      <c r="AQ566" s="83"/>
      <c r="AR566" s="83"/>
      <c r="AS566" s="83"/>
      <c r="AT566" s="83"/>
    </row>
    <row r="567" spans="36:46" x14ac:dyDescent="0.3">
      <c r="AJ567" s="83"/>
      <c r="AK567" s="83"/>
      <c r="AL567" s="83"/>
      <c r="AM567" s="83"/>
      <c r="AN567" s="83"/>
      <c r="AO567" s="83"/>
      <c r="AP567" s="83"/>
      <c r="AQ567" s="83"/>
      <c r="AR567" s="83"/>
      <c r="AS567" s="83"/>
      <c r="AT567" s="83"/>
    </row>
    <row r="568" spans="36:46" x14ac:dyDescent="0.3">
      <c r="AJ568" s="83"/>
      <c r="AK568" s="83"/>
      <c r="AL568" s="83"/>
      <c r="AM568" s="83"/>
      <c r="AN568" s="83"/>
      <c r="AO568" s="83"/>
      <c r="AP568" s="83"/>
      <c r="AQ568" s="83"/>
      <c r="AR568" s="83"/>
      <c r="AS568" s="83"/>
      <c r="AT568" s="83"/>
    </row>
    <row r="569" spans="36:46" x14ac:dyDescent="0.3">
      <c r="AJ569" s="83"/>
      <c r="AK569" s="83"/>
      <c r="AL569" s="83"/>
      <c r="AM569" s="83"/>
      <c r="AN569" s="83"/>
      <c r="AO569" s="83"/>
      <c r="AP569" s="83"/>
      <c r="AQ569" s="83"/>
      <c r="AR569" s="83"/>
      <c r="AS569" s="83"/>
      <c r="AT569" s="83"/>
    </row>
    <row r="570" spans="36:46" x14ac:dyDescent="0.3">
      <c r="AJ570" s="83"/>
      <c r="AK570" s="83"/>
      <c r="AL570" s="83"/>
      <c r="AM570" s="83"/>
      <c r="AN570" s="83"/>
      <c r="AO570" s="83"/>
      <c r="AP570" s="83"/>
      <c r="AQ570" s="83"/>
      <c r="AR570" s="83"/>
      <c r="AS570" s="83"/>
      <c r="AT570" s="83"/>
    </row>
    <row r="571" spans="36:46" x14ac:dyDescent="0.3">
      <c r="AJ571" s="83"/>
      <c r="AK571" s="83"/>
      <c r="AL571" s="83"/>
      <c r="AM571" s="83"/>
      <c r="AN571" s="83"/>
      <c r="AO571" s="83"/>
      <c r="AP571" s="83"/>
      <c r="AQ571" s="83"/>
      <c r="AR571" s="83"/>
      <c r="AS571" s="83"/>
      <c r="AT571" s="83"/>
    </row>
    <row r="572" spans="36:46" x14ac:dyDescent="0.3">
      <c r="AJ572" s="83"/>
      <c r="AK572" s="83"/>
      <c r="AL572" s="83"/>
      <c r="AM572" s="83"/>
      <c r="AN572" s="83"/>
      <c r="AO572" s="83"/>
      <c r="AP572" s="83"/>
      <c r="AQ572" s="83"/>
      <c r="AR572" s="83"/>
      <c r="AS572" s="83"/>
      <c r="AT572" s="83"/>
    </row>
    <row r="573" spans="36:46" x14ac:dyDescent="0.3">
      <c r="AJ573" s="83"/>
      <c r="AK573" s="83"/>
      <c r="AL573" s="83"/>
      <c r="AM573" s="83"/>
      <c r="AN573" s="83"/>
      <c r="AO573" s="83"/>
      <c r="AP573" s="83"/>
      <c r="AQ573" s="83"/>
      <c r="AR573" s="83"/>
      <c r="AS573" s="83"/>
      <c r="AT573" s="83"/>
    </row>
    <row r="574" spans="36:46" x14ac:dyDescent="0.3">
      <c r="AJ574" s="83"/>
      <c r="AK574" s="83"/>
      <c r="AL574" s="83"/>
      <c r="AM574" s="83"/>
      <c r="AN574" s="83"/>
      <c r="AO574" s="83"/>
      <c r="AP574" s="83"/>
      <c r="AQ574" s="83"/>
      <c r="AR574" s="83"/>
      <c r="AS574" s="83"/>
      <c r="AT574" s="83"/>
    </row>
    <row r="575" spans="36:46" x14ac:dyDescent="0.3">
      <c r="AJ575" s="83"/>
      <c r="AK575" s="83"/>
      <c r="AL575" s="83"/>
      <c r="AM575" s="83"/>
      <c r="AN575" s="83"/>
      <c r="AO575" s="83"/>
      <c r="AP575" s="83"/>
      <c r="AQ575" s="83"/>
      <c r="AR575" s="83"/>
      <c r="AS575" s="83"/>
      <c r="AT575" s="83"/>
    </row>
    <row r="576" spans="36:46" x14ac:dyDescent="0.3">
      <c r="AJ576" s="83"/>
      <c r="AK576" s="83"/>
      <c r="AL576" s="83"/>
      <c r="AM576" s="83"/>
      <c r="AN576" s="83"/>
      <c r="AO576" s="83"/>
      <c r="AP576" s="83"/>
      <c r="AQ576" s="83"/>
      <c r="AR576" s="83"/>
      <c r="AS576" s="83"/>
      <c r="AT576" s="83"/>
    </row>
    <row r="577" spans="36:46" x14ac:dyDescent="0.3">
      <c r="AJ577" s="83"/>
      <c r="AK577" s="83"/>
      <c r="AL577" s="83"/>
      <c r="AM577" s="83"/>
      <c r="AN577" s="83"/>
      <c r="AO577" s="83"/>
      <c r="AP577" s="83"/>
      <c r="AQ577" s="83"/>
      <c r="AR577" s="83"/>
      <c r="AS577" s="83"/>
      <c r="AT577" s="83"/>
    </row>
    <row r="578" spans="36:46" x14ac:dyDescent="0.3">
      <c r="AJ578" s="83"/>
      <c r="AK578" s="83"/>
      <c r="AL578" s="83"/>
      <c r="AM578" s="83"/>
      <c r="AN578" s="83"/>
      <c r="AO578" s="83"/>
      <c r="AP578" s="83"/>
      <c r="AQ578" s="83"/>
      <c r="AR578" s="83"/>
      <c r="AS578" s="83"/>
      <c r="AT578" s="83"/>
    </row>
    <row r="579" spans="36:46" x14ac:dyDescent="0.3">
      <c r="AJ579" s="83"/>
      <c r="AK579" s="83"/>
      <c r="AL579" s="83"/>
      <c r="AM579" s="83"/>
      <c r="AN579" s="83"/>
      <c r="AO579" s="83"/>
      <c r="AP579" s="83"/>
      <c r="AQ579" s="83"/>
      <c r="AR579" s="83"/>
      <c r="AS579" s="83"/>
      <c r="AT579" s="83"/>
    </row>
    <row r="580" spans="36:46" x14ac:dyDescent="0.3">
      <c r="AJ580" s="83"/>
      <c r="AK580" s="83"/>
      <c r="AL580" s="83"/>
      <c r="AM580" s="83"/>
      <c r="AN580" s="83"/>
      <c r="AO580" s="83"/>
      <c r="AP580" s="83"/>
      <c r="AQ580" s="83"/>
      <c r="AR580" s="83"/>
      <c r="AS580" s="83"/>
      <c r="AT580" s="83"/>
    </row>
    <row r="581" spans="36:46" x14ac:dyDescent="0.3">
      <c r="AJ581" s="83"/>
      <c r="AK581" s="83"/>
      <c r="AL581" s="83"/>
      <c r="AM581" s="83"/>
      <c r="AN581" s="83"/>
      <c r="AO581" s="83"/>
      <c r="AP581" s="83"/>
      <c r="AQ581" s="83"/>
      <c r="AR581" s="83"/>
      <c r="AS581" s="83"/>
      <c r="AT581" s="83"/>
    </row>
    <row r="582" spans="36:46" x14ac:dyDescent="0.3">
      <c r="AJ582" s="83"/>
      <c r="AK582" s="83"/>
      <c r="AL582" s="83"/>
      <c r="AM582" s="83"/>
      <c r="AN582" s="83"/>
      <c r="AO582" s="83"/>
      <c r="AP582" s="83"/>
      <c r="AQ582" s="83"/>
      <c r="AR582" s="83"/>
      <c r="AS582" s="83"/>
      <c r="AT582" s="83"/>
    </row>
    <row r="583" spans="36:46" x14ac:dyDescent="0.3">
      <c r="AJ583" s="83"/>
      <c r="AK583" s="83"/>
      <c r="AL583" s="83"/>
      <c r="AM583" s="83"/>
      <c r="AN583" s="83"/>
      <c r="AO583" s="83"/>
      <c r="AP583" s="83"/>
      <c r="AQ583" s="83"/>
      <c r="AR583" s="83"/>
      <c r="AS583" s="83"/>
      <c r="AT583" s="83"/>
    </row>
    <row r="584" spans="36:46" x14ac:dyDescent="0.3">
      <c r="AJ584" s="83"/>
      <c r="AK584" s="83"/>
      <c r="AL584" s="83"/>
      <c r="AM584" s="83"/>
      <c r="AN584" s="83"/>
      <c r="AO584" s="83"/>
      <c r="AP584" s="83"/>
      <c r="AQ584" s="83"/>
      <c r="AR584" s="83"/>
      <c r="AS584" s="83"/>
      <c r="AT584" s="83"/>
    </row>
    <row r="585" spans="36:46" x14ac:dyDescent="0.3">
      <c r="AJ585" s="83"/>
      <c r="AK585" s="83"/>
      <c r="AL585" s="83"/>
      <c r="AM585" s="83"/>
      <c r="AN585" s="83"/>
      <c r="AO585" s="83"/>
      <c r="AP585" s="83"/>
      <c r="AQ585" s="83"/>
      <c r="AR585" s="83"/>
      <c r="AS585" s="83"/>
      <c r="AT585" s="83"/>
    </row>
    <row r="586" spans="36:46" x14ac:dyDescent="0.3">
      <c r="AJ586" s="83"/>
      <c r="AK586" s="83"/>
      <c r="AL586" s="83"/>
      <c r="AM586" s="83"/>
      <c r="AN586" s="83"/>
      <c r="AO586" s="83"/>
      <c r="AP586" s="83"/>
      <c r="AQ586" s="83"/>
      <c r="AR586" s="83"/>
      <c r="AS586" s="83"/>
      <c r="AT586" s="83"/>
    </row>
    <row r="587" spans="36:46" x14ac:dyDescent="0.3">
      <c r="AJ587" s="83"/>
      <c r="AK587" s="83"/>
      <c r="AL587" s="83"/>
      <c r="AM587" s="83"/>
      <c r="AN587" s="83"/>
      <c r="AO587" s="83"/>
      <c r="AP587" s="83"/>
      <c r="AQ587" s="83"/>
      <c r="AR587" s="83"/>
      <c r="AS587" s="83"/>
      <c r="AT587" s="83"/>
    </row>
    <row r="588" spans="36:46" x14ac:dyDescent="0.3">
      <c r="AJ588" s="83"/>
      <c r="AK588" s="83"/>
      <c r="AL588" s="83"/>
      <c r="AM588" s="83"/>
      <c r="AN588" s="83"/>
      <c r="AO588" s="83"/>
      <c r="AP588" s="83"/>
      <c r="AQ588" s="83"/>
      <c r="AR588" s="83"/>
      <c r="AS588" s="83"/>
      <c r="AT588" s="83"/>
    </row>
    <row r="589" spans="36:46" x14ac:dyDescent="0.3">
      <c r="AJ589" s="83"/>
      <c r="AK589" s="83"/>
      <c r="AL589" s="83"/>
      <c r="AM589" s="83"/>
      <c r="AN589" s="83"/>
      <c r="AO589" s="83"/>
      <c r="AP589" s="83"/>
      <c r="AQ589" s="83"/>
      <c r="AR589" s="83"/>
      <c r="AS589" s="83"/>
      <c r="AT589" s="83"/>
    </row>
    <row r="590" spans="36:46" x14ac:dyDescent="0.3">
      <c r="AJ590" s="83"/>
      <c r="AK590" s="83"/>
      <c r="AL590" s="83"/>
      <c r="AM590" s="83"/>
      <c r="AN590" s="83"/>
      <c r="AO590" s="83"/>
      <c r="AP590" s="83"/>
      <c r="AQ590" s="83"/>
      <c r="AR590" s="83"/>
      <c r="AS590" s="83"/>
      <c r="AT590" s="83"/>
    </row>
    <row r="591" spans="36:46" x14ac:dyDescent="0.3">
      <c r="AJ591" s="83"/>
      <c r="AK591" s="83"/>
      <c r="AL591" s="83"/>
      <c r="AM591" s="83"/>
      <c r="AN591" s="83"/>
      <c r="AO591" s="83"/>
      <c r="AP591" s="83"/>
      <c r="AQ591" s="83"/>
      <c r="AR591" s="83"/>
      <c r="AS591" s="83"/>
      <c r="AT591" s="83"/>
    </row>
    <row r="592" spans="36:46" x14ac:dyDescent="0.3">
      <c r="AJ592" s="83"/>
      <c r="AK592" s="83"/>
      <c r="AL592" s="83"/>
      <c r="AM592" s="83"/>
      <c r="AN592" s="83"/>
      <c r="AO592" s="83"/>
      <c r="AP592" s="83"/>
      <c r="AQ592" s="83"/>
      <c r="AR592" s="83"/>
      <c r="AS592" s="83"/>
      <c r="AT592" s="83"/>
    </row>
    <row r="593" spans="36:46" x14ac:dyDescent="0.3">
      <c r="AJ593" s="83"/>
      <c r="AK593" s="83"/>
      <c r="AL593" s="83"/>
      <c r="AM593" s="83"/>
      <c r="AN593" s="83"/>
      <c r="AO593" s="83"/>
      <c r="AP593" s="83"/>
      <c r="AQ593" s="83"/>
      <c r="AR593" s="83"/>
      <c r="AS593" s="83"/>
      <c r="AT593" s="83"/>
    </row>
    <row r="594" spans="36:46" x14ac:dyDescent="0.3">
      <c r="AJ594" s="83"/>
      <c r="AK594" s="83"/>
      <c r="AL594" s="83"/>
      <c r="AM594" s="83"/>
      <c r="AN594" s="83"/>
      <c r="AO594" s="83"/>
      <c r="AP594" s="83"/>
      <c r="AQ594" s="83"/>
      <c r="AR594" s="83"/>
      <c r="AS594" s="83"/>
      <c r="AT594" s="83"/>
    </row>
    <row r="595" spans="36:46" x14ac:dyDescent="0.3">
      <c r="AJ595" s="83"/>
      <c r="AK595" s="83"/>
      <c r="AL595" s="83"/>
      <c r="AM595" s="83"/>
      <c r="AN595" s="83"/>
      <c r="AO595" s="83"/>
      <c r="AP595" s="83"/>
      <c r="AQ595" s="83"/>
      <c r="AR595" s="83"/>
      <c r="AS595" s="83"/>
      <c r="AT595" s="83"/>
    </row>
    <row r="596" spans="36:46" x14ac:dyDescent="0.3">
      <c r="AJ596" s="83"/>
      <c r="AK596" s="83"/>
      <c r="AL596" s="83"/>
      <c r="AM596" s="83"/>
      <c r="AN596" s="83"/>
      <c r="AO596" s="83"/>
      <c r="AP596" s="83"/>
      <c r="AQ596" s="83"/>
      <c r="AR596" s="83"/>
      <c r="AS596" s="83"/>
      <c r="AT596" s="83"/>
    </row>
    <row r="597" spans="36:46" x14ac:dyDescent="0.3">
      <c r="AJ597" s="83"/>
      <c r="AK597" s="83"/>
      <c r="AL597" s="83"/>
      <c r="AM597" s="83"/>
      <c r="AN597" s="83"/>
      <c r="AO597" s="83"/>
      <c r="AP597" s="83"/>
      <c r="AQ597" s="83"/>
      <c r="AR597" s="83"/>
      <c r="AS597" s="83"/>
      <c r="AT597" s="83"/>
    </row>
    <row r="598" spans="36:46" x14ac:dyDescent="0.3">
      <c r="AJ598" s="83"/>
      <c r="AK598" s="83"/>
      <c r="AL598" s="83"/>
      <c r="AM598" s="83"/>
      <c r="AN598" s="83"/>
      <c r="AO598" s="83"/>
      <c r="AP598" s="83"/>
      <c r="AQ598" s="83"/>
      <c r="AR598" s="83"/>
      <c r="AS598" s="83"/>
      <c r="AT598" s="83"/>
    </row>
    <row r="599" spans="36:46" x14ac:dyDescent="0.3">
      <c r="AJ599" s="83"/>
      <c r="AK599" s="83"/>
      <c r="AL599" s="83"/>
      <c r="AM599" s="83"/>
      <c r="AN599" s="83"/>
      <c r="AO599" s="83"/>
      <c r="AP599" s="83"/>
      <c r="AQ599" s="83"/>
      <c r="AR599" s="83"/>
      <c r="AS599" s="83"/>
      <c r="AT599" s="83"/>
    </row>
    <row r="600" spans="36:46" x14ac:dyDescent="0.3">
      <c r="AJ600" s="83"/>
      <c r="AK600" s="83"/>
      <c r="AL600" s="83"/>
      <c r="AM600" s="83"/>
      <c r="AN600" s="83"/>
      <c r="AO600" s="83"/>
      <c r="AP600" s="83"/>
      <c r="AQ600" s="83"/>
      <c r="AR600" s="83"/>
      <c r="AS600" s="83"/>
      <c r="AT600" s="83"/>
    </row>
    <row r="601" spans="36:46" x14ac:dyDescent="0.3">
      <c r="AJ601" s="83"/>
      <c r="AK601" s="83"/>
      <c r="AL601" s="83"/>
      <c r="AM601" s="83"/>
      <c r="AN601" s="83"/>
      <c r="AO601" s="83"/>
      <c r="AP601" s="83"/>
      <c r="AQ601" s="83"/>
      <c r="AR601" s="83"/>
      <c r="AS601" s="83"/>
      <c r="AT601" s="83"/>
    </row>
    <row r="602" spans="36:46" x14ac:dyDescent="0.3">
      <c r="AJ602" s="83"/>
      <c r="AK602" s="83"/>
      <c r="AL602" s="83"/>
      <c r="AM602" s="83"/>
      <c r="AN602" s="83"/>
      <c r="AO602" s="83"/>
      <c r="AP602" s="83"/>
      <c r="AQ602" s="83"/>
      <c r="AR602" s="83"/>
      <c r="AS602" s="83"/>
      <c r="AT602" s="83"/>
    </row>
    <row r="603" spans="36:46" x14ac:dyDescent="0.3">
      <c r="AJ603" s="83"/>
      <c r="AK603" s="83"/>
      <c r="AL603" s="83"/>
      <c r="AM603" s="83"/>
      <c r="AN603" s="83"/>
      <c r="AO603" s="83"/>
      <c r="AP603" s="83"/>
      <c r="AQ603" s="83"/>
      <c r="AR603" s="83"/>
      <c r="AS603" s="83"/>
      <c r="AT603" s="83"/>
    </row>
    <row r="604" spans="36:46" x14ac:dyDescent="0.3">
      <c r="AJ604" s="83"/>
      <c r="AK604" s="83"/>
      <c r="AL604" s="83"/>
      <c r="AM604" s="83"/>
      <c r="AN604" s="83"/>
      <c r="AO604" s="83"/>
      <c r="AP604" s="83"/>
      <c r="AQ604" s="83"/>
      <c r="AR604" s="83"/>
      <c r="AS604" s="83"/>
      <c r="AT604" s="83"/>
    </row>
    <row r="605" spans="36:46" x14ac:dyDescent="0.3">
      <c r="AJ605" s="83"/>
      <c r="AK605" s="83"/>
      <c r="AL605" s="83"/>
      <c r="AM605" s="83"/>
      <c r="AN605" s="83"/>
      <c r="AO605" s="83"/>
      <c r="AP605" s="83"/>
      <c r="AQ605" s="83"/>
      <c r="AR605" s="83"/>
      <c r="AS605" s="83"/>
      <c r="AT605" s="83"/>
    </row>
    <row r="606" spans="36:46" x14ac:dyDescent="0.3">
      <c r="AJ606" s="83"/>
      <c r="AK606" s="83"/>
      <c r="AL606" s="83"/>
      <c r="AM606" s="83"/>
      <c r="AN606" s="83"/>
      <c r="AO606" s="83"/>
      <c r="AP606" s="83"/>
      <c r="AQ606" s="83"/>
      <c r="AR606" s="83"/>
      <c r="AS606" s="83"/>
      <c r="AT606" s="83"/>
    </row>
    <row r="607" spans="36:46" x14ac:dyDescent="0.3">
      <c r="AJ607" s="83"/>
      <c r="AK607" s="83"/>
      <c r="AL607" s="83"/>
      <c r="AM607" s="83"/>
      <c r="AN607" s="83"/>
      <c r="AO607" s="83"/>
      <c r="AP607" s="83"/>
      <c r="AQ607" s="83"/>
      <c r="AR607" s="83"/>
      <c r="AS607" s="83"/>
      <c r="AT607" s="83"/>
    </row>
    <row r="608" spans="36:46" x14ac:dyDescent="0.3">
      <c r="AJ608" s="83"/>
      <c r="AK608" s="83"/>
      <c r="AL608" s="83"/>
      <c r="AM608" s="83"/>
      <c r="AN608" s="83"/>
      <c r="AO608" s="83"/>
      <c r="AP608" s="83"/>
      <c r="AQ608" s="83"/>
      <c r="AR608" s="83"/>
      <c r="AS608" s="83"/>
      <c r="AT608" s="83"/>
    </row>
    <row r="609" spans="36:46" x14ac:dyDescent="0.3">
      <c r="AJ609" s="83"/>
      <c r="AK609" s="83"/>
      <c r="AL609" s="83"/>
      <c r="AM609" s="83"/>
      <c r="AN609" s="83"/>
      <c r="AO609" s="83"/>
      <c r="AP609" s="83"/>
      <c r="AQ609" s="83"/>
      <c r="AR609" s="83"/>
      <c r="AS609" s="83"/>
      <c r="AT609" s="83"/>
    </row>
    <row r="610" spans="36:46" x14ac:dyDescent="0.3">
      <c r="AJ610" s="83"/>
      <c r="AK610" s="83"/>
      <c r="AL610" s="83"/>
      <c r="AM610" s="83"/>
      <c r="AN610" s="83"/>
      <c r="AO610" s="83"/>
      <c r="AP610" s="83"/>
      <c r="AQ610" s="83"/>
      <c r="AR610" s="83"/>
      <c r="AS610" s="83"/>
      <c r="AT610" s="83"/>
    </row>
    <row r="611" spans="36:46" x14ac:dyDescent="0.3">
      <c r="AJ611" s="83"/>
      <c r="AK611" s="83"/>
      <c r="AL611" s="83"/>
      <c r="AM611" s="83"/>
      <c r="AN611" s="83"/>
      <c r="AO611" s="83"/>
      <c r="AP611" s="83"/>
      <c r="AQ611" s="83"/>
      <c r="AR611" s="83"/>
      <c r="AS611" s="83"/>
      <c r="AT611" s="83"/>
    </row>
    <row r="612" spans="36:46" x14ac:dyDescent="0.3">
      <c r="AJ612" s="83"/>
      <c r="AK612" s="83"/>
      <c r="AL612" s="83"/>
      <c r="AM612" s="83"/>
      <c r="AN612" s="83"/>
      <c r="AO612" s="83"/>
      <c r="AP612" s="83"/>
      <c r="AQ612" s="83"/>
      <c r="AR612" s="83"/>
      <c r="AS612" s="83"/>
      <c r="AT612" s="83"/>
    </row>
    <row r="613" spans="36:46" x14ac:dyDescent="0.3">
      <c r="AJ613" s="83"/>
      <c r="AK613" s="83"/>
      <c r="AL613" s="83"/>
      <c r="AM613" s="83"/>
      <c r="AN613" s="83"/>
      <c r="AO613" s="83"/>
      <c r="AP613" s="83"/>
      <c r="AQ613" s="83"/>
      <c r="AR613" s="83"/>
      <c r="AS613" s="83"/>
      <c r="AT613" s="83"/>
    </row>
    <row r="614" spans="36:46" x14ac:dyDescent="0.3">
      <c r="AJ614" s="83"/>
      <c r="AK614" s="83"/>
      <c r="AL614" s="83"/>
      <c r="AM614" s="83"/>
      <c r="AN614" s="83"/>
      <c r="AO614" s="83"/>
      <c r="AP614" s="83"/>
      <c r="AQ614" s="83"/>
      <c r="AR614" s="83"/>
      <c r="AS614" s="83"/>
      <c r="AT614" s="83"/>
    </row>
    <row r="615" spans="36:46" x14ac:dyDescent="0.3">
      <c r="AJ615" s="83"/>
      <c r="AK615" s="83"/>
      <c r="AL615" s="83"/>
      <c r="AM615" s="83"/>
      <c r="AN615" s="83"/>
      <c r="AO615" s="83"/>
      <c r="AP615" s="83"/>
      <c r="AQ615" s="83"/>
      <c r="AR615" s="83"/>
      <c r="AS615" s="83"/>
      <c r="AT615" s="83"/>
    </row>
    <row r="616" spans="36:46" x14ac:dyDescent="0.3">
      <c r="AJ616" s="83"/>
      <c r="AK616" s="83"/>
      <c r="AL616" s="83"/>
      <c r="AM616" s="83"/>
      <c r="AN616" s="83"/>
      <c r="AO616" s="83"/>
      <c r="AP616" s="83"/>
      <c r="AQ616" s="83"/>
      <c r="AR616" s="83"/>
      <c r="AS616" s="83"/>
      <c r="AT616" s="83"/>
    </row>
    <row r="617" spans="36:46" x14ac:dyDescent="0.3">
      <c r="AJ617" s="83"/>
      <c r="AK617" s="83"/>
      <c r="AL617" s="83"/>
      <c r="AM617" s="83"/>
      <c r="AN617" s="83"/>
      <c r="AO617" s="83"/>
      <c r="AP617" s="83"/>
      <c r="AQ617" s="83"/>
      <c r="AR617" s="83"/>
      <c r="AS617" s="83"/>
      <c r="AT617" s="83"/>
    </row>
    <row r="618" spans="36:46" x14ac:dyDescent="0.3">
      <c r="AJ618" s="83"/>
      <c r="AK618" s="83"/>
      <c r="AL618" s="83"/>
      <c r="AM618" s="83"/>
      <c r="AN618" s="83"/>
      <c r="AO618" s="83"/>
      <c r="AP618" s="83"/>
      <c r="AQ618" s="83"/>
      <c r="AR618" s="83"/>
      <c r="AS618" s="83"/>
      <c r="AT618" s="83"/>
    </row>
    <row r="619" spans="36:46" x14ac:dyDescent="0.3">
      <c r="AJ619" s="83"/>
      <c r="AK619" s="83"/>
      <c r="AL619" s="83"/>
      <c r="AM619" s="83"/>
      <c r="AN619" s="83"/>
      <c r="AO619" s="83"/>
      <c r="AP619" s="83"/>
      <c r="AQ619" s="83"/>
      <c r="AR619" s="83"/>
      <c r="AS619" s="83"/>
      <c r="AT619" s="83"/>
    </row>
    <row r="620" spans="36:46" x14ac:dyDescent="0.3">
      <c r="AJ620" s="83"/>
      <c r="AK620" s="83"/>
      <c r="AL620" s="83"/>
      <c r="AM620" s="83"/>
      <c r="AN620" s="83"/>
      <c r="AO620" s="83"/>
      <c r="AP620" s="83"/>
      <c r="AQ620" s="83"/>
      <c r="AR620" s="83"/>
      <c r="AS620" s="83"/>
      <c r="AT620" s="83"/>
    </row>
    <row r="621" spans="36:46" x14ac:dyDescent="0.3">
      <c r="AJ621" s="83"/>
      <c r="AK621" s="83"/>
      <c r="AL621" s="83"/>
      <c r="AM621" s="83"/>
      <c r="AN621" s="83"/>
      <c r="AO621" s="83"/>
      <c r="AP621" s="83"/>
      <c r="AQ621" s="83"/>
      <c r="AR621" s="83"/>
      <c r="AS621" s="83"/>
      <c r="AT621" s="83"/>
    </row>
    <row r="622" spans="36:46" x14ac:dyDescent="0.3">
      <c r="AJ622" s="83"/>
      <c r="AK622" s="83"/>
      <c r="AL622" s="83"/>
      <c r="AM622" s="83"/>
      <c r="AN622" s="83"/>
      <c r="AO622" s="83"/>
      <c r="AP622" s="83"/>
      <c r="AQ622" s="83"/>
      <c r="AR622" s="83"/>
      <c r="AS622" s="83"/>
      <c r="AT622" s="83"/>
    </row>
    <row r="623" spans="36:46" x14ac:dyDescent="0.3">
      <c r="AJ623" s="83"/>
      <c r="AK623" s="83"/>
      <c r="AL623" s="83"/>
      <c r="AM623" s="83"/>
      <c r="AN623" s="83"/>
      <c r="AO623" s="83"/>
      <c r="AP623" s="83"/>
      <c r="AQ623" s="83"/>
      <c r="AR623" s="83"/>
      <c r="AS623" s="83"/>
      <c r="AT623" s="83"/>
    </row>
    <row r="624" spans="36:46" x14ac:dyDescent="0.3">
      <c r="AJ624" s="83"/>
      <c r="AK624" s="83"/>
      <c r="AL624" s="83"/>
      <c r="AM624" s="83"/>
      <c r="AN624" s="83"/>
      <c r="AO624" s="83"/>
      <c r="AP624" s="83"/>
      <c r="AQ624" s="83"/>
      <c r="AR624" s="83"/>
      <c r="AS624" s="83"/>
      <c r="AT624" s="83"/>
    </row>
    <row r="625" spans="36:46" x14ac:dyDescent="0.3">
      <c r="AJ625" s="83"/>
      <c r="AK625" s="83"/>
      <c r="AL625" s="83"/>
      <c r="AM625" s="83"/>
      <c r="AN625" s="83"/>
      <c r="AO625" s="83"/>
      <c r="AP625" s="83"/>
      <c r="AQ625" s="83"/>
      <c r="AR625" s="83"/>
      <c r="AS625" s="83"/>
      <c r="AT625" s="83"/>
    </row>
    <row r="626" spans="36:46" x14ac:dyDescent="0.3">
      <c r="AJ626" s="83"/>
      <c r="AK626" s="83"/>
      <c r="AL626" s="83"/>
      <c r="AM626" s="83"/>
      <c r="AN626" s="83"/>
      <c r="AO626" s="83"/>
      <c r="AP626" s="83"/>
      <c r="AQ626" s="83"/>
      <c r="AR626" s="83"/>
      <c r="AS626" s="83"/>
      <c r="AT626" s="83"/>
    </row>
    <row r="627" spans="36:46" x14ac:dyDescent="0.3">
      <c r="AJ627" s="83"/>
      <c r="AK627" s="83"/>
      <c r="AL627" s="83"/>
      <c r="AM627" s="83"/>
      <c r="AN627" s="83"/>
      <c r="AO627" s="83"/>
      <c r="AP627" s="83"/>
      <c r="AQ627" s="83"/>
      <c r="AR627" s="83"/>
      <c r="AS627" s="83"/>
      <c r="AT627" s="83"/>
    </row>
    <row r="628" spans="36:46" x14ac:dyDescent="0.3">
      <c r="AJ628" s="83"/>
      <c r="AK628" s="83"/>
      <c r="AL628" s="83"/>
      <c r="AM628" s="83"/>
      <c r="AN628" s="83"/>
      <c r="AO628" s="83"/>
      <c r="AP628" s="83"/>
      <c r="AQ628" s="83"/>
      <c r="AR628" s="83"/>
      <c r="AS628" s="83"/>
      <c r="AT628" s="83"/>
    </row>
    <row r="629" spans="36:46" x14ac:dyDescent="0.3">
      <c r="AJ629" s="83"/>
      <c r="AK629" s="83"/>
      <c r="AL629" s="83"/>
      <c r="AM629" s="83"/>
      <c r="AN629" s="83"/>
      <c r="AO629" s="83"/>
      <c r="AP629" s="83"/>
      <c r="AQ629" s="83"/>
      <c r="AR629" s="83"/>
      <c r="AS629" s="83"/>
      <c r="AT629" s="83"/>
    </row>
    <row r="630" spans="36:46" x14ac:dyDescent="0.3">
      <c r="AJ630" s="83"/>
      <c r="AK630" s="83"/>
      <c r="AL630" s="83"/>
      <c r="AM630" s="83"/>
      <c r="AN630" s="83"/>
      <c r="AO630" s="83"/>
      <c r="AP630" s="83"/>
      <c r="AQ630" s="83"/>
      <c r="AR630" s="83"/>
      <c r="AS630" s="83"/>
      <c r="AT630" s="83"/>
    </row>
    <row r="631" spans="36:46" x14ac:dyDescent="0.3">
      <c r="AJ631" s="83"/>
      <c r="AK631" s="83"/>
      <c r="AL631" s="83"/>
      <c r="AM631" s="83"/>
      <c r="AN631" s="83"/>
      <c r="AO631" s="83"/>
      <c r="AP631" s="83"/>
      <c r="AQ631" s="83"/>
      <c r="AR631" s="83"/>
      <c r="AS631" s="83"/>
      <c r="AT631" s="83"/>
    </row>
    <row r="632" spans="36:46" x14ac:dyDescent="0.3">
      <c r="AJ632" s="83"/>
      <c r="AK632" s="83"/>
      <c r="AL632" s="83"/>
      <c r="AM632" s="83"/>
      <c r="AN632" s="83"/>
      <c r="AO632" s="83"/>
      <c r="AP632" s="83"/>
      <c r="AQ632" s="83"/>
      <c r="AR632" s="83"/>
      <c r="AS632" s="83"/>
      <c r="AT632" s="83"/>
    </row>
    <row r="633" spans="36:46" x14ac:dyDescent="0.3">
      <c r="AJ633" s="83"/>
      <c r="AK633" s="83"/>
      <c r="AL633" s="83"/>
      <c r="AM633" s="83"/>
      <c r="AN633" s="83"/>
      <c r="AO633" s="83"/>
      <c r="AP633" s="83"/>
      <c r="AQ633" s="83"/>
      <c r="AR633" s="83"/>
      <c r="AS633" s="83"/>
      <c r="AT633" s="83"/>
    </row>
    <row r="634" spans="36:46" x14ac:dyDescent="0.3">
      <c r="AJ634" s="83"/>
      <c r="AK634" s="83"/>
      <c r="AL634" s="83"/>
      <c r="AM634" s="83"/>
      <c r="AN634" s="83"/>
      <c r="AO634" s="83"/>
      <c r="AP634" s="83"/>
      <c r="AQ634" s="83"/>
      <c r="AR634" s="83"/>
      <c r="AS634" s="83"/>
      <c r="AT634" s="83"/>
    </row>
    <row r="635" spans="36:46" x14ac:dyDescent="0.3">
      <c r="AJ635" s="83"/>
      <c r="AK635" s="83"/>
      <c r="AL635" s="83"/>
      <c r="AM635" s="83"/>
      <c r="AN635" s="83"/>
      <c r="AO635" s="83"/>
      <c r="AP635" s="83"/>
      <c r="AQ635" s="83"/>
      <c r="AR635" s="83"/>
      <c r="AS635" s="83"/>
      <c r="AT635" s="83"/>
    </row>
    <row r="636" spans="36:46" x14ac:dyDescent="0.3">
      <c r="AJ636" s="83"/>
      <c r="AK636" s="83"/>
      <c r="AL636" s="83"/>
      <c r="AM636" s="83"/>
      <c r="AN636" s="83"/>
      <c r="AO636" s="83"/>
      <c r="AP636" s="83"/>
      <c r="AQ636" s="83"/>
      <c r="AR636" s="83"/>
      <c r="AS636" s="83"/>
      <c r="AT636" s="83"/>
    </row>
    <row r="637" spans="36:46" x14ac:dyDescent="0.3">
      <c r="AJ637" s="83"/>
      <c r="AK637" s="83"/>
      <c r="AL637" s="83"/>
      <c r="AM637" s="83"/>
      <c r="AN637" s="83"/>
      <c r="AO637" s="83"/>
      <c r="AP637" s="83"/>
      <c r="AQ637" s="83"/>
      <c r="AR637" s="83"/>
      <c r="AS637" s="83"/>
      <c r="AT637" s="83"/>
    </row>
    <row r="638" spans="36:46" x14ac:dyDescent="0.3">
      <c r="AJ638" s="83"/>
      <c r="AK638" s="83"/>
      <c r="AL638" s="83"/>
      <c r="AM638" s="83"/>
      <c r="AN638" s="83"/>
      <c r="AO638" s="83"/>
      <c r="AP638" s="83"/>
      <c r="AQ638" s="83"/>
      <c r="AR638" s="83"/>
      <c r="AS638" s="83"/>
      <c r="AT638" s="83"/>
    </row>
    <row r="639" spans="36:46" x14ac:dyDescent="0.3">
      <c r="AJ639" s="83"/>
      <c r="AK639" s="83"/>
      <c r="AL639" s="83"/>
      <c r="AM639" s="83"/>
      <c r="AN639" s="83"/>
      <c r="AO639" s="83"/>
      <c r="AP639" s="83"/>
      <c r="AQ639" s="83"/>
      <c r="AR639" s="83"/>
      <c r="AS639" s="83"/>
      <c r="AT639" s="83"/>
    </row>
    <row r="640" spans="36:46" x14ac:dyDescent="0.3">
      <c r="AJ640" s="83"/>
      <c r="AK640" s="83"/>
      <c r="AL640" s="83"/>
      <c r="AM640" s="83"/>
      <c r="AN640" s="83"/>
      <c r="AO640" s="83"/>
      <c r="AP640" s="83"/>
      <c r="AQ640" s="83"/>
      <c r="AR640" s="83"/>
      <c r="AS640" s="83"/>
      <c r="AT640" s="83"/>
    </row>
    <row r="641" spans="36:46" x14ac:dyDescent="0.3">
      <c r="AJ641" s="83"/>
      <c r="AK641" s="83"/>
      <c r="AL641" s="83"/>
      <c r="AM641" s="83"/>
      <c r="AN641" s="83"/>
      <c r="AO641" s="83"/>
      <c r="AP641" s="83"/>
      <c r="AQ641" s="83"/>
      <c r="AR641" s="83"/>
      <c r="AS641" s="83"/>
      <c r="AT641" s="83"/>
    </row>
    <row r="642" spans="36:46" x14ac:dyDescent="0.3">
      <c r="AJ642" s="83"/>
      <c r="AK642" s="83"/>
      <c r="AL642" s="83"/>
      <c r="AM642" s="83"/>
      <c r="AN642" s="83"/>
      <c r="AO642" s="83"/>
      <c r="AP642" s="83"/>
      <c r="AQ642" s="83"/>
      <c r="AR642" s="83"/>
      <c r="AS642" s="83"/>
      <c r="AT642" s="83"/>
    </row>
    <row r="643" spans="36:46" x14ac:dyDescent="0.3">
      <c r="AJ643" s="83"/>
      <c r="AK643" s="83"/>
      <c r="AL643" s="83"/>
      <c r="AM643" s="83"/>
      <c r="AN643" s="83"/>
      <c r="AO643" s="83"/>
      <c r="AP643" s="83"/>
      <c r="AQ643" s="83"/>
      <c r="AR643" s="83"/>
      <c r="AS643" s="83"/>
      <c r="AT643" s="83"/>
    </row>
    <row r="644" spans="36:46" x14ac:dyDescent="0.3">
      <c r="AJ644" s="83"/>
      <c r="AK644" s="83"/>
      <c r="AL644" s="83"/>
      <c r="AM644" s="83"/>
      <c r="AN644" s="83"/>
      <c r="AO644" s="83"/>
      <c r="AP644" s="83"/>
      <c r="AQ644" s="83"/>
      <c r="AR644" s="83"/>
      <c r="AS644" s="83"/>
      <c r="AT644" s="83"/>
    </row>
    <row r="645" spans="36:46" x14ac:dyDescent="0.3">
      <c r="AJ645" s="83"/>
      <c r="AK645" s="83"/>
      <c r="AL645" s="83"/>
      <c r="AM645" s="83"/>
      <c r="AN645" s="83"/>
      <c r="AO645" s="83"/>
      <c r="AP645" s="83"/>
      <c r="AQ645" s="83"/>
      <c r="AR645" s="83"/>
      <c r="AS645" s="83"/>
      <c r="AT645" s="83"/>
    </row>
    <row r="646" spans="36:46" x14ac:dyDescent="0.3">
      <c r="AJ646" s="83"/>
      <c r="AK646" s="83"/>
      <c r="AL646" s="83"/>
      <c r="AM646" s="83"/>
      <c r="AN646" s="83"/>
      <c r="AO646" s="83"/>
      <c r="AP646" s="83"/>
      <c r="AQ646" s="83"/>
      <c r="AR646" s="83"/>
      <c r="AS646" s="83"/>
      <c r="AT646" s="83"/>
    </row>
    <row r="647" spans="36:46" x14ac:dyDescent="0.3">
      <c r="AJ647" s="83"/>
      <c r="AK647" s="83"/>
      <c r="AL647" s="83"/>
      <c r="AM647" s="83"/>
      <c r="AN647" s="83"/>
      <c r="AO647" s="83"/>
      <c r="AP647" s="83"/>
      <c r="AQ647" s="83"/>
      <c r="AR647" s="83"/>
      <c r="AS647" s="83"/>
      <c r="AT647" s="83"/>
    </row>
    <row r="648" spans="36:46" x14ac:dyDescent="0.3">
      <c r="AJ648" s="83"/>
      <c r="AK648" s="83"/>
      <c r="AL648" s="83"/>
      <c r="AM648" s="83"/>
      <c r="AN648" s="83"/>
      <c r="AO648" s="83"/>
      <c r="AP648" s="83"/>
      <c r="AQ648" s="83"/>
      <c r="AR648" s="83"/>
      <c r="AS648" s="83"/>
      <c r="AT648" s="83"/>
    </row>
    <row r="649" spans="36:46" x14ac:dyDescent="0.3">
      <c r="AJ649" s="83"/>
      <c r="AK649" s="83"/>
      <c r="AL649" s="83"/>
      <c r="AM649" s="83"/>
      <c r="AN649" s="83"/>
      <c r="AO649" s="83"/>
      <c r="AP649" s="83"/>
      <c r="AQ649" s="83"/>
      <c r="AR649" s="83"/>
      <c r="AS649" s="83"/>
      <c r="AT649" s="83"/>
    </row>
    <row r="650" spans="36:46" x14ac:dyDescent="0.3">
      <c r="AJ650" s="83"/>
      <c r="AK650" s="83"/>
      <c r="AL650" s="83"/>
      <c r="AM650" s="83"/>
      <c r="AN650" s="83"/>
      <c r="AO650" s="83"/>
      <c r="AP650" s="83"/>
      <c r="AQ650" s="83"/>
      <c r="AR650" s="83"/>
      <c r="AS650" s="83"/>
      <c r="AT650" s="83"/>
    </row>
    <row r="651" spans="36:46" x14ac:dyDescent="0.3">
      <c r="AJ651" s="83"/>
      <c r="AK651" s="83"/>
      <c r="AL651" s="83"/>
      <c r="AM651" s="83"/>
      <c r="AN651" s="83"/>
      <c r="AO651" s="83"/>
      <c r="AP651" s="83"/>
      <c r="AQ651" s="83"/>
      <c r="AR651" s="83"/>
      <c r="AS651" s="83"/>
      <c r="AT651" s="83"/>
    </row>
    <row r="652" spans="36:46" x14ac:dyDescent="0.3">
      <c r="AJ652" s="83"/>
      <c r="AK652" s="83"/>
      <c r="AL652" s="83"/>
      <c r="AM652" s="83"/>
      <c r="AN652" s="83"/>
      <c r="AO652" s="83"/>
      <c r="AP652" s="83"/>
      <c r="AQ652" s="83"/>
      <c r="AR652" s="83"/>
      <c r="AS652" s="83"/>
      <c r="AT652" s="83"/>
    </row>
    <row r="653" spans="36:46" x14ac:dyDescent="0.3">
      <c r="AJ653" s="83"/>
      <c r="AK653" s="83"/>
      <c r="AL653" s="83"/>
      <c r="AM653" s="83"/>
      <c r="AN653" s="83"/>
      <c r="AO653" s="83"/>
      <c r="AP653" s="83"/>
      <c r="AQ653" s="83"/>
      <c r="AR653" s="83"/>
      <c r="AS653" s="83"/>
      <c r="AT653" s="83"/>
    </row>
    <row r="654" spans="36:46" x14ac:dyDescent="0.3">
      <c r="AJ654" s="83"/>
      <c r="AK654" s="83"/>
      <c r="AL654" s="83"/>
      <c r="AM654" s="83"/>
      <c r="AN654" s="83"/>
      <c r="AO654" s="83"/>
      <c r="AP654" s="83"/>
      <c r="AQ654" s="83"/>
      <c r="AR654" s="83"/>
      <c r="AS654" s="83"/>
      <c r="AT654" s="83"/>
    </row>
    <row r="655" spans="36:46" x14ac:dyDescent="0.3">
      <c r="AJ655" s="83"/>
      <c r="AK655" s="83"/>
      <c r="AL655" s="83"/>
      <c r="AM655" s="83"/>
      <c r="AN655" s="83"/>
      <c r="AO655" s="83"/>
      <c r="AP655" s="83"/>
      <c r="AQ655" s="83"/>
      <c r="AR655" s="83"/>
      <c r="AS655" s="83"/>
      <c r="AT655" s="83"/>
    </row>
    <row r="656" spans="36:46" x14ac:dyDescent="0.3">
      <c r="AJ656" s="83"/>
      <c r="AK656" s="83"/>
      <c r="AL656" s="83"/>
      <c r="AM656" s="83"/>
      <c r="AN656" s="83"/>
      <c r="AO656" s="83"/>
      <c r="AP656" s="83"/>
      <c r="AQ656" s="83"/>
      <c r="AR656" s="83"/>
      <c r="AS656" s="83"/>
      <c r="AT656" s="83"/>
    </row>
    <row r="657" spans="36:46" x14ac:dyDescent="0.3">
      <c r="AJ657" s="83"/>
      <c r="AK657" s="83"/>
      <c r="AL657" s="83"/>
      <c r="AM657" s="83"/>
      <c r="AN657" s="83"/>
      <c r="AO657" s="83"/>
      <c r="AP657" s="83"/>
      <c r="AQ657" s="83"/>
      <c r="AR657" s="83"/>
      <c r="AS657" s="83"/>
      <c r="AT657" s="83"/>
    </row>
    <row r="658" spans="36:46" x14ac:dyDescent="0.3">
      <c r="AJ658" s="83"/>
      <c r="AK658" s="83"/>
      <c r="AL658" s="83"/>
      <c r="AM658" s="83"/>
      <c r="AN658" s="83"/>
      <c r="AO658" s="83"/>
      <c r="AP658" s="83"/>
      <c r="AQ658" s="83"/>
      <c r="AR658" s="83"/>
      <c r="AS658" s="83"/>
      <c r="AT658" s="83"/>
    </row>
    <row r="659" spans="36:46" x14ac:dyDescent="0.3">
      <c r="AJ659" s="83"/>
      <c r="AK659" s="83"/>
      <c r="AL659" s="83"/>
      <c r="AM659" s="83"/>
      <c r="AN659" s="83"/>
      <c r="AO659" s="83"/>
      <c r="AP659" s="83"/>
      <c r="AQ659" s="83"/>
      <c r="AR659" s="83"/>
      <c r="AS659" s="83"/>
      <c r="AT659" s="83"/>
    </row>
    <row r="660" spans="36:46" x14ac:dyDescent="0.3">
      <c r="AJ660" s="83"/>
      <c r="AK660" s="83"/>
      <c r="AL660" s="83"/>
      <c r="AM660" s="83"/>
      <c r="AN660" s="83"/>
      <c r="AO660" s="83"/>
      <c r="AP660" s="83"/>
      <c r="AQ660" s="83"/>
      <c r="AR660" s="83"/>
      <c r="AS660" s="83"/>
      <c r="AT660" s="83"/>
    </row>
    <row r="661" spans="36:46" x14ac:dyDescent="0.3">
      <c r="AJ661" s="83"/>
      <c r="AK661" s="83"/>
      <c r="AL661" s="83"/>
      <c r="AM661" s="83"/>
      <c r="AN661" s="83"/>
      <c r="AO661" s="83"/>
      <c r="AP661" s="83"/>
      <c r="AQ661" s="83"/>
      <c r="AR661" s="83"/>
      <c r="AS661" s="83"/>
      <c r="AT661" s="83"/>
    </row>
    <row r="662" spans="36:46" x14ac:dyDescent="0.3">
      <c r="AJ662" s="83"/>
      <c r="AK662" s="83"/>
      <c r="AL662" s="83"/>
      <c r="AM662" s="83"/>
      <c r="AN662" s="83"/>
      <c r="AO662" s="83"/>
      <c r="AP662" s="83"/>
      <c r="AQ662" s="83"/>
      <c r="AR662" s="83"/>
      <c r="AS662" s="83"/>
      <c r="AT662" s="83"/>
    </row>
    <row r="663" spans="36:46" x14ac:dyDescent="0.3">
      <c r="AJ663" s="83"/>
      <c r="AK663" s="83"/>
      <c r="AL663" s="83"/>
      <c r="AM663" s="83"/>
      <c r="AN663" s="83"/>
      <c r="AO663" s="83"/>
      <c r="AP663" s="83"/>
      <c r="AQ663" s="83"/>
      <c r="AR663" s="83"/>
      <c r="AS663" s="83"/>
      <c r="AT663" s="83"/>
    </row>
    <row r="664" spans="36:46" x14ac:dyDescent="0.3">
      <c r="AJ664" s="83"/>
      <c r="AK664" s="83"/>
      <c r="AL664" s="83"/>
      <c r="AM664" s="83"/>
      <c r="AN664" s="83"/>
      <c r="AO664" s="83"/>
      <c r="AP664" s="83"/>
      <c r="AQ664" s="83"/>
      <c r="AR664" s="83"/>
      <c r="AS664" s="83"/>
      <c r="AT664" s="83"/>
    </row>
    <row r="665" spans="36:46" x14ac:dyDescent="0.3">
      <c r="AJ665" s="83"/>
      <c r="AK665" s="83"/>
      <c r="AL665" s="83"/>
      <c r="AM665" s="83"/>
      <c r="AN665" s="83"/>
      <c r="AO665" s="83"/>
      <c r="AP665" s="83"/>
      <c r="AQ665" s="83"/>
      <c r="AR665" s="83"/>
      <c r="AS665" s="83"/>
      <c r="AT665" s="83"/>
    </row>
    <row r="666" spans="36:46" x14ac:dyDescent="0.3">
      <c r="AJ666" s="83"/>
      <c r="AK666" s="83"/>
      <c r="AL666" s="83"/>
      <c r="AM666" s="83"/>
      <c r="AN666" s="83"/>
      <c r="AO666" s="83"/>
      <c r="AP666" s="83"/>
      <c r="AQ666" s="83"/>
      <c r="AR666" s="83"/>
      <c r="AS666" s="83"/>
      <c r="AT666" s="83"/>
    </row>
    <row r="667" spans="36:46" x14ac:dyDescent="0.3">
      <c r="AJ667" s="83"/>
      <c r="AK667" s="83"/>
      <c r="AL667" s="83"/>
      <c r="AM667" s="83"/>
      <c r="AN667" s="83"/>
      <c r="AO667" s="83"/>
      <c r="AP667" s="83"/>
      <c r="AQ667" s="83"/>
      <c r="AR667" s="83"/>
      <c r="AS667" s="83"/>
      <c r="AT667" s="83"/>
    </row>
    <row r="668" spans="36:46" x14ac:dyDescent="0.3">
      <c r="AJ668" s="83"/>
      <c r="AK668" s="83"/>
      <c r="AL668" s="83"/>
      <c r="AM668" s="83"/>
      <c r="AN668" s="83"/>
      <c r="AO668" s="83"/>
      <c r="AP668" s="83"/>
      <c r="AQ668" s="83"/>
      <c r="AR668" s="83"/>
      <c r="AS668" s="83"/>
      <c r="AT668" s="83"/>
    </row>
    <row r="669" spans="36:46" x14ac:dyDescent="0.3">
      <c r="AJ669" s="83"/>
      <c r="AK669" s="83"/>
      <c r="AL669" s="83"/>
      <c r="AM669" s="83"/>
      <c r="AN669" s="83"/>
      <c r="AO669" s="83"/>
      <c r="AP669" s="83"/>
      <c r="AQ669" s="83"/>
      <c r="AR669" s="83"/>
      <c r="AS669" s="83"/>
      <c r="AT669" s="83"/>
    </row>
    <row r="670" spans="36:46" x14ac:dyDescent="0.3">
      <c r="AJ670" s="83"/>
      <c r="AK670" s="83"/>
      <c r="AL670" s="83"/>
      <c r="AM670" s="83"/>
      <c r="AN670" s="83"/>
      <c r="AO670" s="83"/>
      <c r="AP670" s="83"/>
      <c r="AQ670" s="83"/>
      <c r="AR670" s="83"/>
      <c r="AS670" s="83"/>
      <c r="AT670" s="83"/>
    </row>
    <row r="671" spans="36:46" x14ac:dyDescent="0.3">
      <c r="AJ671" s="83"/>
      <c r="AK671" s="83"/>
      <c r="AL671" s="83"/>
      <c r="AM671" s="83"/>
      <c r="AN671" s="83"/>
      <c r="AO671" s="83"/>
      <c r="AP671" s="83"/>
      <c r="AQ671" s="83"/>
      <c r="AR671" s="83"/>
      <c r="AS671" s="83"/>
      <c r="AT671" s="83"/>
    </row>
    <row r="672" spans="36:46" x14ac:dyDescent="0.3">
      <c r="AJ672" s="83"/>
      <c r="AK672" s="83"/>
      <c r="AL672" s="83"/>
      <c r="AM672" s="83"/>
      <c r="AN672" s="83"/>
      <c r="AO672" s="83"/>
      <c r="AP672" s="83"/>
      <c r="AQ672" s="83"/>
      <c r="AR672" s="83"/>
      <c r="AS672" s="83"/>
      <c r="AT672" s="83"/>
    </row>
    <row r="673" spans="36:46" x14ac:dyDescent="0.3">
      <c r="AJ673" s="83"/>
      <c r="AK673" s="83"/>
      <c r="AL673" s="83"/>
      <c r="AM673" s="83"/>
      <c r="AN673" s="83"/>
      <c r="AO673" s="83"/>
      <c r="AP673" s="83"/>
      <c r="AQ673" s="83"/>
      <c r="AR673" s="83"/>
      <c r="AS673" s="83"/>
      <c r="AT673" s="83"/>
    </row>
    <row r="674" spans="36:46" x14ac:dyDescent="0.3">
      <c r="AJ674" s="83"/>
      <c r="AK674" s="83"/>
      <c r="AL674" s="83"/>
      <c r="AM674" s="83"/>
      <c r="AN674" s="83"/>
      <c r="AO674" s="83"/>
      <c r="AP674" s="83"/>
      <c r="AQ674" s="83"/>
      <c r="AR674" s="83"/>
      <c r="AS674" s="83"/>
      <c r="AT674" s="83"/>
    </row>
    <row r="675" spans="36:46" x14ac:dyDescent="0.3">
      <c r="AJ675" s="83"/>
      <c r="AK675" s="83"/>
      <c r="AL675" s="83"/>
      <c r="AM675" s="83"/>
      <c r="AN675" s="83"/>
      <c r="AO675" s="83"/>
      <c r="AP675" s="83"/>
      <c r="AQ675" s="83"/>
      <c r="AR675" s="83"/>
      <c r="AS675" s="83"/>
      <c r="AT675" s="83"/>
    </row>
    <row r="676" spans="36:46" x14ac:dyDescent="0.3">
      <c r="AJ676" s="83"/>
      <c r="AK676" s="83"/>
      <c r="AL676" s="83"/>
      <c r="AM676" s="83"/>
      <c r="AN676" s="83"/>
      <c r="AO676" s="83"/>
      <c r="AP676" s="83"/>
      <c r="AQ676" s="83"/>
      <c r="AR676" s="83"/>
      <c r="AS676" s="83"/>
      <c r="AT676" s="83"/>
    </row>
    <row r="677" spans="36:46" x14ac:dyDescent="0.3">
      <c r="AJ677" s="83"/>
      <c r="AK677" s="83"/>
      <c r="AL677" s="83"/>
      <c r="AM677" s="83"/>
      <c r="AN677" s="83"/>
      <c r="AO677" s="83"/>
      <c r="AP677" s="83"/>
      <c r="AQ677" s="83"/>
      <c r="AR677" s="83"/>
      <c r="AS677" s="83"/>
      <c r="AT677" s="83"/>
    </row>
    <row r="678" spans="36:46" x14ac:dyDescent="0.3">
      <c r="AJ678" s="83"/>
      <c r="AK678" s="83"/>
      <c r="AL678" s="83"/>
      <c r="AM678" s="83"/>
      <c r="AN678" s="83"/>
      <c r="AO678" s="83"/>
      <c r="AP678" s="83"/>
      <c r="AQ678" s="83"/>
      <c r="AR678" s="83"/>
      <c r="AS678" s="83"/>
      <c r="AT678" s="83"/>
    </row>
    <row r="679" spans="36:46" x14ac:dyDescent="0.3">
      <c r="AJ679" s="83"/>
      <c r="AK679" s="83"/>
      <c r="AL679" s="83"/>
      <c r="AM679" s="83"/>
      <c r="AN679" s="83"/>
      <c r="AO679" s="83"/>
      <c r="AP679" s="83"/>
      <c r="AQ679" s="83"/>
      <c r="AR679" s="83"/>
      <c r="AS679" s="83"/>
      <c r="AT679" s="83"/>
    </row>
    <row r="680" spans="36:46" x14ac:dyDescent="0.3">
      <c r="AJ680" s="83"/>
      <c r="AK680" s="83"/>
      <c r="AL680" s="83"/>
      <c r="AM680" s="83"/>
      <c r="AN680" s="83"/>
      <c r="AO680" s="83"/>
      <c r="AP680" s="83"/>
      <c r="AQ680" s="83"/>
      <c r="AR680" s="83"/>
      <c r="AS680" s="83"/>
      <c r="AT680" s="83"/>
    </row>
    <row r="681" spans="36:46" x14ac:dyDescent="0.3">
      <c r="AJ681" s="83"/>
      <c r="AK681" s="83"/>
      <c r="AL681" s="83"/>
      <c r="AM681" s="83"/>
      <c r="AN681" s="83"/>
      <c r="AO681" s="83"/>
      <c r="AP681" s="83"/>
      <c r="AQ681" s="83"/>
      <c r="AR681" s="83"/>
      <c r="AS681" s="83"/>
      <c r="AT681" s="83"/>
    </row>
    <row r="682" spans="36:46" x14ac:dyDescent="0.3">
      <c r="AJ682" s="83"/>
      <c r="AK682" s="83"/>
      <c r="AL682" s="83"/>
      <c r="AM682" s="83"/>
      <c r="AN682" s="83"/>
      <c r="AO682" s="83"/>
      <c r="AP682" s="83"/>
      <c r="AQ682" s="83"/>
      <c r="AR682" s="83"/>
      <c r="AS682" s="83"/>
      <c r="AT682" s="83"/>
    </row>
    <row r="683" spans="36:46" x14ac:dyDescent="0.3">
      <c r="AJ683" s="83"/>
      <c r="AK683" s="83"/>
      <c r="AL683" s="83"/>
      <c r="AM683" s="83"/>
      <c r="AN683" s="83"/>
      <c r="AO683" s="83"/>
      <c r="AP683" s="83"/>
      <c r="AQ683" s="83"/>
      <c r="AR683" s="83"/>
      <c r="AS683" s="83"/>
      <c r="AT683" s="83"/>
    </row>
    <row r="684" spans="36:46" x14ac:dyDescent="0.3">
      <c r="AJ684" s="83"/>
      <c r="AK684" s="83"/>
      <c r="AL684" s="83"/>
      <c r="AM684" s="83"/>
      <c r="AN684" s="83"/>
      <c r="AO684" s="83"/>
      <c r="AP684" s="83"/>
      <c r="AQ684" s="83"/>
      <c r="AR684" s="83"/>
      <c r="AS684" s="83"/>
      <c r="AT684" s="83"/>
    </row>
    <row r="685" spans="36:46" x14ac:dyDescent="0.3">
      <c r="AJ685" s="83"/>
      <c r="AK685" s="83"/>
      <c r="AL685" s="83"/>
      <c r="AM685" s="83"/>
      <c r="AN685" s="83"/>
      <c r="AO685" s="83"/>
      <c r="AP685" s="83"/>
      <c r="AQ685" s="83"/>
      <c r="AR685" s="83"/>
      <c r="AS685" s="83"/>
      <c r="AT685" s="83"/>
    </row>
    <row r="686" spans="36:46" x14ac:dyDescent="0.3">
      <c r="AJ686" s="83"/>
      <c r="AK686" s="83"/>
      <c r="AL686" s="83"/>
      <c r="AM686" s="83"/>
      <c r="AN686" s="83"/>
      <c r="AO686" s="83"/>
      <c r="AP686" s="83"/>
      <c r="AQ686" s="83"/>
      <c r="AR686" s="83"/>
      <c r="AS686" s="83"/>
      <c r="AT686" s="83"/>
    </row>
    <row r="687" spans="36:46" x14ac:dyDescent="0.3">
      <c r="AJ687" s="83"/>
      <c r="AK687" s="83"/>
      <c r="AL687" s="83"/>
      <c r="AM687" s="83"/>
      <c r="AN687" s="83"/>
      <c r="AO687" s="83"/>
      <c r="AP687" s="83"/>
      <c r="AQ687" s="83"/>
      <c r="AR687" s="83"/>
      <c r="AS687" s="83"/>
      <c r="AT687" s="83"/>
    </row>
    <row r="688" spans="36:46" x14ac:dyDescent="0.3">
      <c r="AJ688" s="83"/>
      <c r="AK688" s="83"/>
      <c r="AL688" s="83"/>
      <c r="AM688" s="83"/>
      <c r="AN688" s="83"/>
      <c r="AO688" s="83"/>
      <c r="AP688" s="83"/>
      <c r="AQ688" s="83"/>
      <c r="AR688" s="83"/>
      <c r="AS688" s="83"/>
      <c r="AT688" s="83"/>
    </row>
    <row r="689" spans="36:46" x14ac:dyDescent="0.3">
      <c r="AJ689" s="83"/>
      <c r="AK689" s="83"/>
      <c r="AL689" s="83"/>
      <c r="AM689" s="83"/>
      <c r="AN689" s="83"/>
      <c r="AO689" s="83"/>
      <c r="AP689" s="83"/>
      <c r="AQ689" s="83"/>
      <c r="AR689" s="83"/>
      <c r="AS689" s="83"/>
      <c r="AT689" s="83"/>
    </row>
    <row r="690" spans="36:46" x14ac:dyDescent="0.3">
      <c r="AJ690" s="83"/>
      <c r="AK690" s="83"/>
      <c r="AL690" s="83"/>
      <c r="AM690" s="83"/>
      <c r="AN690" s="83"/>
      <c r="AO690" s="83"/>
      <c r="AP690" s="83"/>
      <c r="AQ690" s="83"/>
      <c r="AR690" s="83"/>
      <c r="AS690" s="83"/>
      <c r="AT690" s="83"/>
    </row>
    <row r="691" spans="36:46" x14ac:dyDescent="0.3">
      <c r="AJ691" s="83"/>
      <c r="AK691" s="83"/>
      <c r="AL691" s="83"/>
      <c r="AM691" s="83"/>
      <c r="AN691" s="83"/>
      <c r="AO691" s="83"/>
      <c r="AP691" s="83"/>
      <c r="AQ691" s="83"/>
      <c r="AR691" s="83"/>
      <c r="AS691" s="83"/>
      <c r="AT691" s="83"/>
    </row>
    <row r="692" spans="36:46" x14ac:dyDescent="0.3">
      <c r="AJ692" s="83"/>
      <c r="AK692" s="83"/>
      <c r="AL692" s="83"/>
      <c r="AM692" s="83"/>
      <c r="AN692" s="83"/>
      <c r="AO692" s="83"/>
      <c r="AP692" s="83"/>
      <c r="AQ692" s="83"/>
      <c r="AR692" s="83"/>
      <c r="AS692" s="83"/>
      <c r="AT692" s="83"/>
    </row>
    <row r="693" spans="36:46" x14ac:dyDescent="0.3">
      <c r="AJ693" s="83"/>
      <c r="AK693" s="83"/>
      <c r="AL693" s="83"/>
      <c r="AM693" s="83"/>
      <c r="AN693" s="83"/>
      <c r="AO693" s="83"/>
      <c r="AP693" s="83"/>
      <c r="AQ693" s="83"/>
      <c r="AR693" s="83"/>
      <c r="AS693" s="83"/>
      <c r="AT693" s="83"/>
    </row>
    <row r="694" spans="36:46" x14ac:dyDescent="0.3">
      <c r="AJ694" s="83"/>
      <c r="AK694" s="83"/>
      <c r="AL694" s="83"/>
      <c r="AM694" s="83"/>
      <c r="AN694" s="83"/>
      <c r="AO694" s="83"/>
      <c r="AP694" s="83"/>
      <c r="AQ694" s="83"/>
      <c r="AR694" s="83"/>
      <c r="AS694" s="83"/>
      <c r="AT694" s="83"/>
    </row>
    <row r="695" spans="36:46" x14ac:dyDescent="0.3">
      <c r="AJ695" s="83"/>
      <c r="AK695" s="83"/>
      <c r="AL695" s="83"/>
      <c r="AM695" s="83"/>
      <c r="AN695" s="83"/>
      <c r="AO695" s="83"/>
      <c r="AP695" s="83"/>
      <c r="AQ695" s="83"/>
      <c r="AR695" s="83"/>
      <c r="AS695" s="83"/>
      <c r="AT695" s="83"/>
    </row>
    <row r="696" spans="36:46" x14ac:dyDescent="0.3">
      <c r="AJ696" s="83"/>
      <c r="AK696" s="83"/>
      <c r="AL696" s="83"/>
      <c r="AM696" s="83"/>
      <c r="AN696" s="83"/>
      <c r="AO696" s="83"/>
      <c r="AP696" s="83"/>
      <c r="AQ696" s="83"/>
      <c r="AR696" s="83"/>
      <c r="AS696" s="83"/>
      <c r="AT696" s="83"/>
    </row>
    <row r="697" spans="36:46" x14ac:dyDescent="0.3">
      <c r="AJ697" s="83"/>
      <c r="AK697" s="83"/>
      <c r="AL697" s="83"/>
      <c r="AM697" s="83"/>
      <c r="AN697" s="83"/>
      <c r="AO697" s="83"/>
      <c r="AP697" s="83"/>
      <c r="AQ697" s="83"/>
      <c r="AR697" s="83"/>
      <c r="AS697" s="83"/>
      <c r="AT697" s="83"/>
    </row>
    <row r="698" spans="36:46" x14ac:dyDescent="0.3">
      <c r="AJ698" s="83"/>
      <c r="AK698" s="83"/>
      <c r="AL698" s="83"/>
      <c r="AM698" s="83"/>
      <c r="AN698" s="83"/>
      <c r="AO698" s="83"/>
      <c r="AP698" s="83"/>
      <c r="AQ698" s="83"/>
      <c r="AR698" s="83"/>
      <c r="AS698" s="83"/>
      <c r="AT698" s="83"/>
    </row>
    <row r="699" spans="36:46" x14ac:dyDescent="0.3">
      <c r="AJ699" s="83"/>
      <c r="AK699" s="83"/>
      <c r="AL699" s="83"/>
      <c r="AM699" s="83"/>
      <c r="AN699" s="83"/>
      <c r="AO699" s="83"/>
      <c r="AP699" s="83"/>
      <c r="AQ699" s="83"/>
      <c r="AR699" s="83"/>
      <c r="AS699" s="83"/>
      <c r="AT699" s="83"/>
    </row>
    <row r="700" spans="36:46" x14ac:dyDescent="0.3">
      <c r="AJ700" s="83"/>
      <c r="AK700" s="83"/>
      <c r="AL700" s="83"/>
      <c r="AM700" s="83"/>
      <c r="AN700" s="83"/>
      <c r="AO700" s="83"/>
      <c r="AP700" s="83"/>
      <c r="AQ700" s="83"/>
      <c r="AR700" s="83"/>
      <c r="AS700" s="83"/>
      <c r="AT700" s="83"/>
    </row>
    <row r="701" spans="36:46" x14ac:dyDescent="0.3">
      <c r="AJ701" s="83"/>
      <c r="AK701" s="83"/>
      <c r="AL701" s="83"/>
      <c r="AM701" s="83"/>
      <c r="AN701" s="83"/>
      <c r="AO701" s="83"/>
      <c r="AP701" s="83"/>
      <c r="AQ701" s="83"/>
      <c r="AR701" s="83"/>
      <c r="AS701" s="83"/>
      <c r="AT701" s="83"/>
    </row>
    <row r="702" spans="36:46" x14ac:dyDescent="0.3">
      <c r="AJ702" s="83"/>
      <c r="AK702" s="83"/>
      <c r="AL702" s="83"/>
      <c r="AM702" s="83"/>
      <c r="AN702" s="83"/>
      <c r="AO702" s="83"/>
      <c r="AP702" s="83"/>
      <c r="AQ702" s="83"/>
      <c r="AR702" s="83"/>
      <c r="AS702" s="83"/>
      <c r="AT702" s="83"/>
    </row>
    <row r="703" spans="36:46" x14ac:dyDescent="0.3">
      <c r="AJ703" s="83"/>
      <c r="AK703" s="83"/>
      <c r="AL703" s="83"/>
      <c r="AM703" s="83"/>
      <c r="AN703" s="83"/>
      <c r="AO703" s="83"/>
      <c r="AP703" s="83"/>
      <c r="AQ703" s="83"/>
      <c r="AR703" s="83"/>
      <c r="AS703" s="83"/>
      <c r="AT703" s="83"/>
    </row>
    <row r="704" spans="36:46" x14ac:dyDescent="0.3">
      <c r="AJ704" s="83"/>
      <c r="AK704" s="83"/>
      <c r="AL704" s="83"/>
      <c r="AM704" s="83"/>
      <c r="AN704" s="83"/>
      <c r="AO704" s="83"/>
      <c r="AP704" s="83"/>
      <c r="AQ704" s="83"/>
      <c r="AR704" s="83"/>
      <c r="AS704" s="83"/>
      <c r="AT704" s="83"/>
    </row>
    <row r="705" spans="36:46" x14ac:dyDescent="0.3">
      <c r="AJ705" s="83"/>
      <c r="AK705" s="83"/>
      <c r="AL705" s="83"/>
      <c r="AM705" s="83"/>
      <c r="AN705" s="83"/>
      <c r="AO705" s="83"/>
      <c r="AP705" s="83"/>
      <c r="AQ705" s="83"/>
      <c r="AR705" s="83"/>
      <c r="AS705" s="83"/>
      <c r="AT705" s="83"/>
    </row>
    <row r="706" spans="36:46" x14ac:dyDescent="0.3">
      <c r="AJ706" s="83"/>
      <c r="AK706" s="83"/>
      <c r="AL706" s="83"/>
      <c r="AM706" s="83"/>
      <c r="AN706" s="83"/>
      <c r="AO706" s="83"/>
      <c r="AP706" s="83"/>
      <c r="AQ706" s="83"/>
      <c r="AR706" s="83"/>
      <c r="AS706" s="83"/>
      <c r="AT706" s="83"/>
    </row>
    <row r="707" spans="36:46" x14ac:dyDescent="0.3">
      <c r="AJ707" s="83"/>
      <c r="AK707" s="83"/>
      <c r="AL707" s="83"/>
      <c r="AM707" s="83"/>
      <c r="AN707" s="83"/>
      <c r="AO707" s="83"/>
      <c r="AP707" s="83"/>
      <c r="AQ707" s="83"/>
      <c r="AR707" s="83"/>
      <c r="AS707" s="83"/>
      <c r="AT707" s="83"/>
    </row>
    <row r="708" spans="36:46" x14ac:dyDescent="0.3">
      <c r="AJ708" s="83"/>
      <c r="AK708" s="83"/>
      <c r="AL708" s="83"/>
      <c r="AM708" s="83"/>
      <c r="AN708" s="83"/>
      <c r="AO708" s="83"/>
      <c r="AP708" s="83"/>
      <c r="AQ708" s="83"/>
      <c r="AR708" s="83"/>
      <c r="AS708" s="83"/>
      <c r="AT708" s="83"/>
    </row>
    <row r="709" spans="36:46" x14ac:dyDescent="0.3">
      <c r="AJ709" s="83"/>
      <c r="AK709" s="83"/>
      <c r="AL709" s="83"/>
      <c r="AM709" s="83"/>
      <c r="AN709" s="83"/>
      <c r="AO709" s="83"/>
      <c r="AP709" s="83"/>
      <c r="AQ709" s="83"/>
      <c r="AR709" s="83"/>
      <c r="AS709" s="83"/>
      <c r="AT709" s="83"/>
    </row>
    <row r="710" spans="36:46" x14ac:dyDescent="0.3">
      <c r="AJ710" s="83"/>
      <c r="AK710" s="83"/>
      <c r="AL710" s="83"/>
      <c r="AM710" s="83"/>
      <c r="AN710" s="83"/>
      <c r="AO710" s="83"/>
      <c r="AP710" s="83"/>
      <c r="AQ710" s="83"/>
      <c r="AR710" s="83"/>
      <c r="AS710" s="83"/>
      <c r="AT710" s="83"/>
    </row>
    <row r="711" spans="36:46" x14ac:dyDescent="0.3">
      <c r="AJ711" s="83"/>
      <c r="AK711" s="83"/>
      <c r="AL711" s="83"/>
      <c r="AM711" s="83"/>
      <c r="AN711" s="83"/>
      <c r="AO711" s="83"/>
      <c r="AP711" s="83"/>
      <c r="AQ711" s="83"/>
      <c r="AR711" s="83"/>
      <c r="AS711" s="83"/>
      <c r="AT711" s="83"/>
    </row>
    <row r="712" spans="36:46" x14ac:dyDescent="0.3">
      <c r="AJ712" s="83"/>
      <c r="AK712" s="83"/>
      <c r="AL712" s="83"/>
      <c r="AM712" s="83"/>
      <c r="AN712" s="83"/>
      <c r="AO712" s="83"/>
      <c r="AP712" s="83"/>
      <c r="AQ712" s="83"/>
      <c r="AR712" s="83"/>
      <c r="AS712" s="83"/>
      <c r="AT712" s="83"/>
    </row>
    <row r="713" spans="36:46" x14ac:dyDescent="0.3">
      <c r="AJ713" s="83"/>
      <c r="AK713" s="83"/>
      <c r="AL713" s="83"/>
      <c r="AM713" s="83"/>
      <c r="AN713" s="83"/>
      <c r="AO713" s="83"/>
      <c r="AP713" s="83"/>
      <c r="AQ713" s="83"/>
      <c r="AR713" s="83"/>
      <c r="AS713" s="83"/>
      <c r="AT713" s="83"/>
    </row>
    <row r="714" spans="36:46" x14ac:dyDescent="0.3">
      <c r="AJ714" s="83"/>
      <c r="AK714" s="83"/>
      <c r="AL714" s="83"/>
      <c r="AM714" s="83"/>
      <c r="AN714" s="83"/>
      <c r="AO714" s="83"/>
      <c r="AP714" s="83"/>
      <c r="AQ714" s="83"/>
      <c r="AR714" s="83"/>
      <c r="AS714" s="83"/>
      <c r="AT714" s="83"/>
    </row>
    <row r="715" spans="36:46" x14ac:dyDescent="0.3">
      <c r="AJ715" s="83"/>
      <c r="AK715" s="83"/>
      <c r="AL715" s="83"/>
      <c r="AM715" s="83"/>
      <c r="AN715" s="83"/>
      <c r="AO715" s="83"/>
      <c r="AP715" s="83"/>
      <c r="AQ715" s="83"/>
      <c r="AR715" s="83"/>
      <c r="AS715" s="83"/>
      <c r="AT715" s="83"/>
    </row>
    <row r="716" spans="36:46" x14ac:dyDescent="0.3">
      <c r="AJ716" s="83"/>
      <c r="AK716" s="83"/>
      <c r="AL716" s="83"/>
      <c r="AM716" s="83"/>
      <c r="AN716" s="83"/>
      <c r="AO716" s="83"/>
      <c r="AP716" s="83"/>
      <c r="AQ716" s="83"/>
      <c r="AR716" s="83"/>
      <c r="AS716" s="83"/>
      <c r="AT716" s="83"/>
    </row>
    <row r="717" spans="36:46" x14ac:dyDescent="0.3">
      <c r="AJ717" s="83"/>
      <c r="AK717" s="83"/>
      <c r="AL717" s="83"/>
      <c r="AM717" s="83"/>
      <c r="AN717" s="83"/>
      <c r="AO717" s="83"/>
      <c r="AP717" s="83"/>
      <c r="AQ717" s="83"/>
      <c r="AR717" s="83"/>
      <c r="AS717" s="83"/>
      <c r="AT717" s="83"/>
    </row>
    <row r="718" spans="36:46" x14ac:dyDescent="0.3">
      <c r="AJ718" s="83"/>
      <c r="AK718" s="83"/>
      <c r="AL718" s="83"/>
      <c r="AM718" s="83"/>
      <c r="AN718" s="83"/>
      <c r="AO718" s="83"/>
      <c r="AP718" s="83"/>
      <c r="AQ718" s="83"/>
      <c r="AR718" s="83"/>
      <c r="AS718" s="83"/>
      <c r="AT718" s="83"/>
    </row>
    <row r="719" spans="36:46" x14ac:dyDescent="0.3">
      <c r="AJ719" s="83"/>
      <c r="AK719" s="83"/>
      <c r="AL719" s="83"/>
      <c r="AM719" s="83"/>
      <c r="AN719" s="83"/>
      <c r="AO719" s="83"/>
      <c r="AP719" s="83"/>
      <c r="AQ719" s="83"/>
      <c r="AR719" s="83"/>
      <c r="AS719" s="83"/>
      <c r="AT719" s="83"/>
    </row>
    <row r="720" spans="36:46" x14ac:dyDescent="0.3">
      <c r="AJ720" s="83"/>
      <c r="AK720" s="83"/>
      <c r="AL720" s="83"/>
      <c r="AM720" s="83"/>
      <c r="AN720" s="83"/>
      <c r="AO720" s="83"/>
      <c r="AP720" s="83"/>
      <c r="AQ720" s="83"/>
      <c r="AR720" s="83"/>
      <c r="AS720" s="83"/>
      <c r="AT720" s="83"/>
    </row>
    <row r="721" spans="36:46" x14ac:dyDescent="0.3">
      <c r="AJ721" s="83"/>
      <c r="AK721" s="83"/>
      <c r="AL721" s="83"/>
      <c r="AM721" s="83"/>
      <c r="AN721" s="83"/>
      <c r="AO721" s="83"/>
      <c r="AP721" s="83"/>
      <c r="AQ721" s="83"/>
      <c r="AR721" s="83"/>
      <c r="AS721" s="83"/>
      <c r="AT721" s="83"/>
    </row>
    <row r="722" spans="36:46" x14ac:dyDescent="0.3">
      <c r="AJ722" s="83"/>
      <c r="AK722" s="83"/>
      <c r="AL722" s="83"/>
      <c r="AM722" s="83"/>
      <c r="AN722" s="83"/>
      <c r="AO722" s="83"/>
      <c r="AP722" s="83"/>
      <c r="AQ722" s="83"/>
      <c r="AR722" s="83"/>
      <c r="AS722" s="83"/>
      <c r="AT722" s="83"/>
    </row>
    <row r="723" spans="36:46" x14ac:dyDescent="0.3">
      <c r="AJ723" s="83"/>
      <c r="AK723" s="83"/>
      <c r="AL723" s="83"/>
      <c r="AM723" s="83"/>
      <c r="AN723" s="83"/>
      <c r="AO723" s="83"/>
      <c r="AP723" s="83"/>
      <c r="AQ723" s="83"/>
      <c r="AR723" s="83"/>
      <c r="AS723" s="83"/>
      <c r="AT723" s="83"/>
    </row>
    <row r="724" spans="36:46" x14ac:dyDescent="0.3">
      <c r="AJ724" s="83"/>
      <c r="AK724" s="83"/>
      <c r="AL724" s="83"/>
      <c r="AM724" s="83"/>
      <c r="AN724" s="83"/>
      <c r="AO724" s="83"/>
      <c r="AP724" s="83"/>
      <c r="AQ724" s="83"/>
      <c r="AR724" s="83"/>
      <c r="AS724" s="83"/>
      <c r="AT724" s="83"/>
    </row>
    <row r="725" spans="36:46" x14ac:dyDescent="0.3">
      <c r="AJ725" s="83"/>
      <c r="AK725" s="83"/>
      <c r="AL725" s="83"/>
      <c r="AM725" s="83"/>
      <c r="AN725" s="83"/>
      <c r="AO725" s="83"/>
      <c r="AP725" s="83"/>
      <c r="AQ725" s="83"/>
      <c r="AR725" s="83"/>
      <c r="AS725" s="83"/>
      <c r="AT725" s="83"/>
    </row>
    <row r="726" spans="36:46" x14ac:dyDescent="0.3">
      <c r="AJ726" s="83"/>
      <c r="AK726" s="83"/>
      <c r="AL726" s="83"/>
      <c r="AM726" s="83"/>
      <c r="AN726" s="83"/>
      <c r="AO726" s="83"/>
      <c r="AP726" s="83"/>
      <c r="AQ726" s="83"/>
      <c r="AR726" s="83"/>
      <c r="AS726" s="83"/>
      <c r="AT726" s="83"/>
    </row>
    <row r="727" spans="36:46" x14ac:dyDescent="0.3">
      <c r="AJ727" s="83"/>
      <c r="AK727" s="83"/>
      <c r="AL727" s="83"/>
      <c r="AM727" s="83"/>
      <c r="AN727" s="83"/>
      <c r="AO727" s="83"/>
      <c r="AP727" s="83"/>
      <c r="AQ727" s="83"/>
      <c r="AR727" s="83"/>
      <c r="AS727" s="83"/>
      <c r="AT727" s="83"/>
    </row>
    <row r="728" spans="36:46" x14ac:dyDescent="0.3">
      <c r="AJ728" s="83"/>
      <c r="AK728" s="83"/>
      <c r="AL728" s="83"/>
      <c r="AM728" s="83"/>
      <c r="AN728" s="83"/>
      <c r="AO728" s="83"/>
      <c r="AP728" s="83"/>
      <c r="AQ728" s="83"/>
      <c r="AR728" s="83"/>
      <c r="AS728" s="83"/>
      <c r="AT728" s="83"/>
    </row>
    <row r="729" spans="36:46" x14ac:dyDescent="0.3">
      <c r="AJ729" s="83"/>
      <c r="AK729" s="83"/>
      <c r="AL729" s="83"/>
      <c r="AM729" s="83"/>
      <c r="AN729" s="83"/>
      <c r="AO729" s="83"/>
      <c r="AP729" s="83"/>
      <c r="AQ729" s="83"/>
      <c r="AR729" s="83"/>
      <c r="AS729" s="83"/>
      <c r="AT729" s="83"/>
    </row>
    <row r="730" spans="36:46" x14ac:dyDescent="0.3">
      <c r="AJ730" s="83"/>
      <c r="AK730" s="83"/>
      <c r="AL730" s="83"/>
      <c r="AM730" s="83"/>
      <c r="AN730" s="83"/>
      <c r="AO730" s="83"/>
      <c r="AP730" s="83"/>
      <c r="AQ730" s="83"/>
      <c r="AR730" s="83"/>
      <c r="AS730" s="83"/>
      <c r="AT730" s="83"/>
    </row>
    <row r="731" spans="36:46" x14ac:dyDescent="0.3">
      <c r="AJ731" s="83"/>
      <c r="AK731" s="83"/>
      <c r="AL731" s="83"/>
      <c r="AM731" s="83"/>
      <c r="AN731" s="83"/>
      <c r="AO731" s="83"/>
      <c r="AP731" s="83"/>
      <c r="AQ731" s="83"/>
      <c r="AR731" s="83"/>
      <c r="AS731" s="83"/>
      <c r="AT731" s="83"/>
    </row>
    <row r="732" spans="36:46" x14ac:dyDescent="0.3">
      <c r="AJ732" s="83"/>
      <c r="AK732" s="83"/>
      <c r="AL732" s="83"/>
      <c r="AM732" s="83"/>
      <c r="AN732" s="83"/>
      <c r="AO732" s="83"/>
      <c r="AP732" s="83"/>
      <c r="AQ732" s="83"/>
      <c r="AR732" s="83"/>
      <c r="AS732" s="83"/>
      <c r="AT732" s="83"/>
    </row>
    <row r="733" spans="36:46" x14ac:dyDescent="0.3">
      <c r="AJ733" s="83"/>
      <c r="AK733" s="83"/>
      <c r="AL733" s="83"/>
      <c r="AM733" s="83"/>
      <c r="AN733" s="83"/>
      <c r="AO733" s="83"/>
      <c r="AP733" s="83"/>
      <c r="AQ733" s="83"/>
      <c r="AR733" s="83"/>
      <c r="AS733" s="83"/>
      <c r="AT733" s="83"/>
    </row>
    <row r="734" spans="36:46" x14ac:dyDescent="0.3">
      <c r="AJ734" s="83"/>
      <c r="AK734" s="83"/>
      <c r="AL734" s="83"/>
      <c r="AM734" s="83"/>
      <c r="AN734" s="83"/>
      <c r="AO734" s="83"/>
      <c r="AP734" s="83"/>
      <c r="AQ734" s="83"/>
      <c r="AR734" s="83"/>
      <c r="AS734" s="83"/>
      <c r="AT734" s="83"/>
    </row>
    <row r="735" spans="36:46" x14ac:dyDescent="0.3">
      <c r="AJ735" s="83"/>
      <c r="AK735" s="83"/>
      <c r="AL735" s="83"/>
      <c r="AM735" s="83"/>
      <c r="AN735" s="83"/>
      <c r="AO735" s="83"/>
      <c r="AP735" s="83"/>
      <c r="AQ735" s="83"/>
      <c r="AR735" s="83"/>
      <c r="AS735" s="83"/>
      <c r="AT735" s="83"/>
    </row>
    <row r="736" spans="36:46" x14ac:dyDescent="0.3">
      <c r="AJ736" s="83"/>
      <c r="AK736" s="83"/>
      <c r="AL736" s="83"/>
      <c r="AM736" s="83"/>
      <c r="AN736" s="83"/>
      <c r="AO736" s="83"/>
      <c r="AP736" s="83"/>
      <c r="AQ736" s="83"/>
      <c r="AR736" s="83"/>
      <c r="AS736" s="83"/>
      <c r="AT736" s="83"/>
    </row>
    <row r="737" spans="36:46" x14ac:dyDescent="0.3">
      <c r="AJ737" s="83"/>
      <c r="AK737" s="83"/>
      <c r="AL737" s="83"/>
      <c r="AM737" s="83"/>
      <c r="AN737" s="83"/>
      <c r="AO737" s="83"/>
      <c r="AP737" s="83"/>
      <c r="AQ737" s="83"/>
      <c r="AR737" s="83"/>
      <c r="AS737" s="83"/>
      <c r="AT737" s="83"/>
    </row>
    <row r="738" spans="36:46" x14ac:dyDescent="0.3">
      <c r="AJ738" s="83"/>
      <c r="AK738" s="83"/>
      <c r="AL738" s="83"/>
      <c r="AM738" s="83"/>
      <c r="AN738" s="83"/>
      <c r="AO738" s="83"/>
      <c r="AP738" s="83"/>
      <c r="AQ738" s="83"/>
      <c r="AR738" s="83"/>
      <c r="AS738" s="83"/>
      <c r="AT738" s="83"/>
    </row>
    <row r="739" spans="36:46" x14ac:dyDescent="0.3">
      <c r="AJ739" s="83"/>
      <c r="AK739" s="83"/>
      <c r="AL739" s="83"/>
      <c r="AM739" s="83"/>
      <c r="AN739" s="83"/>
      <c r="AO739" s="83"/>
      <c r="AP739" s="83"/>
      <c r="AQ739" s="83"/>
      <c r="AR739" s="83"/>
      <c r="AS739" s="83"/>
      <c r="AT739" s="83"/>
    </row>
    <row r="740" spans="36:46" x14ac:dyDescent="0.3">
      <c r="AJ740" s="83"/>
      <c r="AK740" s="83"/>
      <c r="AL740" s="83"/>
      <c r="AM740" s="83"/>
      <c r="AN740" s="83"/>
      <c r="AO740" s="83"/>
      <c r="AP740" s="83"/>
      <c r="AQ740" s="83"/>
      <c r="AR740" s="83"/>
      <c r="AS740" s="83"/>
      <c r="AT740" s="83"/>
    </row>
    <row r="741" spans="36:46" x14ac:dyDescent="0.3">
      <c r="AJ741" s="83"/>
      <c r="AK741" s="83"/>
      <c r="AL741" s="83"/>
      <c r="AM741" s="83"/>
      <c r="AN741" s="83"/>
      <c r="AO741" s="83"/>
      <c r="AP741" s="83"/>
      <c r="AQ741" s="83"/>
      <c r="AR741" s="83"/>
      <c r="AS741" s="83"/>
      <c r="AT741" s="83"/>
    </row>
    <row r="742" spans="36:46" x14ac:dyDescent="0.3">
      <c r="AJ742" s="83"/>
      <c r="AK742" s="83"/>
      <c r="AL742" s="83"/>
      <c r="AM742" s="83"/>
      <c r="AN742" s="83"/>
      <c r="AO742" s="83"/>
      <c r="AP742" s="83"/>
      <c r="AQ742" s="83"/>
      <c r="AR742" s="83"/>
      <c r="AS742" s="83"/>
      <c r="AT742" s="83"/>
    </row>
    <row r="743" spans="36:46" x14ac:dyDescent="0.3">
      <c r="AJ743" s="83"/>
      <c r="AK743" s="83"/>
      <c r="AL743" s="83"/>
      <c r="AM743" s="83"/>
      <c r="AN743" s="83"/>
      <c r="AO743" s="83"/>
      <c r="AP743" s="83"/>
      <c r="AQ743" s="83"/>
      <c r="AR743" s="83"/>
      <c r="AS743" s="83"/>
      <c r="AT743" s="83"/>
    </row>
    <row r="744" spans="36:46" x14ac:dyDescent="0.3">
      <c r="AJ744" s="83"/>
      <c r="AK744" s="83"/>
      <c r="AL744" s="83"/>
      <c r="AM744" s="83"/>
      <c r="AN744" s="83"/>
      <c r="AO744" s="83"/>
      <c r="AP744" s="83"/>
      <c r="AQ744" s="83"/>
      <c r="AR744" s="83"/>
      <c r="AS744" s="83"/>
      <c r="AT744" s="83"/>
    </row>
    <row r="745" spans="36:46" x14ac:dyDescent="0.3">
      <c r="AJ745" s="83"/>
      <c r="AK745" s="83"/>
      <c r="AL745" s="83"/>
      <c r="AM745" s="83"/>
      <c r="AN745" s="83"/>
      <c r="AO745" s="83"/>
      <c r="AP745" s="83"/>
      <c r="AQ745" s="83"/>
      <c r="AR745" s="83"/>
      <c r="AS745" s="83"/>
      <c r="AT745" s="83"/>
    </row>
    <row r="746" spans="36:46" x14ac:dyDescent="0.3">
      <c r="AJ746" s="83"/>
      <c r="AK746" s="83"/>
      <c r="AL746" s="83"/>
      <c r="AM746" s="83"/>
      <c r="AN746" s="83"/>
      <c r="AO746" s="83"/>
      <c r="AP746" s="83"/>
      <c r="AQ746" s="83"/>
      <c r="AR746" s="83"/>
      <c r="AS746" s="83"/>
      <c r="AT746" s="83"/>
    </row>
    <row r="747" spans="36:46" x14ac:dyDescent="0.3">
      <c r="AJ747" s="83"/>
      <c r="AK747" s="83"/>
      <c r="AL747" s="83"/>
      <c r="AM747" s="83"/>
      <c r="AN747" s="83"/>
      <c r="AO747" s="83"/>
      <c r="AP747" s="83"/>
      <c r="AQ747" s="83"/>
      <c r="AR747" s="83"/>
      <c r="AS747" s="83"/>
      <c r="AT747" s="83"/>
    </row>
    <row r="748" spans="36:46" x14ac:dyDescent="0.3">
      <c r="AJ748" s="83"/>
      <c r="AK748" s="83"/>
      <c r="AL748" s="83"/>
      <c r="AM748" s="83"/>
      <c r="AN748" s="83"/>
      <c r="AO748" s="83"/>
      <c r="AP748" s="83"/>
      <c r="AQ748" s="83"/>
      <c r="AR748" s="83"/>
      <c r="AS748" s="83"/>
      <c r="AT748" s="83"/>
    </row>
    <row r="749" spans="36:46" x14ac:dyDescent="0.3">
      <c r="AJ749" s="83"/>
      <c r="AK749" s="83"/>
      <c r="AL749" s="83"/>
      <c r="AM749" s="83"/>
      <c r="AN749" s="83"/>
      <c r="AO749" s="83"/>
      <c r="AP749" s="83"/>
      <c r="AQ749" s="83"/>
      <c r="AR749" s="83"/>
      <c r="AS749" s="83"/>
      <c r="AT749" s="83"/>
    </row>
    <row r="750" spans="36:46" x14ac:dyDescent="0.3">
      <c r="AJ750" s="83"/>
      <c r="AK750" s="83"/>
      <c r="AL750" s="83"/>
      <c r="AM750" s="83"/>
      <c r="AN750" s="83"/>
      <c r="AO750" s="83"/>
      <c r="AP750" s="83"/>
      <c r="AQ750" s="83"/>
      <c r="AR750" s="83"/>
      <c r="AS750" s="83"/>
      <c r="AT750" s="83"/>
    </row>
    <row r="751" spans="36:46" x14ac:dyDescent="0.3">
      <c r="AJ751" s="83"/>
      <c r="AK751" s="83"/>
      <c r="AL751" s="83"/>
      <c r="AM751" s="83"/>
      <c r="AN751" s="83"/>
      <c r="AO751" s="83"/>
      <c r="AP751" s="83"/>
      <c r="AQ751" s="83"/>
      <c r="AR751" s="83"/>
      <c r="AS751" s="83"/>
      <c r="AT751" s="83"/>
    </row>
    <row r="752" spans="36:46" x14ac:dyDescent="0.3">
      <c r="AJ752" s="83"/>
      <c r="AK752" s="83"/>
      <c r="AL752" s="83"/>
      <c r="AM752" s="83"/>
      <c r="AN752" s="83"/>
      <c r="AO752" s="83"/>
      <c r="AP752" s="83"/>
      <c r="AQ752" s="83"/>
      <c r="AR752" s="83"/>
      <c r="AS752" s="83"/>
      <c r="AT752" s="83"/>
    </row>
    <row r="753" spans="36:46" x14ac:dyDescent="0.3">
      <c r="AJ753" s="83"/>
      <c r="AK753" s="83"/>
      <c r="AL753" s="83"/>
      <c r="AM753" s="83"/>
      <c r="AN753" s="83"/>
      <c r="AO753" s="83"/>
      <c r="AP753" s="83"/>
      <c r="AQ753" s="83"/>
      <c r="AR753" s="83"/>
      <c r="AS753" s="83"/>
      <c r="AT753" s="83"/>
    </row>
    <row r="754" spans="36:46" x14ac:dyDescent="0.3">
      <c r="AJ754" s="83"/>
      <c r="AK754" s="83"/>
      <c r="AL754" s="83"/>
      <c r="AM754" s="83"/>
      <c r="AN754" s="83"/>
      <c r="AO754" s="83"/>
      <c r="AP754" s="83"/>
      <c r="AQ754" s="83"/>
      <c r="AR754" s="83"/>
      <c r="AS754" s="83"/>
      <c r="AT754" s="83"/>
    </row>
    <row r="755" spans="36:46" x14ac:dyDescent="0.3">
      <c r="AJ755" s="83"/>
      <c r="AK755" s="83"/>
      <c r="AL755" s="83"/>
      <c r="AM755" s="83"/>
      <c r="AN755" s="83"/>
      <c r="AO755" s="83"/>
      <c r="AP755" s="83"/>
      <c r="AQ755" s="83"/>
      <c r="AR755" s="83"/>
      <c r="AS755" s="83"/>
      <c r="AT755" s="83"/>
    </row>
    <row r="756" spans="36:46" x14ac:dyDescent="0.3">
      <c r="AJ756" s="83"/>
      <c r="AK756" s="83"/>
      <c r="AL756" s="83"/>
      <c r="AM756" s="83"/>
      <c r="AN756" s="83"/>
      <c r="AO756" s="83"/>
      <c r="AP756" s="83"/>
      <c r="AQ756" s="83"/>
      <c r="AR756" s="83"/>
      <c r="AS756" s="83"/>
      <c r="AT756" s="83"/>
    </row>
    <row r="757" spans="36:46" x14ac:dyDescent="0.3">
      <c r="AJ757" s="83"/>
      <c r="AK757" s="83"/>
      <c r="AL757" s="83"/>
      <c r="AM757" s="83"/>
      <c r="AN757" s="83"/>
      <c r="AO757" s="83"/>
      <c r="AP757" s="83"/>
      <c r="AQ757" s="83"/>
      <c r="AR757" s="83"/>
      <c r="AS757" s="83"/>
      <c r="AT757" s="83"/>
    </row>
    <row r="758" spans="36:46" x14ac:dyDescent="0.3">
      <c r="AJ758" s="83"/>
      <c r="AK758" s="83"/>
      <c r="AL758" s="83"/>
      <c r="AM758" s="83"/>
      <c r="AN758" s="83"/>
      <c r="AO758" s="83"/>
      <c r="AP758" s="83"/>
      <c r="AQ758" s="83"/>
      <c r="AR758" s="83"/>
      <c r="AS758" s="83"/>
      <c r="AT758" s="83"/>
    </row>
    <row r="759" spans="36:46" x14ac:dyDescent="0.3">
      <c r="AJ759" s="83"/>
      <c r="AK759" s="83"/>
      <c r="AL759" s="83"/>
      <c r="AM759" s="83"/>
      <c r="AN759" s="83"/>
      <c r="AO759" s="83"/>
      <c r="AP759" s="83"/>
      <c r="AQ759" s="83"/>
      <c r="AR759" s="83"/>
      <c r="AS759" s="83"/>
      <c r="AT759" s="83"/>
    </row>
    <row r="760" spans="36:46" x14ac:dyDescent="0.3">
      <c r="AJ760" s="83"/>
      <c r="AK760" s="83"/>
      <c r="AL760" s="83"/>
      <c r="AM760" s="83"/>
      <c r="AN760" s="83"/>
      <c r="AO760" s="83"/>
      <c r="AP760" s="83"/>
      <c r="AQ760" s="83"/>
      <c r="AR760" s="83"/>
      <c r="AS760" s="83"/>
      <c r="AT760" s="83"/>
    </row>
    <row r="761" spans="36:46" x14ac:dyDescent="0.3">
      <c r="AJ761" s="83"/>
      <c r="AK761" s="83"/>
      <c r="AL761" s="83"/>
      <c r="AM761" s="83"/>
      <c r="AN761" s="83"/>
      <c r="AO761" s="83"/>
      <c r="AP761" s="83"/>
      <c r="AQ761" s="83"/>
      <c r="AR761" s="83"/>
      <c r="AS761" s="83"/>
      <c r="AT761" s="83"/>
    </row>
    <row r="762" spans="36:46" x14ac:dyDescent="0.3">
      <c r="AJ762" s="83"/>
      <c r="AK762" s="83"/>
      <c r="AL762" s="83"/>
      <c r="AM762" s="83"/>
      <c r="AN762" s="83"/>
      <c r="AO762" s="83"/>
      <c r="AP762" s="83"/>
      <c r="AQ762" s="83"/>
      <c r="AR762" s="83"/>
      <c r="AS762" s="83"/>
      <c r="AT762" s="83"/>
    </row>
    <row r="763" spans="36:46" x14ac:dyDescent="0.3">
      <c r="AJ763" s="83"/>
      <c r="AK763" s="83"/>
      <c r="AL763" s="83"/>
      <c r="AM763" s="83"/>
      <c r="AN763" s="83"/>
      <c r="AO763" s="83"/>
      <c r="AP763" s="83"/>
      <c r="AQ763" s="83"/>
      <c r="AR763" s="83"/>
      <c r="AS763" s="83"/>
      <c r="AT763" s="83"/>
    </row>
    <row r="764" spans="36:46" x14ac:dyDescent="0.3">
      <c r="AJ764" s="83"/>
      <c r="AK764" s="83"/>
      <c r="AL764" s="83"/>
      <c r="AM764" s="83"/>
      <c r="AN764" s="83"/>
      <c r="AO764" s="83"/>
      <c r="AP764" s="83"/>
      <c r="AQ764" s="83"/>
      <c r="AR764" s="83"/>
      <c r="AS764" s="83"/>
      <c r="AT764" s="83"/>
    </row>
    <row r="765" spans="36:46" x14ac:dyDescent="0.3">
      <c r="AJ765" s="83"/>
      <c r="AK765" s="83"/>
      <c r="AL765" s="83"/>
      <c r="AM765" s="83"/>
      <c r="AN765" s="83"/>
      <c r="AO765" s="83"/>
      <c r="AP765" s="83"/>
      <c r="AQ765" s="83"/>
      <c r="AR765" s="83"/>
      <c r="AS765" s="83"/>
      <c r="AT765" s="83"/>
    </row>
    <row r="766" spans="36:46" x14ac:dyDescent="0.3">
      <c r="AJ766" s="83"/>
      <c r="AK766" s="83"/>
      <c r="AL766" s="83"/>
      <c r="AM766" s="83"/>
      <c r="AN766" s="83"/>
      <c r="AO766" s="83"/>
      <c r="AP766" s="83"/>
      <c r="AQ766" s="83"/>
      <c r="AR766" s="83"/>
      <c r="AS766" s="83"/>
      <c r="AT766" s="83"/>
    </row>
    <row r="767" spans="36:46" x14ac:dyDescent="0.3">
      <c r="AJ767" s="83"/>
      <c r="AK767" s="83"/>
      <c r="AL767" s="83"/>
      <c r="AM767" s="83"/>
      <c r="AN767" s="83"/>
      <c r="AO767" s="83"/>
      <c r="AP767" s="83"/>
      <c r="AQ767" s="83"/>
      <c r="AR767" s="83"/>
      <c r="AS767" s="83"/>
      <c r="AT767" s="83"/>
    </row>
    <row r="768" spans="36:46" x14ac:dyDescent="0.3">
      <c r="AJ768" s="83"/>
      <c r="AK768" s="83"/>
      <c r="AL768" s="83"/>
      <c r="AM768" s="83"/>
      <c r="AN768" s="83"/>
      <c r="AO768" s="83"/>
      <c r="AP768" s="83"/>
      <c r="AQ768" s="83"/>
      <c r="AR768" s="83"/>
      <c r="AS768" s="83"/>
      <c r="AT768" s="83"/>
    </row>
    <row r="769" spans="36:46" x14ac:dyDescent="0.3">
      <c r="AJ769" s="83"/>
      <c r="AK769" s="83"/>
      <c r="AL769" s="83"/>
      <c r="AM769" s="83"/>
      <c r="AN769" s="83"/>
      <c r="AO769" s="83"/>
      <c r="AP769" s="83"/>
      <c r="AQ769" s="83"/>
      <c r="AR769" s="83"/>
      <c r="AS769" s="83"/>
      <c r="AT769" s="83"/>
    </row>
    <row r="770" spans="36:46" x14ac:dyDescent="0.3">
      <c r="AJ770" s="83"/>
      <c r="AK770" s="83"/>
      <c r="AL770" s="83"/>
      <c r="AM770" s="83"/>
      <c r="AN770" s="83"/>
      <c r="AO770" s="83"/>
      <c r="AP770" s="83"/>
      <c r="AQ770" s="83"/>
      <c r="AR770" s="83"/>
      <c r="AS770" s="83"/>
      <c r="AT770" s="83"/>
    </row>
    <row r="771" spans="36:46" x14ac:dyDescent="0.3">
      <c r="AJ771" s="83"/>
      <c r="AK771" s="83"/>
      <c r="AL771" s="83"/>
      <c r="AM771" s="83"/>
      <c r="AN771" s="83"/>
      <c r="AO771" s="83"/>
      <c r="AP771" s="83"/>
      <c r="AQ771" s="83"/>
      <c r="AR771" s="83"/>
      <c r="AS771" s="83"/>
      <c r="AT771" s="83"/>
    </row>
    <row r="772" spans="36:46" x14ac:dyDescent="0.3">
      <c r="AJ772" s="83"/>
      <c r="AK772" s="83"/>
      <c r="AL772" s="83"/>
      <c r="AM772" s="83"/>
      <c r="AN772" s="83"/>
      <c r="AO772" s="83"/>
      <c r="AP772" s="83"/>
      <c r="AQ772" s="83"/>
      <c r="AR772" s="83"/>
      <c r="AS772" s="83"/>
      <c r="AT772" s="83"/>
    </row>
    <row r="773" spans="36:46" x14ac:dyDescent="0.3">
      <c r="AJ773" s="83"/>
      <c r="AK773" s="83"/>
      <c r="AL773" s="83"/>
      <c r="AM773" s="83"/>
      <c r="AN773" s="83"/>
      <c r="AO773" s="83"/>
      <c r="AP773" s="83"/>
      <c r="AQ773" s="83"/>
      <c r="AR773" s="83"/>
      <c r="AS773" s="83"/>
      <c r="AT773" s="83"/>
    </row>
    <row r="774" spans="36:46" x14ac:dyDescent="0.3">
      <c r="AJ774" s="83"/>
      <c r="AK774" s="83"/>
      <c r="AL774" s="83"/>
      <c r="AM774" s="83"/>
      <c r="AN774" s="83"/>
      <c r="AO774" s="83"/>
      <c r="AP774" s="83"/>
      <c r="AQ774" s="83"/>
      <c r="AR774" s="83"/>
      <c r="AS774" s="83"/>
      <c r="AT774" s="83"/>
    </row>
    <row r="775" spans="36:46" x14ac:dyDescent="0.3">
      <c r="AJ775" s="83"/>
      <c r="AK775" s="83"/>
      <c r="AL775" s="83"/>
      <c r="AM775" s="83"/>
      <c r="AN775" s="83"/>
      <c r="AO775" s="83"/>
      <c r="AP775" s="83"/>
      <c r="AQ775" s="83"/>
      <c r="AR775" s="83"/>
      <c r="AS775" s="83"/>
      <c r="AT775" s="83"/>
    </row>
    <row r="776" spans="36:46" x14ac:dyDescent="0.3">
      <c r="AJ776" s="83"/>
      <c r="AK776" s="83"/>
      <c r="AL776" s="83"/>
      <c r="AM776" s="83"/>
      <c r="AN776" s="83"/>
      <c r="AO776" s="83"/>
      <c r="AP776" s="83"/>
      <c r="AQ776" s="83"/>
      <c r="AR776" s="83"/>
      <c r="AS776" s="83"/>
      <c r="AT776" s="83"/>
    </row>
    <row r="777" spans="36:46" x14ac:dyDescent="0.3">
      <c r="AJ777" s="83"/>
      <c r="AK777" s="83"/>
      <c r="AL777" s="83"/>
      <c r="AM777" s="83"/>
      <c r="AN777" s="83"/>
      <c r="AO777" s="83"/>
      <c r="AP777" s="83"/>
      <c r="AQ777" s="83"/>
      <c r="AR777" s="83"/>
      <c r="AS777" s="83"/>
      <c r="AT777" s="83"/>
    </row>
    <row r="778" spans="36:46" x14ac:dyDescent="0.3">
      <c r="AJ778" s="83"/>
      <c r="AK778" s="83"/>
      <c r="AL778" s="83"/>
      <c r="AM778" s="83"/>
      <c r="AN778" s="83"/>
      <c r="AO778" s="83"/>
      <c r="AP778" s="83"/>
      <c r="AQ778" s="83"/>
      <c r="AR778" s="83"/>
      <c r="AS778" s="83"/>
      <c r="AT778" s="83"/>
    </row>
    <row r="779" spans="36:46" x14ac:dyDescent="0.3">
      <c r="AJ779" s="83"/>
      <c r="AK779" s="83"/>
      <c r="AL779" s="83"/>
      <c r="AM779" s="83"/>
      <c r="AN779" s="83"/>
      <c r="AO779" s="83"/>
      <c r="AP779" s="83"/>
      <c r="AQ779" s="83"/>
      <c r="AR779" s="83"/>
      <c r="AS779" s="83"/>
      <c r="AT779" s="83"/>
    </row>
    <row r="780" spans="36:46" x14ac:dyDescent="0.3">
      <c r="AJ780" s="83"/>
      <c r="AK780" s="83"/>
      <c r="AL780" s="83"/>
      <c r="AM780" s="83"/>
      <c r="AN780" s="83"/>
      <c r="AO780" s="83"/>
      <c r="AP780" s="83"/>
      <c r="AQ780" s="83"/>
      <c r="AR780" s="83"/>
      <c r="AS780" s="83"/>
      <c r="AT780" s="83"/>
    </row>
    <row r="781" spans="36:46" x14ac:dyDescent="0.3">
      <c r="AJ781" s="83"/>
      <c r="AK781" s="83"/>
      <c r="AL781" s="83"/>
      <c r="AM781" s="83"/>
      <c r="AN781" s="83"/>
      <c r="AO781" s="83"/>
      <c r="AP781" s="83"/>
      <c r="AQ781" s="83"/>
      <c r="AR781" s="83"/>
      <c r="AS781" s="83"/>
      <c r="AT781" s="83"/>
    </row>
    <row r="782" spans="36:46" x14ac:dyDescent="0.3">
      <c r="AJ782" s="83"/>
      <c r="AK782" s="83"/>
      <c r="AL782" s="83"/>
      <c r="AM782" s="83"/>
      <c r="AN782" s="83"/>
      <c r="AO782" s="83"/>
      <c r="AP782" s="83"/>
      <c r="AQ782" s="83"/>
      <c r="AR782" s="83"/>
      <c r="AS782" s="83"/>
      <c r="AT782" s="83"/>
    </row>
    <row r="783" spans="36:46" x14ac:dyDescent="0.3">
      <c r="AJ783" s="83"/>
      <c r="AK783" s="83"/>
      <c r="AL783" s="83"/>
      <c r="AM783" s="83"/>
      <c r="AN783" s="83"/>
      <c r="AO783" s="83"/>
      <c r="AP783" s="83"/>
      <c r="AQ783" s="83"/>
      <c r="AR783" s="83"/>
      <c r="AS783" s="83"/>
      <c r="AT783" s="83"/>
    </row>
    <row r="784" spans="36:46" x14ac:dyDescent="0.3">
      <c r="AJ784" s="83"/>
      <c r="AK784" s="83"/>
      <c r="AL784" s="83"/>
      <c r="AM784" s="83"/>
      <c r="AN784" s="83"/>
      <c r="AO784" s="83"/>
      <c r="AP784" s="83"/>
      <c r="AQ784" s="83"/>
      <c r="AR784" s="83"/>
      <c r="AS784" s="83"/>
      <c r="AT784" s="83"/>
    </row>
    <row r="785" spans="36:46" x14ac:dyDescent="0.3">
      <c r="AJ785" s="83"/>
      <c r="AK785" s="83"/>
      <c r="AL785" s="83"/>
      <c r="AM785" s="83"/>
      <c r="AN785" s="83"/>
      <c r="AO785" s="83"/>
      <c r="AP785" s="83"/>
      <c r="AQ785" s="83"/>
      <c r="AR785" s="83"/>
      <c r="AS785" s="83"/>
      <c r="AT785" s="83"/>
    </row>
    <row r="786" spans="36:46" x14ac:dyDescent="0.3">
      <c r="AJ786" s="83"/>
      <c r="AK786" s="83"/>
      <c r="AL786" s="83"/>
      <c r="AM786" s="83"/>
      <c r="AN786" s="83"/>
      <c r="AO786" s="83"/>
      <c r="AP786" s="83"/>
      <c r="AQ786" s="83"/>
      <c r="AR786" s="83"/>
      <c r="AS786" s="83"/>
      <c r="AT786" s="83"/>
    </row>
    <row r="787" spans="36:46" x14ac:dyDescent="0.3">
      <c r="AJ787" s="83"/>
      <c r="AK787" s="83"/>
      <c r="AL787" s="83"/>
      <c r="AM787" s="83"/>
      <c r="AN787" s="83"/>
      <c r="AO787" s="83"/>
      <c r="AP787" s="83"/>
      <c r="AQ787" s="83"/>
      <c r="AR787" s="83"/>
      <c r="AS787" s="83"/>
      <c r="AT787" s="83"/>
    </row>
    <row r="788" spans="36:46" x14ac:dyDescent="0.3">
      <c r="AJ788" s="83"/>
      <c r="AK788" s="83"/>
      <c r="AL788" s="83"/>
      <c r="AM788" s="83"/>
      <c r="AN788" s="83"/>
      <c r="AO788" s="83"/>
      <c r="AP788" s="83"/>
      <c r="AQ788" s="83"/>
      <c r="AR788" s="83"/>
      <c r="AS788" s="83"/>
      <c r="AT788" s="83"/>
    </row>
    <row r="789" spans="36:46" x14ac:dyDescent="0.3">
      <c r="AJ789" s="83"/>
      <c r="AK789" s="83"/>
      <c r="AL789" s="83"/>
      <c r="AM789" s="83"/>
      <c r="AN789" s="83"/>
      <c r="AO789" s="83"/>
      <c r="AP789" s="83"/>
      <c r="AQ789" s="83"/>
      <c r="AR789" s="83"/>
      <c r="AS789" s="83"/>
      <c r="AT789" s="83"/>
    </row>
    <row r="790" spans="36:46" x14ac:dyDescent="0.3">
      <c r="AJ790" s="83"/>
      <c r="AK790" s="83"/>
      <c r="AL790" s="83"/>
      <c r="AM790" s="83"/>
      <c r="AN790" s="83"/>
      <c r="AO790" s="83"/>
      <c r="AP790" s="83"/>
      <c r="AQ790" s="83"/>
      <c r="AR790" s="83"/>
      <c r="AS790" s="83"/>
      <c r="AT790" s="83"/>
    </row>
    <row r="791" spans="36:46" x14ac:dyDescent="0.3">
      <c r="AJ791" s="83"/>
      <c r="AK791" s="83"/>
      <c r="AL791" s="83"/>
      <c r="AM791" s="83"/>
      <c r="AN791" s="83"/>
      <c r="AO791" s="83"/>
      <c r="AP791" s="83"/>
      <c r="AQ791" s="83"/>
      <c r="AR791" s="83"/>
      <c r="AS791" s="83"/>
      <c r="AT791" s="83"/>
    </row>
    <row r="792" spans="36:46" x14ac:dyDescent="0.3">
      <c r="AJ792" s="83"/>
      <c r="AK792" s="83"/>
      <c r="AL792" s="83"/>
      <c r="AM792" s="83"/>
      <c r="AN792" s="83"/>
      <c r="AO792" s="83"/>
      <c r="AP792" s="83"/>
      <c r="AQ792" s="83"/>
      <c r="AR792" s="83"/>
      <c r="AS792" s="83"/>
      <c r="AT792" s="83"/>
    </row>
    <row r="793" spans="36:46" x14ac:dyDescent="0.3">
      <c r="AJ793" s="83"/>
      <c r="AK793" s="83"/>
      <c r="AL793" s="83"/>
      <c r="AM793" s="83"/>
      <c r="AN793" s="83"/>
      <c r="AO793" s="83"/>
      <c r="AP793" s="83"/>
      <c r="AQ793" s="83"/>
      <c r="AR793" s="83"/>
      <c r="AS793" s="83"/>
      <c r="AT793" s="83"/>
    </row>
    <row r="794" spans="36:46" x14ac:dyDescent="0.3">
      <c r="AJ794" s="83"/>
      <c r="AK794" s="83"/>
      <c r="AL794" s="83"/>
      <c r="AM794" s="83"/>
      <c r="AN794" s="83"/>
      <c r="AO794" s="83"/>
      <c r="AP794" s="83"/>
      <c r="AQ794" s="83"/>
      <c r="AR794" s="83"/>
      <c r="AS794" s="83"/>
      <c r="AT794" s="83"/>
    </row>
    <row r="795" spans="36:46" x14ac:dyDescent="0.3">
      <c r="AJ795" s="83"/>
      <c r="AK795" s="83"/>
      <c r="AL795" s="83"/>
      <c r="AM795" s="83"/>
      <c r="AN795" s="83"/>
      <c r="AO795" s="83"/>
      <c r="AP795" s="83"/>
      <c r="AQ795" s="83"/>
      <c r="AR795" s="83"/>
      <c r="AS795" s="83"/>
      <c r="AT795" s="83"/>
    </row>
    <row r="796" spans="36:46" x14ac:dyDescent="0.3">
      <c r="AJ796" s="83"/>
      <c r="AK796" s="83"/>
      <c r="AL796" s="83"/>
      <c r="AM796" s="83"/>
      <c r="AN796" s="83"/>
      <c r="AO796" s="83"/>
      <c r="AP796" s="83"/>
      <c r="AQ796" s="83"/>
      <c r="AR796" s="83"/>
      <c r="AS796" s="83"/>
      <c r="AT796" s="83"/>
    </row>
    <row r="797" spans="36:46" x14ac:dyDescent="0.3">
      <c r="AJ797" s="83"/>
      <c r="AK797" s="83"/>
      <c r="AL797" s="83"/>
      <c r="AM797" s="83"/>
      <c r="AN797" s="83"/>
      <c r="AO797" s="83"/>
      <c r="AP797" s="83"/>
      <c r="AQ797" s="83"/>
      <c r="AR797" s="83"/>
      <c r="AS797" s="83"/>
      <c r="AT797" s="83"/>
    </row>
    <row r="798" spans="36:46" x14ac:dyDescent="0.3">
      <c r="AJ798" s="83"/>
      <c r="AK798" s="83"/>
      <c r="AL798" s="83"/>
      <c r="AM798" s="83"/>
      <c r="AN798" s="83"/>
      <c r="AO798" s="83"/>
      <c r="AP798" s="83"/>
      <c r="AQ798" s="83"/>
      <c r="AR798" s="83"/>
      <c r="AS798" s="83"/>
      <c r="AT798" s="83"/>
    </row>
    <row r="799" spans="36:46" x14ac:dyDescent="0.3">
      <c r="AJ799" s="83"/>
      <c r="AK799" s="83"/>
      <c r="AL799" s="83"/>
      <c r="AM799" s="83"/>
      <c r="AN799" s="83"/>
      <c r="AO799" s="83"/>
      <c r="AP799" s="83"/>
      <c r="AQ799" s="83"/>
      <c r="AR799" s="83"/>
      <c r="AS799" s="83"/>
      <c r="AT799" s="83"/>
    </row>
    <row r="800" spans="36:46" x14ac:dyDescent="0.3">
      <c r="AJ800" s="83"/>
      <c r="AK800" s="83"/>
      <c r="AL800" s="83"/>
      <c r="AM800" s="83"/>
      <c r="AN800" s="83"/>
      <c r="AO800" s="83"/>
      <c r="AP800" s="83"/>
      <c r="AQ800" s="83"/>
      <c r="AR800" s="83"/>
      <c r="AS800" s="83"/>
      <c r="AT800" s="83"/>
    </row>
    <row r="801" spans="36:46" x14ac:dyDescent="0.3">
      <c r="AJ801" s="83"/>
      <c r="AK801" s="83"/>
      <c r="AL801" s="83"/>
      <c r="AM801" s="83"/>
      <c r="AN801" s="83"/>
      <c r="AO801" s="83"/>
      <c r="AP801" s="83"/>
      <c r="AQ801" s="83"/>
      <c r="AR801" s="83"/>
      <c r="AS801" s="83"/>
      <c r="AT801" s="83"/>
    </row>
    <row r="802" spans="36:46" x14ac:dyDescent="0.3">
      <c r="AJ802" s="83"/>
      <c r="AK802" s="83"/>
      <c r="AL802" s="83"/>
      <c r="AM802" s="83"/>
      <c r="AN802" s="83"/>
      <c r="AO802" s="83"/>
      <c r="AP802" s="83"/>
      <c r="AQ802" s="83"/>
      <c r="AR802" s="83"/>
      <c r="AS802" s="83"/>
      <c r="AT802" s="83"/>
    </row>
    <row r="803" spans="36:46" x14ac:dyDescent="0.3">
      <c r="AJ803" s="83"/>
      <c r="AK803" s="83"/>
      <c r="AL803" s="83"/>
      <c r="AM803" s="83"/>
      <c r="AN803" s="83"/>
      <c r="AO803" s="83"/>
      <c r="AP803" s="83"/>
      <c r="AQ803" s="83"/>
      <c r="AR803" s="83"/>
      <c r="AS803" s="83"/>
      <c r="AT803" s="83"/>
    </row>
    <row r="804" spans="36:46" x14ac:dyDescent="0.3">
      <c r="AJ804" s="83"/>
      <c r="AK804" s="83"/>
      <c r="AL804" s="83"/>
      <c r="AM804" s="83"/>
      <c r="AN804" s="83"/>
      <c r="AO804" s="83"/>
      <c r="AP804" s="83"/>
      <c r="AQ804" s="83"/>
      <c r="AR804" s="83"/>
      <c r="AS804" s="83"/>
      <c r="AT804" s="83"/>
    </row>
    <row r="805" spans="36:46" x14ac:dyDescent="0.3">
      <c r="AJ805" s="83"/>
      <c r="AK805" s="83"/>
      <c r="AL805" s="83"/>
      <c r="AM805" s="83"/>
      <c r="AN805" s="83"/>
      <c r="AO805" s="83"/>
      <c r="AP805" s="83"/>
      <c r="AQ805" s="83"/>
      <c r="AR805" s="83"/>
      <c r="AS805" s="83"/>
      <c r="AT805" s="83"/>
    </row>
    <row r="806" spans="36:46" x14ac:dyDescent="0.3">
      <c r="AJ806" s="83"/>
      <c r="AK806" s="83"/>
      <c r="AL806" s="83"/>
      <c r="AM806" s="83"/>
      <c r="AN806" s="83"/>
      <c r="AO806" s="83"/>
      <c r="AP806" s="83"/>
      <c r="AQ806" s="83"/>
      <c r="AR806" s="83"/>
      <c r="AS806" s="83"/>
      <c r="AT806" s="83"/>
    </row>
    <row r="807" spans="36:46" x14ac:dyDescent="0.3">
      <c r="AJ807" s="83"/>
      <c r="AK807" s="83"/>
      <c r="AL807" s="83"/>
      <c r="AM807" s="83"/>
      <c r="AN807" s="83"/>
      <c r="AO807" s="83"/>
      <c r="AP807" s="83"/>
      <c r="AQ807" s="83"/>
      <c r="AR807" s="83"/>
      <c r="AS807" s="83"/>
      <c r="AT807" s="83"/>
    </row>
    <row r="808" spans="36:46" x14ac:dyDescent="0.3">
      <c r="AJ808" s="83"/>
      <c r="AK808" s="83"/>
      <c r="AL808" s="83"/>
      <c r="AM808" s="83"/>
      <c r="AN808" s="83"/>
      <c r="AO808" s="83"/>
      <c r="AP808" s="83"/>
      <c r="AQ808" s="83"/>
      <c r="AR808" s="83"/>
      <c r="AS808" s="83"/>
      <c r="AT808" s="83"/>
    </row>
    <row r="809" spans="36:46" x14ac:dyDescent="0.3">
      <c r="AJ809" s="83"/>
      <c r="AK809" s="83"/>
      <c r="AL809" s="83"/>
      <c r="AM809" s="83"/>
      <c r="AN809" s="83"/>
      <c r="AO809" s="83"/>
      <c r="AP809" s="83"/>
      <c r="AQ809" s="83"/>
      <c r="AR809" s="83"/>
      <c r="AS809" s="83"/>
      <c r="AT809" s="83"/>
    </row>
    <row r="810" spans="36:46" x14ac:dyDescent="0.3">
      <c r="AJ810" s="83"/>
      <c r="AK810" s="83"/>
      <c r="AL810" s="83"/>
      <c r="AM810" s="83"/>
      <c r="AN810" s="83"/>
      <c r="AO810" s="83"/>
      <c r="AP810" s="83"/>
      <c r="AQ810" s="83"/>
      <c r="AR810" s="83"/>
      <c r="AS810" s="83"/>
      <c r="AT810" s="83"/>
    </row>
    <row r="811" spans="36:46" x14ac:dyDescent="0.3">
      <c r="AJ811" s="83"/>
      <c r="AK811" s="83"/>
      <c r="AL811" s="83"/>
      <c r="AM811" s="83"/>
      <c r="AN811" s="83"/>
      <c r="AO811" s="83"/>
      <c r="AP811" s="83"/>
      <c r="AQ811" s="83"/>
      <c r="AR811" s="83"/>
      <c r="AS811" s="83"/>
      <c r="AT811" s="83"/>
    </row>
    <row r="812" spans="36:46" x14ac:dyDescent="0.3">
      <c r="AJ812" s="83"/>
      <c r="AK812" s="83"/>
      <c r="AL812" s="83"/>
      <c r="AM812" s="83"/>
      <c r="AN812" s="83"/>
      <c r="AO812" s="83"/>
      <c r="AP812" s="83"/>
      <c r="AQ812" s="83"/>
      <c r="AR812" s="83"/>
      <c r="AS812" s="83"/>
      <c r="AT812" s="83"/>
    </row>
    <row r="813" spans="36:46" x14ac:dyDescent="0.3">
      <c r="AJ813" s="83"/>
      <c r="AK813" s="83"/>
      <c r="AL813" s="83"/>
      <c r="AM813" s="83"/>
      <c r="AN813" s="83"/>
      <c r="AO813" s="83"/>
      <c r="AP813" s="83"/>
      <c r="AQ813" s="83"/>
      <c r="AR813" s="83"/>
      <c r="AS813" s="83"/>
      <c r="AT813" s="83"/>
    </row>
    <row r="814" spans="36:46" x14ac:dyDescent="0.3">
      <c r="AJ814" s="83"/>
      <c r="AK814" s="83"/>
      <c r="AL814" s="83"/>
      <c r="AM814" s="83"/>
      <c r="AN814" s="83"/>
      <c r="AO814" s="83"/>
      <c r="AP814" s="83"/>
      <c r="AQ814" s="83"/>
      <c r="AR814" s="83"/>
      <c r="AS814" s="83"/>
      <c r="AT814" s="83"/>
    </row>
    <row r="815" spans="36:46" x14ac:dyDescent="0.3">
      <c r="AJ815" s="83"/>
      <c r="AK815" s="83"/>
      <c r="AL815" s="83"/>
      <c r="AM815" s="83"/>
      <c r="AN815" s="83"/>
      <c r="AO815" s="83"/>
      <c r="AP815" s="83"/>
      <c r="AQ815" s="83"/>
      <c r="AR815" s="83"/>
      <c r="AS815" s="83"/>
      <c r="AT815" s="83"/>
    </row>
    <row r="816" spans="36:46" x14ac:dyDescent="0.3">
      <c r="AJ816" s="83"/>
      <c r="AK816" s="83"/>
      <c r="AL816" s="83"/>
      <c r="AM816" s="83"/>
      <c r="AN816" s="83"/>
      <c r="AO816" s="83"/>
      <c r="AP816" s="83"/>
      <c r="AQ816" s="83"/>
      <c r="AR816" s="83"/>
      <c r="AS816" s="83"/>
      <c r="AT816" s="83"/>
    </row>
    <row r="817" spans="36:46" x14ac:dyDescent="0.3">
      <c r="AJ817" s="83"/>
      <c r="AK817" s="83"/>
      <c r="AL817" s="83"/>
      <c r="AM817" s="83"/>
      <c r="AN817" s="83"/>
      <c r="AO817" s="83"/>
      <c r="AP817" s="83"/>
      <c r="AQ817" s="83"/>
      <c r="AR817" s="83"/>
      <c r="AS817" s="83"/>
      <c r="AT817" s="83"/>
    </row>
    <row r="818" spans="36:46" x14ac:dyDescent="0.3">
      <c r="AJ818" s="83"/>
      <c r="AK818" s="83"/>
      <c r="AL818" s="83"/>
      <c r="AM818" s="83"/>
      <c r="AN818" s="83"/>
      <c r="AO818" s="83"/>
      <c r="AP818" s="83"/>
      <c r="AQ818" s="83"/>
      <c r="AR818" s="83"/>
      <c r="AS818" s="83"/>
      <c r="AT818" s="83"/>
    </row>
    <row r="819" spans="36:46" x14ac:dyDescent="0.3">
      <c r="AJ819" s="83"/>
      <c r="AK819" s="83"/>
      <c r="AL819" s="83"/>
      <c r="AM819" s="83"/>
      <c r="AN819" s="83"/>
      <c r="AO819" s="83"/>
      <c r="AP819" s="83"/>
      <c r="AQ819" s="83"/>
      <c r="AR819" s="83"/>
      <c r="AS819" s="83"/>
      <c r="AT819" s="83"/>
    </row>
    <row r="820" spans="36:46" x14ac:dyDescent="0.3">
      <c r="AJ820" s="83"/>
      <c r="AK820" s="83"/>
      <c r="AL820" s="83"/>
      <c r="AM820" s="83"/>
      <c r="AN820" s="83"/>
      <c r="AO820" s="83"/>
      <c r="AP820" s="83"/>
      <c r="AQ820" s="83"/>
      <c r="AR820" s="83"/>
      <c r="AS820" s="83"/>
      <c r="AT820" s="83"/>
    </row>
    <row r="821" spans="36:46" x14ac:dyDescent="0.3">
      <c r="AJ821" s="83"/>
      <c r="AK821" s="83"/>
      <c r="AL821" s="83"/>
      <c r="AM821" s="83"/>
      <c r="AN821" s="83"/>
      <c r="AO821" s="83"/>
      <c r="AP821" s="83"/>
      <c r="AQ821" s="83"/>
      <c r="AR821" s="83"/>
      <c r="AS821" s="83"/>
      <c r="AT821" s="83"/>
    </row>
    <row r="822" spans="36:46" x14ac:dyDescent="0.3">
      <c r="AJ822" s="83"/>
      <c r="AK822" s="83"/>
      <c r="AL822" s="83"/>
      <c r="AM822" s="83"/>
      <c r="AN822" s="83"/>
      <c r="AO822" s="83"/>
      <c r="AP822" s="83"/>
      <c r="AQ822" s="83"/>
      <c r="AR822" s="83"/>
      <c r="AS822" s="83"/>
      <c r="AT822" s="83"/>
    </row>
    <row r="823" spans="36:46" x14ac:dyDescent="0.3">
      <c r="AJ823" s="83"/>
      <c r="AK823" s="83"/>
      <c r="AL823" s="83"/>
      <c r="AM823" s="83"/>
      <c r="AN823" s="83"/>
      <c r="AO823" s="83"/>
      <c r="AP823" s="83"/>
      <c r="AQ823" s="83"/>
      <c r="AR823" s="83"/>
      <c r="AS823" s="83"/>
      <c r="AT823" s="83"/>
    </row>
    <row r="824" spans="36:46" x14ac:dyDescent="0.3">
      <c r="AJ824" s="83"/>
      <c r="AK824" s="83"/>
      <c r="AL824" s="83"/>
      <c r="AM824" s="83"/>
      <c r="AN824" s="83"/>
      <c r="AO824" s="83"/>
      <c r="AP824" s="83"/>
      <c r="AQ824" s="83"/>
      <c r="AR824" s="83"/>
      <c r="AS824" s="83"/>
      <c r="AT824" s="83"/>
    </row>
    <row r="825" spans="36:46" x14ac:dyDescent="0.3">
      <c r="AJ825" s="83"/>
      <c r="AK825" s="83"/>
      <c r="AL825" s="83"/>
      <c r="AM825" s="83"/>
      <c r="AN825" s="83"/>
      <c r="AO825" s="83"/>
      <c r="AP825" s="83"/>
      <c r="AQ825" s="83"/>
      <c r="AR825" s="83"/>
      <c r="AS825" s="83"/>
      <c r="AT825" s="83"/>
    </row>
    <row r="826" spans="36:46" x14ac:dyDescent="0.3">
      <c r="AJ826" s="83"/>
      <c r="AK826" s="83"/>
      <c r="AL826" s="83"/>
      <c r="AM826" s="83"/>
      <c r="AN826" s="83"/>
      <c r="AO826" s="83"/>
      <c r="AP826" s="83"/>
      <c r="AQ826" s="83"/>
      <c r="AR826" s="83"/>
      <c r="AS826" s="83"/>
      <c r="AT826" s="83"/>
    </row>
    <row r="827" spans="36:46" x14ac:dyDescent="0.3">
      <c r="AJ827" s="83"/>
      <c r="AK827" s="83"/>
      <c r="AL827" s="83"/>
      <c r="AM827" s="83"/>
      <c r="AN827" s="83"/>
      <c r="AO827" s="83"/>
      <c r="AP827" s="83"/>
      <c r="AQ827" s="83"/>
      <c r="AR827" s="83"/>
      <c r="AS827" s="83"/>
      <c r="AT827" s="83"/>
    </row>
    <row r="828" spans="36:46" x14ac:dyDescent="0.3">
      <c r="AJ828" s="83"/>
      <c r="AK828" s="83"/>
      <c r="AL828" s="83"/>
      <c r="AM828" s="83"/>
      <c r="AN828" s="83"/>
      <c r="AO828" s="83"/>
      <c r="AP828" s="83"/>
      <c r="AQ828" s="83"/>
      <c r="AR828" s="83"/>
      <c r="AS828" s="83"/>
      <c r="AT828" s="83"/>
    </row>
    <row r="829" spans="36:46" x14ac:dyDescent="0.3">
      <c r="AJ829" s="83"/>
      <c r="AK829" s="83"/>
      <c r="AL829" s="83"/>
      <c r="AM829" s="83"/>
      <c r="AN829" s="83"/>
      <c r="AO829" s="83"/>
      <c r="AP829" s="83"/>
      <c r="AQ829" s="83"/>
      <c r="AR829" s="83"/>
      <c r="AS829" s="83"/>
      <c r="AT829" s="83"/>
    </row>
    <row r="830" spans="36:46" x14ac:dyDescent="0.3">
      <c r="AJ830" s="83"/>
      <c r="AK830" s="83"/>
      <c r="AL830" s="83"/>
      <c r="AM830" s="83"/>
      <c r="AN830" s="83"/>
      <c r="AO830" s="83"/>
      <c r="AP830" s="83"/>
      <c r="AQ830" s="83"/>
      <c r="AR830" s="83"/>
      <c r="AS830" s="83"/>
      <c r="AT830" s="83"/>
    </row>
    <row r="831" spans="36:46" x14ac:dyDescent="0.3">
      <c r="AJ831" s="83"/>
      <c r="AK831" s="83"/>
      <c r="AL831" s="83"/>
      <c r="AM831" s="83"/>
      <c r="AN831" s="83"/>
      <c r="AO831" s="83"/>
      <c r="AP831" s="83"/>
      <c r="AQ831" s="83"/>
      <c r="AR831" s="83"/>
      <c r="AS831" s="83"/>
      <c r="AT831" s="83"/>
    </row>
    <row r="832" spans="36:46" x14ac:dyDescent="0.3">
      <c r="AJ832" s="83"/>
      <c r="AK832" s="83"/>
      <c r="AL832" s="83"/>
      <c r="AM832" s="83"/>
      <c r="AN832" s="83"/>
      <c r="AO832" s="83"/>
      <c r="AP832" s="83"/>
      <c r="AQ832" s="83"/>
      <c r="AR832" s="83"/>
      <c r="AS832" s="83"/>
      <c r="AT832" s="83"/>
    </row>
    <row r="833" spans="36:46" x14ac:dyDescent="0.3">
      <c r="AJ833" s="83"/>
      <c r="AK833" s="83"/>
      <c r="AL833" s="83"/>
      <c r="AM833" s="83"/>
      <c r="AN833" s="83"/>
      <c r="AO833" s="83"/>
      <c r="AP833" s="83"/>
      <c r="AQ833" s="83"/>
      <c r="AR833" s="83"/>
      <c r="AS833" s="83"/>
      <c r="AT833" s="83"/>
    </row>
    <row r="834" spans="36:46" x14ac:dyDescent="0.3">
      <c r="AJ834" s="83"/>
      <c r="AK834" s="83"/>
      <c r="AL834" s="83"/>
      <c r="AM834" s="83"/>
      <c r="AN834" s="83"/>
      <c r="AO834" s="83"/>
      <c r="AP834" s="83"/>
      <c r="AQ834" s="83"/>
      <c r="AR834" s="83"/>
      <c r="AS834" s="83"/>
      <c r="AT834" s="83"/>
    </row>
    <row r="835" spans="36:46" x14ac:dyDescent="0.3">
      <c r="AJ835" s="83"/>
      <c r="AK835" s="83"/>
      <c r="AL835" s="83"/>
      <c r="AM835" s="83"/>
      <c r="AN835" s="83"/>
      <c r="AO835" s="83"/>
      <c r="AP835" s="83"/>
      <c r="AQ835" s="83"/>
      <c r="AR835" s="83"/>
      <c r="AS835" s="83"/>
      <c r="AT835" s="83"/>
    </row>
    <row r="836" spans="36:46" x14ac:dyDescent="0.3">
      <c r="AJ836" s="83"/>
      <c r="AK836" s="83"/>
      <c r="AL836" s="83"/>
      <c r="AM836" s="83"/>
      <c r="AN836" s="83"/>
      <c r="AO836" s="83"/>
      <c r="AP836" s="83"/>
      <c r="AQ836" s="83"/>
      <c r="AR836" s="83"/>
      <c r="AS836" s="83"/>
      <c r="AT836" s="83"/>
    </row>
    <row r="837" spans="36:46" x14ac:dyDescent="0.3">
      <c r="AJ837" s="83"/>
      <c r="AK837" s="83"/>
      <c r="AL837" s="83"/>
      <c r="AM837" s="83"/>
      <c r="AN837" s="83"/>
      <c r="AO837" s="83"/>
      <c r="AP837" s="83"/>
      <c r="AQ837" s="83"/>
      <c r="AR837" s="83"/>
      <c r="AS837" s="83"/>
      <c r="AT837" s="83"/>
    </row>
    <row r="838" spans="36:46" x14ac:dyDescent="0.3">
      <c r="AJ838" s="83"/>
      <c r="AK838" s="83"/>
      <c r="AL838" s="83"/>
      <c r="AM838" s="83"/>
      <c r="AN838" s="83"/>
      <c r="AO838" s="83"/>
      <c r="AP838" s="83"/>
      <c r="AQ838" s="83"/>
      <c r="AR838" s="83"/>
      <c r="AS838" s="83"/>
      <c r="AT838" s="83"/>
    </row>
    <row r="839" spans="36:46" x14ac:dyDescent="0.3">
      <c r="AJ839" s="83"/>
      <c r="AK839" s="83"/>
      <c r="AL839" s="83"/>
      <c r="AM839" s="83"/>
      <c r="AN839" s="83"/>
      <c r="AO839" s="83"/>
      <c r="AP839" s="83"/>
      <c r="AQ839" s="83"/>
      <c r="AR839" s="83"/>
      <c r="AS839" s="83"/>
      <c r="AT839" s="83"/>
    </row>
    <row r="840" spans="36:46" x14ac:dyDescent="0.3">
      <c r="AJ840" s="83"/>
      <c r="AK840" s="83"/>
      <c r="AL840" s="83"/>
      <c r="AM840" s="83"/>
      <c r="AN840" s="83"/>
      <c r="AO840" s="83"/>
      <c r="AP840" s="83"/>
      <c r="AQ840" s="83"/>
      <c r="AR840" s="83"/>
      <c r="AS840" s="83"/>
      <c r="AT840" s="83"/>
    </row>
    <row r="841" spans="36:46" x14ac:dyDescent="0.3">
      <c r="AJ841" s="83"/>
      <c r="AK841" s="83"/>
      <c r="AL841" s="83"/>
      <c r="AM841" s="83"/>
      <c r="AN841" s="83"/>
      <c r="AO841" s="83"/>
      <c r="AP841" s="83"/>
      <c r="AQ841" s="83"/>
      <c r="AR841" s="83"/>
      <c r="AS841" s="83"/>
      <c r="AT841" s="83"/>
    </row>
    <row r="842" spans="36:46" x14ac:dyDescent="0.3">
      <c r="AJ842" s="83"/>
      <c r="AK842" s="83"/>
      <c r="AL842" s="83"/>
      <c r="AM842" s="83"/>
      <c r="AN842" s="83"/>
      <c r="AO842" s="83"/>
      <c r="AP842" s="83"/>
      <c r="AQ842" s="83"/>
      <c r="AR842" s="83"/>
      <c r="AS842" s="83"/>
      <c r="AT842" s="83"/>
    </row>
    <row r="843" spans="36:46" x14ac:dyDescent="0.3">
      <c r="AJ843" s="83"/>
      <c r="AK843" s="83"/>
      <c r="AL843" s="83"/>
      <c r="AM843" s="83"/>
      <c r="AN843" s="83"/>
      <c r="AO843" s="83"/>
      <c r="AP843" s="83"/>
      <c r="AQ843" s="83"/>
      <c r="AR843" s="83"/>
      <c r="AS843" s="83"/>
      <c r="AT843" s="83"/>
    </row>
    <row r="844" spans="36:46" x14ac:dyDescent="0.3">
      <c r="AJ844" s="83"/>
      <c r="AK844" s="83"/>
      <c r="AL844" s="83"/>
      <c r="AM844" s="83"/>
      <c r="AN844" s="83"/>
      <c r="AO844" s="83"/>
      <c r="AP844" s="83"/>
      <c r="AQ844" s="83"/>
      <c r="AR844" s="83"/>
      <c r="AS844" s="83"/>
      <c r="AT844" s="83"/>
    </row>
    <row r="845" spans="36:46" x14ac:dyDescent="0.3">
      <c r="AJ845" s="83"/>
      <c r="AK845" s="83"/>
      <c r="AL845" s="83"/>
      <c r="AM845" s="83"/>
      <c r="AN845" s="83"/>
      <c r="AO845" s="83"/>
      <c r="AP845" s="83"/>
      <c r="AQ845" s="83"/>
      <c r="AR845" s="83"/>
      <c r="AS845" s="83"/>
      <c r="AT845" s="83"/>
    </row>
    <row r="846" spans="36:46" x14ac:dyDescent="0.3">
      <c r="AJ846" s="83"/>
      <c r="AK846" s="83"/>
      <c r="AL846" s="83"/>
      <c r="AM846" s="83"/>
      <c r="AN846" s="83"/>
      <c r="AO846" s="83"/>
      <c r="AP846" s="83"/>
      <c r="AQ846" s="83"/>
      <c r="AR846" s="83"/>
      <c r="AS846" s="83"/>
      <c r="AT846" s="83"/>
    </row>
    <row r="847" spans="36:46" x14ac:dyDescent="0.3">
      <c r="AJ847" s="83"/>
      <c r="AK847" s="83"/>
      <c r="AL847" s="83"/>
      <c r="AM847" s="83"/>
      <c r="AN847" s="83"/>
      <c r="AO847" s="83"/>
      <c r="AP847" s="83"/>
      <c r="AQ847" s="83"/>
      <c r="AR847" s="83"/>
      <c r="AS847" s="83"/>
      <c r="AT847" s="83"/>
    </row>
    <row r="848" spans="36:46" x14ac:dyDescent="0.3">
      <c r="AJ848" s="83"/>
      <c r="AK848" s="83"/>
      <c r="AL848" s="83"/>
      <c r="AM848" s="83"/>
      <c r="AN848" s="83"/>
      <c r="AO848" s="83"/>
      <c r="AP848" s="83"/>
      <c r="AQ848" s="83"/>
      <c r="AR848" s="83"/>
      <c r="AS848" s="83"/>
      <c r="AT848" s="83"/>
    </row>
    <row r="849" spans="36:46" x14ac:dyDescent="0.3">
      <c r="AJ849" s="83"/>
      <c r="AK849" s="83"/>
      <c r="AL849" s="83"/>
      <c r="AM849" s="83"/>
      <c r="AN849" s="83"/>
      <c r="AO849" s="83"/>
      <c r="AP849" s="83"/>
      <c r="AQ849" s="83"/>
      <c r="AR849" s="83"/>
      <c r="AS849" s="83"/>
      <c r="AT849" s="83"/>
    </row>
    <row r="850" spans="36:46" x14ac:dyDescent="0.3">
      <c r="AJ850" s="83"/>
      <c r="AK850" s="83"/>
      <c r="AL850" s="83"/>
      <c r="AM850" s="83"/>
      <c r="AN850" s="83"/>
      <c r="AO850" s="83"/>
      <c r="AP850" s="83"/>
      <c r="AQ850" s="83"/>
      <c r="AR850" s="83"/>
      <c r="AS850" s="83"/>
      <c r="AT850" s="83"/>
    </row>
    <row r="851" spans="36:46" x14ac:dyDescent="0.3">
      <c r="AJ851" s="83"/>
      <c r="AK851" s="83"/>
      <c r="AL851" s="83"/>
      <c r="AM851" s="83"/>
      <c r="AN851" s="83"/>
      <c r="AO851" s="83"/>
      <c r="AP851" s="83"/>
      <c r="AQ851" s="83"/>
      <c r="AR851" s="83"/>
      <c r="AS851" s="83"/>
      <c r="AT851" s="83"/>
    </row>
    <row r="852" spans="36:46" x14ac:dyDescent="0.3">
      <c r="AJ852" s="83"/>
      <c r="AK852" s="83"/>
      <c r="AL852" s="83"/>
      <c r="AM852" s="83"/>
      <c r="AN852" s="83"/>
      <c r="AO852" s="83"/>
      <c r="AP852" s="83"/>
      <c r="AQ852" s="83"/>
      <c r="AR852" s="83"/>
      <c r="AS852" s="83"/>
      <c r="AT852" s="83"/>
    </row>
    <row r="853" spans="36:46" x14ac:dyDescent="0.3">
      <c r="AJ853" s="83"/>
      <c r="AK853" s="83"/>
      <c r="AL853" s="83"/>
      <c r="AM853" s="83"/>
      <c r="AN853" s="83"/>
      <c r="AO853" s="83"/>
      <c r="AP853" s="83"/>
      <c r="AQ853" s="83"/>
      <c r="AR853" s="83"/>
      <c r="AS853" s="83"/>
      <c r="AT853" s="83"/>
    </row>
    <row r="854" spans="36:46" x14ac:dyDescent="0.3">
      <c r="AJ854" s="83"/>
      <c r="AK854" s="83"/>
      <c r="AL854" s="83"/>
      <c r="AM854" s="83"/>
      <c r="AN854" s="83"/>
      <c r="AO854" s="83"/>
      <c r="AP854" s="83"/>
      <c r="AQ854" s="83"/>
      <c r="AR854" s="83"/>
      <c r="AS854" s="83"/>
      <c r="AT854" s="83"/>
    </row>
    <row r="855" spans="36:46" x14ac:dyDescent="0.3">
      <c r="AJ855" s="83"/>
      <c r="AK855" s="83"/>
      <c r="AL855" s="83"/>
      <c r="AM855" s="83"/>
      <c r="AN855" s="83"/>
      <c r="AO855" s="83"/>
      <c r="AP855" s="83"/>
      <c r="AQ855" s="83"/>
      <c r="AR855" s="83"/>
      <c r="AS855" s="83"/>
      <c r="AT855" s="83"/>
    </row>
    <row r="856" spans="36:46" x14ac:dyDescent="0.3">
      <c r="AJ856" s="83"/>
      <c r="AK856" s="83"/>
      <c r="AL856" s="83"/>
      <c r="AM856" s="83"/>
      <c r="AN856" s="83"/>
      <c r="AO856" s="83"/>
      <c r="AP856" s="83"/>
      <c r="AQ856" s="83"/>
      <c r="AR856" s="83"/>
      <c r="AS856" s="83"/>
      <c r="AT856" s="83"/>
    </row>
    <row r="857" spans="36:46" x14ac:dyDescent="0.3">
      <c r="AJ857" s="83"/>
      <c r="AK857" s="83"/>
      <c r="AL857" s="83"/>
      <c r="AM857" s="83"/>
      <c r="AN857" s="83"/>
      <c r="AO857" s="83"/>
      <c r="AP857" s="83"/>
      <c r="AQ857" s="83"/>
      <c r="AR857" s="83"/>
      <c r="AS857" s="83"/>
      <c r="AT857" s="83"/>
    </row>
    <row r="858" spans="36:46" x14ac:dyDescent="0.3">
      <c r="AJ858" s="83"/>
      <c r="AK858" s="83"/>
      <c r="AL858" s="83"/>
      <c r="AM858" s="83"/>
      <c r="AN858" s="83"/>
      <c r="AO858" s="83"/>
      <c r="AP858" s="83"/>
      <c r="AQ858" s="83"/>
      <c r="AR858" s="83"/>
      <c r="AS858" s="83"/>
      <c r="AT858" s="83"/>
    </row>
    <row r="859" spans="36:46" x14ac:dyDescent="0.3">
      <c r="AJ859" s="83"/>
      <c r="AK859" s="83"/>
      <c r="AL859" s="83"/>
      <c r="AM859" s="83"/>
      <c r="AN859" s="83"/>
      <c r="AO859" s="83"/>
      <c r="AP859" s="83"/>
      <c r="AQ859" s="83"/>
      <c r="AR859" s="83"/>
      <c r="AS859" s="83"/>
      <c r="AT859" s="83"/>
    </row>
    <row r="860" spans="36:46" x14ac:dyDescent="0.3">
      <c r="AJ860" s="83"/>
      <c r="AK860" s="83"/>
      <c r="AL860" s="83"/>
      <c r="AM860" s="83"/>
      <c r="AN860" s="83"/>
      <c r="AO860" s="83"/>
      <c r="AP860" s="83"/>
      <c r="AQ860" s="83"/>
      <c r="AR860" s="83"/>
      <c r="AS860" s="83"/>
      <c r="AT860" s="83"/>
    </row>
    <row r="861" spans="36:46" x14ac:dyDescent="0.3">
      <c r="AJ861" s="83"/>
      <c r="AK861" s="83"/>
      <c r="AL861" s="83"/>
      <c r="AM861" s="83"/>
      <c r="AN861" s="83"/>
      <c r="AO861" s="83"/>
      <c r="AP861" s="83"/>
      <c r="AQ861" s="83"/>
      <c r="AR861" s="83"/>
      <c r="AS861" s="83"/>
      <c r="AT861" s="83"/>
    </row>
    <row r="862" spans="36:46" x14ac:dyDescent="0.3">
      <c r="AJ862" s="83"/>
      <c r="AK862" s="83"/>
      <c r="AL862" s="83"/>
      <c r="AM862" s="83"/>
      <c r="AN862" s="83"/>
      <c r="AO862" s="83"/>
      <c r="AP862" s="83"/>
      <c r="AQ862" s="83"/>
      <c r="AR862" s="83"/>
      <c r="AS862" s="83"/>
      <c r="AT862" s="83"/>
    </row>
    <row r="863" spans="36:46" x14ac:dyDescent="0.3">
      <c r="AJ863" s="83"/>
      <c r="AK863" s="83"/>
      <c r="AL863" s="83"/>
      <c r="AM863" s="83"/>
      <c r="AN863" s="83"/>
      <c r="AO863" s="83"/>
      <c r="AP863" s="83"/>
      <c r="AQ863" s="83"/>
      <c r="AR863" s="83"/>
      <c r="AS863" s="83"/>
      <c r="AT863" s="83"/>
    </row>
    <row r="864" spans="36:46" x14ac:dyDescent="0.3">
      <c r="AJ864" s="83"/>
      <c r="AK864" s="83"/>
      <c r="AL864" s="83"/>
      <c r="AM864" s="83"/>
      <c r="AN864" s="83"/>
      <c r="AO864" s="83"/>
      <c r="AP864" s="83"/>
      <c r="AQ864" s="83"/>
      <c r="AR864" s="83"/>
      <c r="AS864" s="83"/>
      <c r="AT864" s="83"/>
    </row>
    <row r="865" spans="36:46" x14ac:dyDescent="0.3">
      <c r="AJ865" s="83"/>
      <c r="AK865" s="83"/>
      <c r="AL865" s="83"/>
      <c r="AM865" s="83"/>
      <c r="AN865" s="83"/>
      <c r="AO865" s="83"/>
      <c r="AP865" s="83"/>
      <c r="AQ865" s="83"/>
      <c r="AR865" s="83"/>
      <c r="AS865" s="83"/>
      <c r="AT865" s="83"/>
    </row>
    <row r="866" spans="36:46" x14ac:dyDescent="0.3">
      <c r="AJ866" s="83"/>
      <c r="AK866" s="83"/>
      <c r="AL866" s="83"/>
      <c r="AM866" s="83"/>
      <c r="AN866" s="83"/>
      <c r="AO866" s="83"/>
      <c r="AP866" s="83"/>
      <c r="AQ866" s="83"/>
      <c r="AR866" s="83"/>
      <c r="AS866" s="83"/>
      <c r="AT866" s="83"/>
    </row>
    <row r="867" spans="36:46" x14ac:dyDescent="0.3">
      <c r="AJ867" s="83"/>
      <c r="AK867" s="83"/>
      <c r="AL867" s="83"/>
      <c r="AM867" s="83"/>
      <c r="AN867" s="83"/>
      <c r="AO867" s="83"/>
      <c r="AP867" s="83"/>
      <c r="AQ867" s="83"/>
      <c r="AR867" s="83"/>
      <c r="AS867" s="83"/>
      <c r="AT867" s="83"/>
    </row>
    <row r="868" spans="36:46" x14ac:dyDescent="0.3">
      <c r="AJ868" s="83"/>
      <c r="AK868" s="83"/>
      <c r="AL868" s="83"/>
      <c r="AM868" s="83"/>
      <c r="AN868" s="83"/>
      <c r="AO868" s="83"/>
      <c r="AP868" s="83"/>
      <c r="AQ868" s="83"/>
      <c r="AR868" s="83"/>
      <c r="AS868" s="83"/>
      <c r="AT868" s="83"/>
    </row>
    <row r="869" spans="36:46" x14ac:dyDescent="0.3">
      <c r="AJ869" s="83"/>
      <c r="AK869" s="83"/>
      <c r="AL869" s="83"/>
      <c r="AM869" s="83"/>
      <c r="AN869" s="83"/>
      <c r="AO869" s="83"/>
      <c r="AP869" s="83"/>
      <c r="AQ869" s="83"/>
      <c r="AR869" s="83"/>
      <c r="AS869" s="83"/>
      <c r="AT869" s="83"/>
    </row>
    <row r="870" spans="36:46" x14ac:dyDescent="0.3">
      <c r="AJ870" s="83"/>
      <c r="AK870" s="83"/>
      <c r="AL870" s="83"/>
      <c r="AM870" s="83"/>
      <c r="AN870" s="83"/>
      <c r="AO870" s="83"/>
      <c r="AP870" s="83"/>
      <c r="AQ870" s="83"/>
      <c r="AR870" s="83"/>
      <c r="AS870" s="83"/>
      <c r="AT870" s="83"/>
    </row>
    <row r="871" spans="36:46" x14ac:dyDescent="0.3">
      <c r="AJ871" s="83"/>
      <c r="AK871" s="83"/>
      <c r="AL871" s="83"/>
      <c r="AM871" s="83"/>
      <c r="AN871" s="83"/>
      <c r="AO871" s="83"/>
      <c r="AP871" s="83"/>
      <c r="AQ871" s="83"/>
      <c r="AR871" s="83"/>
      <c r="AS871" s="83"/>
      <c r="AT871" s="83"/>
    </row>
    <row r="872" spans="36:46" x14ac:dyDescent="0.3">
      <c r="AJ872" s="83"/>
      <c r="AK872" s="83"/>
      <c r="AL872" s="83"/>
      <c r="AM872" s="83"/>
      <c r="AN872" s="83"/>
      <c r="AO872" s="83"/>
      <c r="AP872" s="83"/>
      <c r="AQ872" s="83"/>
      <c r="AR872" s="83"/>
      <c r="AS872" s="83"/>
      <c r="AT872" s="83"/>
    </row>
    <row r="873" spans="36:46" x14ac:dyDescent="0.3">
      <c r="AJ873" s="83"/>
      <c r="AK873" s="83"/>
      <c r="AL873" s="83"/>
      <c r="AM873" s="83"/>
      <c r="AN873" s="83"/>
      <c r="AO873" s="83"/>
      <c r="AP873" s="83"/>
      <c r="AQ873" s="83"/>
      <c r="AR873" s="83"/>
      <c r="AS873" s="83"/>
      <c r="AT873" s="83"/>
    </row>
    <row r="874" spans="36:46" x14ac:dyDescent="0.3">
      <c r="AJ874" s="83"/>
      <c r="AK874" s="83"/>
      <c r="AL874" s="83"/>
      <c r="AM874" s="83"/>
      <c r="AN874" s="83"/>
      <c r="AO874" s="83"/>
      <c r="AP874" s="83"/>
      <c r="AQ874" s="83"/>
      <c r="AR874" s="83"/>
      <c r="AS874" s="83"/>
      <c r="AT874" s="83"/>
    </row>
    <row r="875" spans="36:46" x14ac:dyDescent="0.3">
      <c r="AJ875" s="83"/>
      <c r="AK875" s="83"/>
      <c r="AL875" s="83"/>
      <c r="AM875" s="83"/>
      <c r="AN875" s="83"/>
      <c r="AO875" s="83"/>
      <c r="AP875" s="83"/>
      <c r="AQ875" s="83"/>
      <c r="AR875" s="83"/>
      <c r="AS875" s="83"/>
      <c r="AT875" s="83"/>
    </row>
    <row r="876" spans="36:46" x14ac:dyDescent="0.3">
      <c r="AJ876" s="83"/>
      <c r="AK876" s="83"/>
      <c r="AL876" s="83"/>
      <c r="AM876" s="83"/>
      <c r="AN876" s="83"/>
      <c r="AO876" s="83"/>
      <c r="AP876" s="83"/>
      <c r="AQ876" s="83"/>
      <c r="AR876" s="83"/>
      <c r="AS876" s="83"/>
      <c r="AT876" s="83"/>
    </row>
    <row r="877" spans="36:46" x14ac:dyDescent="0.3">
      <c r="AJ877" s="83"/>
      <c r="AK877" s="83"/>
      <c r="AL877" s="83"/>
      <c r="AM877" s="83"/>
      <c r="AN877" s="83"/>
      <c r="AO877" s="83"/>
      <c r="AP877" s="83"/>
      <c r="AQ877" s="83"/>
      <c r="AR877" s="83"/>
      <c r="AS877" s="83"/>
      <c r="AT877" s="83"/>
    </row>
    <row r="878" spans="36:46" x14ac:dyDescent="0.3">
      <c r="AJ878" s="83"/>
      <c r="AK878" s="83"/>
      <c r="AL878" s="83"/>
      <c r="AM878" s="83"/>
      <c r="AN878" s="83"/>
      <c r="AO878" s="83"/>
      <c r="AP878" s="83"/>
      <c r="AQ878" s="83"/>
      <c r="AR878" s="83"/>
      <c r="AS878" s="83"/>
      <c r="AT878" s="83"/>
    </row>
    <row r="879" spans="36:46" x14ac:dyDescent="0.3">
      <c r="AJ879" s="83"/>
      <c r="AK879" s="83"/>
      <c r="AL879" s="83"/>
      <c r="AM879" s="83"/>
      <c r="AN879" s="83"/>
      <c r="AO879" s="83"/>
      <c r="AP879" s="83"/>
      <c r="AQ879" s="83"/>
      <c r="AR879" s="83"/>
      <c r="AS879" s="83"/>
      <c r="AT879" s="83"/>
    </row>
    <row r="880" spans="36:46" x14ac:dyDescent="0.3">
      <c r="AJ880" s="83"/>
      <c r="AK880" s="83"/>
      <c r="AL880" s="83"/>
      <c r="AM880" s="83"/>
      <c r="AN880" s="83"/>
      <c r="AO880" s="83"/>
      <c r="AP880" s="83"/>
      <c r="AQ880" s="83"/>
      <c r="AR880" s="83"/>
      <c r="AS880" s="83"/>
      <c r="AT880" s="83"/>
    </row>
    <row r="881" spans="36:46" x14ac:dyDescent="0.3">
      <c r="AJ881" s="83"/>
      <c r="AK881" s="83"/>
      <c r="AL881" s="83"/>
      <c r="AM881" s="83"/>
      <c r="AN881" s="83"/>
      <c r="AO881" s="83"/>
      <c r="AP881" s="83"/>
      <c r="AQ881" s="83"/>
      <c r="AR881" s="83"/>
      <c r="AS881" s="83"/>
      <c r="AT881" s="83"/>
    </row>
    <row r="882" spans="36:46" x14ac:dyDescent="0.3">
      <c r="AJ882" s="83"/>
      <c r="AK882" s="83"/>
      <c r="AL882" s="83"/>
      <c r="AM882" s="83"/>
      <c r="AN882" s="83"/>
      <c r="AO882" s="83"/>
      <c r="AP882" s="83"/>
      <c r="AQ882" s="83"/>
      <c r="AR882" s="83"/>
      <c r="AS882" s="83"/>
      <c r="AT882" s="83"/>
    </row>
    <row r="883" spans="36:46" x14ac:dyDescent="0.3">
      <c r="AJ883" s="83"/>
      <c r="AK883" s="83"/>
      <c r="AL883" s="83"/>
      <c r="AM883" s="83"/>
      <c r="AN883" s="83"/>
      <c r="AO883" s="83"/>
      <c r="AP883" s="83"/>
      <c r="AQ883" s="83"/>
      <c r="AR883" s="83"/>
      <c r="AS883" s="83"/>
      <c r="AT883" s="83"/>
    </row>
    <row r="884" spans="36:46" x14ac:dyDescent="0.3">
      <c r="AJ884" s="83"/>
      <c r="AK884" s="83"/>
      <c r="AL884" s="83"/>
      <c r="AM884" s="83"/>
      <c r="AN884" s="83"/>
      <c r="AO884" s="83"/>
      <c r="AP884" s="83"/>
      <c r="AQ884" s="83"/>
      <c r="AR884" s="83"/>
      <c r="AS884" s="83"/>
      <c r="AT884" s="83"/>
    </row>
    <row r="885" spans="36:46" x14ac:dyDescent="0.3">
      <c r="AJ885" s="83"/>
      <c r="AK885" s="83"/>
      <c r="AL885" s="83"/>
      <c r="AM885" s="83"/>
      <c r="AN885" s="83"/>
      <c r="AO885" s="83"/>
      <c r="AP885" s="83"/>
      <c r="AQ885" s="83"/>
      <c r="AR885" s="83"/>
      <c r="AS885" s="83"/>
      <c r="AT885" s="83"/>
    </row>
    <row r="886" spans="36:46" x14ac:dyDescent="0.3">
      <c r="AJ886" s="83"/>
      <c r="AK886" s="83"/>
      <c r="AL886" s="83"/>
      <c r="AM886" s="83"/>
      <c r="AN886" s="83"/>
      <c r="AO886" s="83"/>
      <c r="AP886" s="83"/>
      <c r="AQ886" s="83"/>
      <c r="AR886" s="83"/>
      <c r="AS886" s="83"/>
      <c r="AT886" s="83"/>
    </row>
    <row r="887" spans="36:46" x14ac:dyDescent="0.3">
      <c r="AJ887" s="83"/>
      <c r="AK887" s="83"/>
      <c r="AL887" s="83"/>
      <c r="AM887" s="83"/>
      <c r="AN887" s="83"/>
      <c r="AO887" s="83"/>
      <c r="AP887" s="83"/>
      <c r="AQ887" s="83"/>
      <c r="AR887" s="83"/>
      <c r="AS887" s="83"/>
      <c r="AT887" s="83"/>
    </row>
    <row r="888" spans="36:46" x14ac:dyDescent="0.3">
      <c r="AJ888" s="83"/>
      <c r="AK888" s="83"/>
      <c r="AL888" s="83"/>
      <c r="AM888" s="83"/>
      <c r="AN888" s="83"/>
      <c r="AO888" s="83"/>
      <c r="AP888" s="83"/>
      <c r="AQ888" s="83"/>
      <c r="AR888" s="83"/>
      <c r="AS888" s="83"/>
      <c r="AT888" s="83"/>
    </row>
    <row r="889" spans="36:46" x14ac:dyDescent="0.3">
      <c r="AJ889" s="83"/>
      <c r="AK889" s="83"/>
      <c r="AL889" s="83"/>
      <c r="AM889" s="83"/>
      <c r="AN889" s="83"/>
      <c r="AO889" s="83"/>
      <c r="AP889" s="83"/>
      <c r="AQ889" s="83"/>
      <c r="AR889" s="83"/>
      <c r="AS889" s="83"/>
      <c r="AT889" s="83"/>
    </row>
    <row r="890" spans="36:46" x14ac:dyDescent="0.3">
      <c r="AJ890" s="83"/>
      <c r="AK890" s="83"/>
      <c r="AL890" s="83"/>
      <c r="AM890" s="83"/>
      <c r="AN890" s="83"/>
      <c r="AO890" s="83"/>
      <c r="AP890" s="83"/>
      <c r="AQ890" s="83"/>
      <c r="AR890" s="83"/>
      <c r="AS890" s="83"/>
      <c r="AT890" s="83"/>
    </row>
    <row r="891" spans="36:46" x14ac:dyDescent="0.3">
      <c r="AJ891" s="83"/>
      <c r="AK891" s="83"/>
      <c r="AL891" s="83"/>
      <c r="AM891" s="83"/>
      <c r="AN891" s="83"/>
      <c r="AO891" s="83"/>
      <c r="AP891" s="83"/>
      <c r="AQ891" s="83"/>
      <c r="AR891" s="83"/>
      <c r="AS891" s="83"/>
      <c r="AT891" s="83"/>
    </row>
    <row r="892" spans="36:46" x14ac:dyDescent="0.3">
      <c r="AJ892" s="83"/>
      <c r="AK892" s="83"/>
      <c r="AL892" s="83"/>
      <c r="AM892" s="83"/>
      <c r="AN892" s="83"/>
      <c r="AO892" s="83"/>
      <c r="AP892" s="83"/>
      <c r="AQ892" s="83"/>
      <c r="AR892" s="83"/>
      <c r="AS892" s="83"/>
      <c r="AT892" s="83"/>
    </row>
    <row r="893" spans="36:46" x14ac:dyDescent="0.3">
      <c r="AJ893" s="83"/>
      <c r="AK893" s="83"/>
      <c r="AL893" s="83"/>
      <c r="AM893" s="83"/>
      <c r="AN893" s="83"/>
      <c r="AO893" s="83"/>
      <c r="AP893" s="83"/>
      <c r="AQ893" s="83"/>
      <c r="AR893" s="83"/>
      <c r="AS893" s="83"/>
      <c r="AT893" s="83"/>
    </row>
    <row r="894" spans="36:46" x14ac:dyDescent="0.3">
      <c r="AJ894" s="83"/>
      <c r="AK894" s="83"/>
      <c r="AL894" s="83"/>
      <c r="AM894" s="83"/>
      <c r="AN894" s="83"/>
      <c r="AO894" s="83"/>
      <c r="AP894" s="83"/>
      <c r="AQ894" s="83"/>
      <c r="AR894" s="83"/>
      <c r="AS894" s="83"/>
      <c r="AT894" s="83"/>
    </row>
    <row r="895" spans="36:46" x14ac:dyDescent="0.3">
      <c r="AJ895" s="83"/>
      <c r="AK895" s="83"/>
      <c r="AL895" s="83"/>
      <c r="AM895" s="83"/>
      <c r="AN895" s="83"/>
      <c r="AO895" s="83"/>
      <c r="AP895" s="83"/>
      <c r="AQ895" s="83"/>
      <c r="AR895" s="83"/>
      <c r="AS895" s="83"/>
      <c r="AT895" s="83"/>
    </row>
    <row r="896" spans="36:46" x14ac:dyDescent="0.3">
      <c r="AJ896" s="83"/>
      <c r="AK896" s="83"/>
      <c r="AL896" s="83"/>
      <c r="AM896" s="83"/>
      <c r="AN896" s="83"/>
      <c r="AO896" s="83"/>
      <c r="AP896" s="83"/>
      <c r="AQ896" s="83"/>
      <c r="AR896" s="83"/>
      <c r="AS896" s="83"/>
      <c r="AT896" s="83"/>
    </row>
    <row r="897" spans="36:46" x14ac:dyDescent="0.3">
      <c r="AJ897" s="83"/>
      <c r="AK897" s="83"/>
      <c r="AL897" s="83"/>
      <c r="AM897" s="83"/>
      <c r="AN897" s="83"/>
      <c r="AO897" s="83"/>
      <c r="AP897" s="83"/>
      <c r="AQ897" s="83"/>
      <c r="AR897" s="83"/>
      <c r="AS897" s="83"/>
      <c r="AT897" s="83"/>
    </row>
    <row r="898" spans="36:46" x14ac:dyDescent="0.3">
      <c r="AJ898" s="83"/>
      <c r="AK898" s="83"/>
      <c r="AL898" s="83"/>
      <c r="AM898" s="83"/>
      <c r="AN898" s="83"/>
      <c r="AO898" s="83"/>
      <c r="AP898" s="83"/>
      <c r="AQ898" s="83"/>
      <c r="AR898" s="83"/>
      <c r="AS898" s="83"/>
      <c r="AT898" s="83"/>
    </row>
    <row r="899" spans="36:46" x14ac:dyDescent="0.3">
      <c r="AJ899" s="83"/>
      <c r="AK899" s="83"/>
      <c r="AL899" s="83"/>
      <c r="AM899" s="83"/>
      <c r="AN899" s="83"/>
      <c r="AO899" s="83"/>
      <c r="AP899" s="83"/>
      <c r="AQ899" s="83"/>
      <c r="AR899" s="83"/>
      <c r="AS899" s="83"/>
      <c r="AT899" s="83"/>
    </row>
    <row r="900" spans="36:46" x14ac:dyDescent="0.3">
      <c r="AJ900" s="83"/>
      <c r="AK900" s="83"/>
      <c r="AL900" s="83"/>
      <c r="AM900" s="83"/>
      <c r="AN900" s="83"/>
      <c r="AO900" s="83"/>
      <c r="AP900" s="83"/>
      <c r="AQ900" s="83"/>
      <c r="AR900" s="83"/>
      <c r="AS900" s="83"/>
      <c r="AT900" s="83"/>
    </row>
    <row r="901" spans="36:46" x14ac:dyDescent="0.3">
      <c r="AJ901" s="83"/>
      <c r="AK901" s="83"/>
      <c r="AL901" s="83"/>
      <c r="AM901" s="83"/>
      <c r="AN901" s="83"/>
      <c r="AO901" s="83"/>
      <c r="AP901" s="83"/>
      <c r="AQ901" s="83"/>
      <c r="AR901" s="83"/>
      <c r="AS901" s="83"/>
      <c r="AT901" s="83"/>
    </row>
    <row r="902" spans="36:46" x14ac:dyDescent="0.3">
      <c r="AJ902" s="83"/>
      <c r="AK902" s="83"/>
      <c r="AL902" s="83"/>
      <c r="AM902" s="83"/>
      <c r="AN902" s="83"/>
      <c r="AO902" s="83"/>
      <c r="AP902" s="83"/>
      <c r="AQ902" s="83"/>
      <c r="AR902" s="83"/>
      <c r="AS902" s="83"/>
      <c r="AT902" s="83"/>
    </row>
    <row r="903" spans="36:46" x14ac:dyDescent="0.3">
      <c r="AJ903" s="83"/>
      <c r="AK903" s="83"/>
      <c r="AL903" s="83"/>
      <c r="AM903" s="83"/>
      <c r="AN903" s="83"/>
      <c r="AO903" s="83"/>
      <c r="AP903" s="83"/>
      <c r="AQ903" s="83"/>
      <c r="AR903" s="83"/>
      <c r="AS903" s="83"/>
      <c r="AT903" s="83"/>
    </row>
    <row r="904" spans="36:46" x14ac:dyDescent="0.3">
      <c r="AJ904" s="83"/>
      <c r="AK904" s="83"/>
      <c r="AL904" s="83"/>
      <c r="AM904" s="83"/>
      <c r="AN904" s="83"/>
      <c r="AO904" s="83"/>
      <c r="AP904" s="83"/>
      <c r="AQ904" s="83"/>
      <c r="AR904" s="83"/>
      <c r="AS904" s="83"/>
      <c r="AT904" s="83"/>
    </row>
    <row r="905" spans="36:46" x14ac:dyDescent="0.3">
      <c r="AJ905" s="83"/>
      <c r="AK905" s="83"/>
      <c r="AL905" s="83"/>
      <c r="AM905" s="83"/>
      <c r="AN905" s="83"/>
      <c r="AO905" s="83"/>
      <c r="AP905" s="83"/>
      <c r="AQ905" s="83"/>
      <c r="AR905" s="83"/>
      <c r="AS905" s="83"/>
      <c r="AT905" s="83"/>
    </row>
    <row r="906" spans="36:46" x14ac:dyDescent="0.3">
      <c r="AJ906" s="83"/>
      <c r="AK906" s="83"/>
      <c r="AL906" s="83"/>
      <c r="AM906" s="83"/>
      <c r="AN906" s="83"/>
      <c r="AO906" s="83"/>
      <c r="AP906" s="83"/>
      <c r="AQ906" s="83"/>
      <c r="AR906" s="83"/>
      <c r="AS906" s="83"/>
      <c r="AT906" s="83"/>
    </row>
    <row r="907" spans="36:46" x14ac:dyDescent="0.3">
      <c r="AJ907" s="83"/>
      <c r="AK907" s="83"/>
      <c r="AL907" s="83"/>
      <c r="AM907" s="83"/>
      <c r="AN907" s="83"/>
      <c r="AO907" s="83"/>
      <c r="AP907" s="83"/>
      <c r="AQ907" s="83"/>
      <c r="AR907" s="83"/>
      <c r="AS907" s="83"/>
      <c r="AT907" s="83"/>
    </row>
    <row r="908" spans="36:46" x14ac:dyDescent="0.3">
      <c r="AJ908" s="83"/>
      <c r="AK908" s="83"/>
      <c r="AL908" s="83"/>
      <c r="AM908" s="83"/>
      <c r="AN908" s="83"/>
      <c r="AO908" s="83"/>
      <c r="AP908" s="83"/>
      <c r="AQ908" s="83"/>
      <c r="AR908" s="83"/>
      <c r="AS908" s="83"/>
      <c r="AT908" s="83"/>
    </row>
    <row r="909" spans="36:46" x14ac:dyDescent="0.3">
      <c r="AJ909" s="83"/>
      <c r="AK909" s="83"/>
      <c r="AL909" s="83"/>
      <c r="AM909" s="83"/>
      <c r="AN909" s="83"/>
      <c r="AO909" s="83"/>
      <c r="AP909" s="83"/>
      <c r="AQ909" s="83"/>
      <c r="AR909" s="83"/>
      <c r="AS909" s="83"/>
      <c r="AT909" s="83"/>
    </row>
    <row r="910" spans="36:46" x14ac:dyDescent="0.3">
      <c r="AJ910" s="83"/>
      <c r="AK910" s="83"/>
      <c r="AL910" s="83"/>
      <c r="AM910" s="83"/>
      <c r="AN910" s="83"/>
      <c r="AO910" s="83"/>
      <c r="AP910" s="83"/>
      <c r="AQ910" s="83"/>
      <c r="AR910" s="83"/>
      <c r="AS910" s="83"/>
      <c r="AT910" s="83"/>
    </row>
    <row r="911" spans="36:46" x14ac:dyDescent="0.3">
      <c r="AJ911" s="83"/>
      <c r="AK911" s="83"/>
      <c r="AL911" s="83"/>
      <c r="AM911" s="83"/>
      <c r="AN911" s="83"/>
      <c r="AO911" s="83"/>
      <c r="AP911" s="83"/>
      <c r="AQ911" s="83"/>
      <c r="AR911" s="83"/>
      <c r="AS911" s="83"/>
      <c r="AT911" s="83"/>
    </row>
    <row r="912" spans="36:46" x14ac:dyDescent="0.3">
      <c r="AJ912" s="83"/>
      <c r="AK912" s="83"/>
      <c r="AL912" s="83"/>
      <c r="AM912" s="83"/>
      <c r="AN912" s="83"/>
      <c r="AO912" s="83"/>
      <c r="AP912" s="83"/>
      <c r="AQ912" s="83"/>
      <c r="AR912" s="83"/>
      <c r="AS912" s="83"/>
      <c r="AT912" s="83"/>
    </row>
    <row r="913" spans="36:46" x14ac:dyDescent="0.3">
      <c r="AJ913" s="83"/>
      <c r="AK913" s="83"/>
      <c r="AL913" s="83"/>
      <c r="AM913" s="83"/>
      <c r="AN913" s="83"/>
      <c r="AO913" s="83"/>
      <c r="AP913" s="83"/>
      <c r="AQ913" s="83"/>
      <c r="AR913" s="83"/>
      <c r="AS913" s="83"/>
      <c r="AT913" s="83"/>
    </row>
    <row r="914" spans="36:46" x14ac:dyDescent="0.3">
      <c r="AJ914" s="83"/>
      <c r="AK914" s="83"/>
      <c r="AL914" s="83"/>
      <c r="AM914" s="83"/>
      <c r="AN914" s="83"/>
      <c r="AO914" s="83"/>
      <c r="AP914" s="83"/>
      <c r="AQ914" s="83"/>
      <c r="AR914" s="83"/>
      <c r="AS914" s="83"/>
      <c r="AT914" s="83"/>
    </row>
    <row r="915" spans="36:46" x14ac:dyDescent="0.3">
      <c r="AJ915" s="83"/>
      <c r="AK915" s="83"/>
      <c r="AL915" s="83"/>
      <c r="AM915" s="83"/>
      <c r="AN915" s="83"/>
      <c r="AO915" s="83"/>
      <c r="AP915" s="83"/>
      <c r="AQ915" s="83"/>
      <c r="AR915" s="83"/>
      <c r="AS915" s="83"/>
      <c r="AT915" s="83"/>
    </row>
    <row r="916" spans="36:46" x14ac:dyDescent="0.3">
      <c r="AJ916" s="83"/>
      <c r="AK916" s="83"/>
      <c r="AL916" s="83"/>
      <c r="AM916" s="83"/>
      <c r="AN916" s="83"/>
      <c r="AO916" s="83"/>
      <c r="AP916" s="83"/>
      <c r="AQ916" s="83"/>
      <c r="AR916" s="83"/>
      <c r="AS916" s="83"/>
      <c r="AT916" s="83"/>
    </row>
    <row r="917" spans="36:46" x14ac:dyDescent="0.3">
      <c r="AJ917" s="83"/>
      <c r="AK917" s="83"/>
      <c r="AL917" s="83"/>
      <c r="AM917" s="83"/>
      <c r="AN917" s="83"/>
      <c r="AO917" s="83"/>
      <c r="AP917" s="83"/>
      <c r="AQ917" s="83"/>
      <c r="AR917" s="83"/>
      <c r="AS917" s="83"/>
      <c r="AT917" s="83"/>
    </row>
    <row r="918" spans="36:46" x14ac:dyDescent="0.3">
      <c r="AJ918" s="83"/>
      <c r="AK918" s="83"/>
      <c r="AL918" s="83"/>
      <c r="AM918" s="83"/>
      <c r="AN918" s="83"/>
      <c r="AO918" s="83"/>
      <c r="AP918" s="83"/>
      <c r="AQ918" s="83"/>
      <c r="AR918" s="83"/>
      <c r="AS918" s="83"/>
      <c r="AT918" s="83"/>
    </row>
    <row r="919" spans="36:46" x14ac:dyDescent="0.3">
      <c r="AJ919" s="83"/>
      <c r="AK919" s="83"/>
      <c r="AL919" s="83"/>
      <c r="AM919" s="83"/>
      <c r="AN919" s="83"/>
      <c r="AO919" s="83"/>
      <c r="AP919" s="83"/>
      <c r="AQ919" s="83"/>
      <c r="AR919" s="83"/>
      <c r="AS919" s="83"/>
      <c r="AT919" s="83"/>
    </row>
    <row r="920" spans="36:46" x14ac:dyDescent="0.3">
      <c r="AJ920" s="83"/>
      <c r="AK920" s="83"/>
      <c r="AL920" s="83"/>
      <c r="AM920" s="83"/>
      <c r="AN920" s="83"/>
      <c r="AO920" s="83"/>
      <c r="AP920" s="83"/>
      <c r="AQ920" s="83"/>
      <c r="AR920" s="83"/>
      <c r="AS920" s="83"/>
      <c r="AT920" s="83"/>
    </row>
    <row r="921" spans="36:46" x14ac:dyDescent="0.3">
      <c r="AJ921" s="83"/>
      <c r="AK921" s="83"/>
      <c r="AL921" s="83"/>
      <c r="AM921" s="83"/>
      <c r="AN921" s="83"/>
      <c r="AO921" s="83"/>
      <c r="AP921" s="83"/>
      <c r="AQ921" s="83"/>
      <c r="AR921" s="83"/>
      <c r="AS921" s="83"/>
      <c r="AT921" s="83"/>
    </row>
    <row r="922" spans="36:46" x14ac:dyDescent="0.3">
      <c r="AJ922" s="83"/>
      <c r="AK922" s="83"/>
      <c r="AL922" s="83"/>
      <c r="AM922" s="83"/>
      <c r="AN922" s="83"/>
      <c r="AO922" s="83"/>
      <c r="AP922" s="83"/>
      <c r="AQ922" s="83"/>
      <c r="AR922" s="83"/>
      <c r="AS922" s="83"/>
      <c r="AT922" s="83"/>
    </row>
    <row r="923" spans="36:46" x14ac:dyDescent="0.3">
      <c r="AJ923" s="83"/>
      <c r="AK923" s="83"/>
      <c r="AL923" s="83"/>
      <c r="AM923" s="83"/>
      <c r="AN923" s="83"/>
      <c r="AO923" s="83"/>
      <c r="AP923" s="83"/>
      <c r="AQ923" s="83"/>
      <c r="AR923" s="83"/>
      <c r="AS923" s="83"/>
      <c r="AT923" s="83"/>
    </row>
    <row r="924" spans="36:46" x14ac:dyDescent="0.3">
      <c r="AJ924" s="83"/>
      <c r="AK924" s="83"/>
      <c r="AL924" s="83"/>
      <c r="AM924" s="83"/>
      <c r="AN924" s="83"/>
      <c r="AO924" s="83"/>
      <c r="AP924" s="83"/>
      <c r="AQ924" s="83"/>
      <c r="AR924" s="83"/>
      <c r="AS924" s="83"/>
      <c r="AT924" s="83"/>
    </row>
    <row r="925" spans="36:46" x14ac:dyDescent="0.3">
      <c r="AJ925" s="83"/>
      <c r="AK925" s="83"/>
      <c r="AL925" s="83"/>
      <c r="AM925" s="83"/>
      <c r="AN925" s="83"/>
      <c r="AO925" s="83"/>
      <c r="AP925" s="83"/>
      <c r="AQ925" s="83"/>
      <c r="AR925" s="83"/>
      <c r="AS925" s="83"/>
      <c r="AT925" s="83"/>
    </row>
    <row r="926" spans="36:46" x14ac:dyDescent="0.3">
      <c r="AJ926" s="83"/>
      <c r="AK926" s="83"/>
      <c r="AL926" s="83"/>
      <c r="AM926" s="83"/>
      <c r="AN926" s="83"/>
      <c r="AO926" s="83"/>
      <c r="AP926" s="83"/>
      <c r="AQ926" s="83"/>
      <c r="AR926" s="83"/>
      <c r="AS926" s="83"/>
      <c r="AT926" s="83"/>
    </row>
    <row r="927" spans="36:46" x14ac:dyDescent="0.3">
      <c r="AJ927" s="83"/>
      <c r="AK927" s="83"/>
      <c r="AL927" s="83"/>
      <c r="AM927" s="83"/>
      <c r="AN927" s="83"/>
      <c r="AO927" s="83"/>
      <c r="AP927" s="83"/>
      <c r="AQ927" s="83"/>
      <c r="AR927" s="83"/>
      <c r="AS927" s="83"/>
      <c r="AT927" s="83"/>
    </row>
    <row r="928" spans="36:46" x14ac:dyDescent="0.3">
      <c r="AJ928" s="83"/>
      <c r="AK928" s="83"/>
      <c r="AL928" s="83"/>
      <c r="AM928" s="83"/>
      <c r="AN928" s="83"/>
      <c r="AO928" s="83"/>
      <c r="AP928" s="83"/>
      <c r="AQ928" s="83"/>
      <c r="AR928" s="83"/>
      <c r="AS928" s="83"/>
      <c r="AT928" s="83"/>
    </row>
    <row r="929" spans="36:46" x14ac:dyDescent="0.3">
      <c r="AJ929" s="83"/>
      <c r="AK929" s="83"/>
      <c r="AL929" s="83"/>
      <c r="AM929" s="83"/>
      <c r="AN929" s="83"/>
      <c r="AO929" s="83"/>
      <c r="AP929" s="83"/>
      <c r="AQ929" s="83"/>
      <c r="AR929" s="83"/>
      <c r="AS929" s="83"/>
      <c r="AT929" s="83"/>
    </row>
    <row r="930" spans="36:46" x14ac:dyDescent="0.3">
      <c r="AJ930" s="83"/>
      <c r="AK930" s="83"/>
      <c r="AL930" s="83"/>
      <c r="AM930" s="83"/>
      <c r="AN930" s="83"/>
      <c r="AO930" s="83"/>
      <c r="AP930" s="83"/>
      <c r="AQ930" s="83"/>
      <c r="AR930" s="83"/>
      <c r="AS930" s="83"/>
      <c r="AT930" s="83"/>
    </row>
    <row r="931" spans="36:46" x14ac:dyDescent="0.3">
      <c r="AJ931" s="83"/>
      <c r="AK931" s="83"/>
      <c r="AL931" s="83"/>
      <c r="AM931" s="83"/>
      <c r="AN931" s="83"/>
      <c r="AO931" s="83"/>
      <c r="AP931" s="83"/>
      <c r="AQ931" s="83"/>
      <c r="AR931" s="83"/>
      <c r="AS931" s="83"/>
      <c r="AT931" s="83"/>
    </row>
    <row r="932" spans="36:46" x14ac:dyDescent="0.3">
      <c r="AJ932" s="83"/>
      <c r="AK932" s="83"/>
      <c r="AL932" s="83"/>
      <c r="AM932" s="83"/>
      <c r="AN932" s="83"/>
      <c r="AO932" s="83"/>
      <c r="AP932" s="83"/>
      <c r="AQ932" s="83"/>
      <c r="AR932" s="83"/>
      <c r="AS932" s="83"/>
      <c r="AT932" s="83"/>
    </row>
    <row r="933" spans="36:46" x14ac:dyDescent="0.3">
      <c r="AJ933" s="83"/>
      <c r="AK933" s="83"/>
      <c r="AL933" s="83"/>
      <c r="AM933" s="83"/>
      <c r="AN933" s="83"/>
      <c r="AO933" s="83"/>
      <c r="AP933" s="83"/>
      <c r="AQ933" s="83"/>
      <c r="AR933" s="83"/>
      <c r="AS933" s="83"/>
      <c r="AT933" s="83"/>
    </row>
    <row r="934" spans="36:46" x14ac:dyDescent="0.3">
      <c r="AJ934" s="83"/>
      <c r="AK934" s="83"/>
      <c r="AL934" s="83"/>
      <c r="AM934" s="83"/>
      <c r="AN934" s="83"/>
      <c r="AO934" s="83"/>
      <c r="AP934" s="83"/>
      <c r="AQ934" s="83"/>
      <c r="AR934" s="83"/>
      <c r="AS934" s="83"/>
      <c r="AT934" s="83"/>
    </row>
    <row r="935" spans="36:46" x14ac:dyDescent="0.3">
      <c r="AJ935" s="83"/>
      <c r="AK935" s="83"/>
      <c r="AL935" s="83"/>
      <c r="AM935" s="83"/>
      <c r="AN935" s="83"/>
      <c r="AO935" s="83"/>
      <c r="AP935" s="83"/>
      <c r="AQ935" s="83"/>
      <c r="AR935" s="83"/>
      <c r="AS935" s="83"/>
      <c r="AT935" s="83"/>
    </row>
    <row r="936" spans="36:46" x14ac:dyDescent="0.3">
      <c r="AJ936" s="83"/>
      <c r="AK936" s="83"/>
      <c r="AL936" s="83"/>
      <c r="AM936" s="83"/>
      <c r="AN936" s="83"/>
      <c r="AO936" s="83"/>
      <c r="AP936" s="83"/>
      <c r="AQ936" s="83"/>
      <c r="AR936" s="83"/>
      <c r="AS936" s="83"/>
      <c r="AT936" s="83"/>
    </row>
    <row r="937" spans="36:46" x14ac:dyDescent="0.3">
      <c r="AJ937" s="83"/>
      <c r="AK937" s="83"/>
      <c r="AL937" s="83"/>
      <c r="AM937" s="83"/>
      <c r="AN937" s="83"/>
      <c r="AO937" s="83"/>
      <c r="AP937" s="83"/>
      <c r="AQ937" s="83"/>
      <c r="AR937" s="83"/>
      <c r="AS937" s="83"/>
      <c r="AT937" s="83"/>
    </row>
    <row r="938" spans="36:46" x14ac:dyDescent="0.3">
      <c r="AJ938" s="83"/>
      <c r="AK938" s="83"/>
      <c r="AL938" s="83"/>
      <c r="AM938" s="83"/>
      <c r="AN938" s="83"/>
      <c r="AO938" s="83"/>
      <c r="AP938" s="83"/>
      <c r="AQ938" s="83"/>
      <c r="AR938" s="83"/>
      <c r="AS938" s="83"/>
      <c r="AT938" s="83"/>
    </row>
    <row r="939" spans="36:46" x14ac:dyDescent="0.3">
      <c r="AJ939" s="83"/>
      <c r="AK939" s="83"/>
      <c r="AL939" s="83"/>
      <c r="AM939" s="83"/>
      <c r="AN939" s="83"/>
      <c r="AO939" s="83"/>
      <c r="AP939" s="83"/>
      <c r="AQ939" s="83"/>
      <c r="AR939" s="83"/>
      <c r="AS939" s="83"/>
      <c r="AT939" s="83"/>
    </row>
    <row r="940" spans="36:46" x14ac:dyDescent="0.3">
      <c r="AJ940" s="83"/>
      <c r="AK940" s="83"/>
      <c r="AL940" s="83"/>
      <c r="AM940" s="83"/>
      <c r="AN940" s="83"/>
      <c r="AO940" s="83"/>
      <c r="AP940" s="83"/>
      <c r="AQ940" s="83"/>
      <c r="AR940" s="83"/>
      <c r="AS940" s="83"/>
      <c r="AT940" s="83"/>
    </row>
    <row r="941" spans="36:46" x14ac:dyDescent="0.3">
      <c r="AJ941" s="83"/>
      <c r="AK941" s="83"/>
      <c r="AL941" s="83"/>
      <c r="AM941" s="83"/>
      <c r="AN941" s="83"/>
      <c r="AO941" s="83"/>
      <c r="AP941" s="83"/>
      <c r="AQ941" s="83"/>
      <c r="AR941" s="83"/>
      <c r="AS941" s="83"/>
      <c r="AT941" s="83"/>
    </row>
    <row r="942" spans="36:46" x14ac:dyDescent="0.3">
      <c r="AJ942" s="83"/>
      <c r="AK942" s="83"/>
      <c r="AL942" s="83"/>
      <c r="AM942" s="83"/>
      <c r="AN942" s="83"/>
      <c r="AO942" s="83"/>
      <c r="AP942" s="83"/>
      <c r="AQ942" s="83"/>
      <c r="AR942" s="83"/>
      <c r="AS942" s="83"/>
      <c r="AT942" s="83"/>
    </row>
    <row r="943" spans="36:46" x14ac:dyDescent="0.3">
      <c r="AJ943" s="83"/>
      <c r="AK943" s="83"/>
      <c r="AL943" s="83"/>
      <c r="AM943" s="83"/>
      <c r="AN943" s="83"/>
      <c r="AO943" s="83"/>
      <c r="AP943" s="83"/>
      <c r="AQ943" s="83"/>
      <c r="AR943" s="83"/>
      <c r="AS943" s="83"/>
      <c r="AT943" s="83"/>
    </row>
    <row r="944" spans="36:46" x14ac:dyDescent="0.3">
      <c r="AJ944" s="83"/>
      <c r="AK944" s="83"/>
      <c r="AL944" s="83"/>
      <c r="AM944" s="83"/>
      <c r="AN944" s="83"/>
      <c r="AO944" s="83"/>
      <c r="AP944" s="83"/>
      <c r="AQ944" s="83"/>
      <c r="AR944" s="83"/>
      <c r="AS944" s="83"/>
      <c r="AT944" s="83"/>
    </row>
    <row r="945" spans="36:46" x14ac:dyDescent="0.3">
      <c r="AJ945" s="83"/>
      <c r="AK945" s="83"/>
      <c r="AL945" s="83"/>
      <c r="AM945" s="83"/>
      <c r="AN945" s="83"/>
      <c r="AO945" s="83"/>
      <c r="AP945" s="83"/>
      <c r="AQ945" s="83"/>
      <c r="AR945" s="83"/>
      <c r="AS945" s="83"/>
      <c r="AT945" s="83"/>
    </row>
    <row r="946" spans="36:46" x14ac:dyDescent="0.3">
      <c r="AJ946" s="83"/>
      <c r="AK946" s="83"/>
      <c r="AL946" s="83"/>
      <c r="AM946" s="83"/>
      <c r="AN946" s="83"/>
      <c r="AO946" s="83"/>
      <c r="AP946" s="83"/>
      <c r="AQ946" s="83"/>
      <c r="AR946" s="83"/>
      <c r="AS946" s="83"/>
      <c r="AT946" s="83"/>
    </row>
    <row r="947" spans="36:46" x14ac:dyDescent="0.3">
      <c r="AJ947" s="83"/>
      <c r="AK947" s="83"/>
      <c r="AL947" s="83"/>
      <c r="AM947" s="83"/>
      <c r="AN947" s="83"/>
      <c r="AO947" s="83"/>
      <c r="AP947" s="83"/>
      <c r="AQ947" s="83"/>
      <c r="AR947" s="83"/>
      <c r="AS947" s="83"/>
      <c r="AT947" s="83"/>
    </row>
    <row r="948" spans="36:46" x14ac:dyDescent="0.3">
      <c r="AJ948" s="83"/>
      <c r="AK948" s="83"/>
      <c r="AL948" s="83"/>
      <c r="AM948" s="83"/>
      <c r="AN948" s="83"/>
      <c r="AO948" s="83"/>
      <c r="AP948" s="83"/>
      <c r="AQ948" s="83"/>
      <c r="AR948" s="83"/>
      <c r="AS948" s="83"/>
      <c r="AT948" s="83"/>
    </row>
    <row r="949" spans="36:46" x14ac:dyDescent="0.3">
      <c r="AJ949" s="83"/>
      <c r="AK949" s="83"/>
      <c r="AL949" s="83"/>
      <c r="AM949" s="83"/>
      <c r="AN949" s="83"/>
      <c r="AO949" s="83"/>
      <c r="AP949" s="83"/>
      <c r="AQ949" s="83"/>
      <c r="AR949" s="83"/>
      <c r="AS949" s="83"/>
      <c r="AT949" s="83"/>
    </row>
    <row r="950" spans="36:46" x14ac:dyDescent="0.3">
      <c r="AJ950" s="83"/>
      <c r="AK950" s="83"/>
      <c r="AL950" s="83"/>
      <c r="AM950" s="83"/>
      <c r="AN950" s="83"/>
      <c r="AO950" s="83"/>
      <c r="AP950" s="83"/>
      <c r="AQ950" s="83"/>
      <c r="AR950" s="83"/>
      <c r="AS950" s="83"/>
      <c r="AT950" s="83"/>
    </row>
    <row r="951" spans="36:46" x14ac:dyDescent="0.3">
      <c r="AJ951" s="83"/>
      <c r="AK951" s="83"/>
      <c r="AL951" s="83"/>
      <c r="AM951" s="83"/>
      <c r="AN951" s="83"/>
      <c r="AO951" s="83"/>
      <c r="AP951" s="83"/>
      <c r="AQ951" s="83"/>
      <c r="AR951" s="83"/>
      <c r="AS951" s="83"/>
      <c r="AT951" s="83"/>
    </row>
    <row r="952" spans="36:46" x14ac:dyDescent="0.3">
      <c r="AJ952" s="83"/>
      <c r="AK952" s="83"/>
      <c r="AL952" s="83"/>
      <c r="AM952" s="83"/>
      <c r="AN952" s="83"/>
      <c r="AO952" s="83"/>
      <c r="AP952" s="83"/>
      <c r="AQ952" s="83"/>
      <c r="AR952" s="83"/>
      <c r="AS952" s="83"/>
      <c r="AT952" s="83"/>
    </row>
    <row r="953" spans="36:46" x14ac:dyDescent="0.3">
      <c r="AJ953" s="83"/>
      <c r="AK953" s="83"/>
      <c r="AL953" s="83"/>
      <c r="AM953" s="83"/>
      <c r="AN953" s="83"/>
      <c r="AO953" s="83"/>
      <c r="AP953" s="83"/>
      <c r="AQ953" s="83"/>
      <c r="AR953" s="83"/>
      <c r="AS953" s="83"/>
      <c r="AT953" s="83"/>
    </row>
    <row r="954" spans="36:46" x14ac:dyDescent="0.3">
      <c r="AJ954" s="83"/>
      <c r="AK954" s="83"/>
      <c r="AL954" s="83"/>
      <c r="AM954" s="83"/>
      <c r="AN954" s="83"/>
      <c r="AO954" s="83"/>
      <c r="AP954" s="83"/>
      <c r="AQ954" s="83"/>
      <c r="AR954" s="83"/>
      <c r="AS954" s="83"/>
      <c r="AT954" s="83"/>
    </row>
    <row r="955" spans="36:46" x14ac:dyDescent="0.3">
      <c r="AJ955" s="83"/>
      <c r="AK955" s="83"/>
      <c r="AL955" s="83"/>
      <c r="AM955" s="83"/>
      <c r="AN955" s="83"/>
      <c r="AO955" s="83"/>
      <c r="AP955" s="83"/>
      <c r="AQ955" s="83"/>
      <c r="AR955" s="83"/>
      <c r="AS955" s="83"/>
      <c r="AT955" s="83"/>
    </row>
    <row r="956" spans="36:46" x14ac:dyDescent="0.3">
      <c r="AJ956" s="83"/>
      <c r="AK956" s="83"/>
      <c r="AL956" s="83"/>
      <c r="AM956" s="83"/>
      <c r="AN956" s="83"/>
      <c r="AO956" s="83"/>
      <c r="AP956" s="83"/>
      <c r="AQ956" s="83"/>
      <c r="AR956" s="83"/>
      <c r="AS956" s="83"/>
      <c r="AT956" s="83"/>
    </row>
    <row r="957" spans="36:46" x14ac:dyDescent="0.3">
      <c r="AJ957" s="83"/>
      <c r="AK957" s="83"/>
      <c r="AL957" s="83"/>
      <c r="AM957" s="83"/>
      <c r="AN957" s="83"/>
      <c r="AO957" s="83"/>
      <c r="AP957" s="83"/>
      <c r="AQ957" s="83"/>
      <c r="AR957" s="83"/>
      <c r="AS957" s="83"/>
      <c r="AT957" s="83"/>
    </row>
    <row r="958" spans="36:46" x14ac:dyDescent="0.3">
      <c r="AJ958" s="83"/>
      <c r="AK958" s="83"/>
      <c r="AL958" s="83"/>
      <c r="AM958" s="83"/>
      <c r="AN958" s="83"/>
      <c r="AO958" s="83"/>
      <c r="AP958" s="83"/>
      <c r="AQ958" s="83"/>
      <c r="AR958" s="83"/>
      <c r="AS958" s="83"/>
      <c r="AT958" s="83"/>
    </row>
    <row r="959" spans="36:46" x14ac:dyDescent="0.3">
      <c r="AJ959" s="83"/>
      <c r="AK959" s="83"/>
      <c r="AL959" s="83"/>
      <c r="AM959" s="83"/>
      <c r="AN959" s="83"/>
      <c r="AO959" s="83"/>
      <c r="AP959" s="83"/>
      <c r="AQ959" s="83"/>
      <c r="AR959" s="83"/>
      <c r="AS959" s="83"/>
      <c r="AT959" s="83"/>
    </row>
    <row r="960" spans="36:46" x14ac:dyDescent="0.3">
      <c r="AJ960" s="83"/>
      <c r="AK960" s="83"/>
      <c r="AL960" s="83"/>
      <c r="AM960" s="83"/>
      <c r="AN960" s="83"/>
      <c r="AO960" s="83"/>
      <c r="AP960" s="83"/>
      <c r="AQ960" s="83"/>
      <c r="AR960" s="83"/>
      <c r="AS960" s="83"/>
      <c r="AT960" s="83"/>
    </row>
    <row r="961" spans="36:46" x14ac:dyDescent="0.3">
      <c r="AJ961" s="83"/>
      <c r="AK961" s="83"/>
      <c r="AL961" s="83"/>
      <c r="AM961" s="83"/>
      <c r="AN961" s="83"/>
      <c r="AO961" s="83"/>
      <c r="AP961" s="83"/>
      <c r="AQ961" s="83"/>
      <c r="AR961" s="83"/>
      <c r="AS961" s="83"/>
      <c r="AT961" s="83"/>
    </row>
    <row r="962" spans="36:46" x14ac:dyDescent="0.3">
      <c r="AJ962" s="83"/>
      <c r="AK962" s="83"/>
      <c r="AL962" s="83"/>
      <c r="AM962" s="83"/>
      <c r="AN962" s="83"/>
      <c r="AO962" s="83"/>
      <c r="AP962" s="83"/>
      <c r="AQ962" s="83"/>
      <c r="AR962" s="83"/>
      <c r="AS962" s="83"/>
      <c r="AT962" s="83"/>
    </row>
    <row r="963" spans="36:46" x14ac:dyDescent="0.3">
      <c r="AJ963" s="83"/>
      <c r="AK963" s="83"/>
      <c r="AL963" s="83"/>
      <c r="AM963" s="83"/>
      <c r="AN963" s="83"/>
      <c r="AO963" s="83"/>
      <c r="AP963" s="83"/>
      <c r="AQ963" s="83"/>
      <c r="AR963" s="83"/>
      <c r="AS963" s="83"/>
      <c r="AT963" s="83"/>
    </row>
    <row r="964" spans="36:46" x14ac:dyDescent="0.3">
      <c r="AJ964" s="83"/>
      <c r="AK964" s="83"/>
      <c r="AL964" s="83"/>
      <c r="AM964" s="83"/>
      <c r="AN964" s="83"/>
      <c r="AO964" s="83"/>
      <c r="AP964" s="83"/>
      <c r="AQ964" s="83"/>
      <c r="AR964" s="83"/>
      <c r="AS964" s="83"/>
      <c r="AT964" s="83"/>
    </row>
    <row r="965" spans="36:46" x14ac:dyDescent="0.3">
      <c r="AJ965" s="83"/>
      <c r="AK965" s="83"/>
      <c r="AL965" s="83"/>
      <c r="AM965" s="83"/>
      <c r="AN965" s="83"/>
      <c r="AO965" s="83"/>
      <c r="AP965" s="83"/>
      <c r="AQ965" s="83"/>
      <c r="AR965" s="83"/>
      <c r="AS965" s="83"/>
      <c r="AT965" s="83"/>
    </row>
    <row r="966" spans="36:46" x14ac:dyDescent="0.3">
      <c r="AJ966" s="83"/>
      <c r="AK966" s="83"/>
      <c r="AL966" s="83"/>
      <c r="AM966" s="83"/>
      <c r="AN966" s="83"/>
      <c r="AO966" s="83"/>
      <c r="AP966" s="83"/>
      <c r="AQ966" s="83"/>
      <c r="AR966" s="83"/>
      <c r="AS966" s="83"/>
      <c r="AT966" s="83"/>
    </row>
    <row r="967" spans="36:46" x14ac:dyDescent="0.3">
      <c r="AJ967" s="83"/>
      <c r="AK967" s="83"/>
      <c r="AL967" s="83"/>
      <c r="AM967" s="83"/>
      <c r="AN967" s="83"/>
      <c r="AO967" s="83"/>
      <c r="AP967" s="83"/>
      <c r="AQ967" s="83"/>
      <c r="AR967" s="83"/>
      <c r="AS967" s="83"/>
      <c r="AT967" s="83"/>
    </row>
    <row r="968" spans="36:46" x14ac:dyDescent="0.3">
      <c r="AJ968" s="83"/>
      <c r="AK968" s="83"/>
      <c r="AL968" s="83"/>
      <c r="AM968" s="83"/>
      <c r="AN968" s="83"/>
      <c r="AO968" s="83"/>
      <c r="AP968" s="83"/>
      <c r="AQ968" s="83"/>
      <c r="AR968" s="83"/>
      <c r="AS968" s="83"/>
      <c r="AT968" s="83"/>
    </row>
    <row r="969" spans="36:46" x14ac:dyDescent="0.3">
      <c r="AJ969" s="83"/>
      <c r="AK969" s="83"/>
      <c r="AL969" s="83"/>
      <c r="AM969" s="83"/>
      <c r="AN969" s="83"/>
      <c r="AO969" s="83"/>
      <c r="AP969" s="83"/>
      <c r="AQ969" s="83"/>
      <c r="AR969" s="83"/>
      <c r="AS969" s="83"/>
      <c r="AT969" s="83"/>
    </row>
    <row r="970" spans="36:46" x14ac:dyDescent="0.3">
      <c r="AJ970" s="83"/>
      <c r="AK970" s="83"/>
      <c r="AL970" s="83"/>
      <c r="AM970" s="83"/>
      <c r="AN970" s="83"/>
      <c r="AO970" s="83"/>
      <c r="AP970" s="83"/>
      <c r="AQ970" s="83"/>
      <c r="AR970" s="83"/>
      <c r="AS970" s="83"/>
      <c r="AT970" s="83"/>
    </row>
    <row r="971" spans="36:46" x14ac:dyDescent="0.3">
      <c r="AJ971" s="83"/>
      <c r="AK971" s="83"/>
      <c r="AL971" s="83"/>
      <c r="AM971" s="83"/>
      <c r="AN971" s="83"/>
      <c r="AO971" s="83"/>
      <c r="AP971" s="83"/>
      <c r="AQ971" s="83"/>
      <c r="AR971" s="83"/>
      <c r="AS971" s="83"/>
      <c r="AT971" s="83"/>
    </row>
    <row r="972" spans="36:46" x14ac:dyDescent="0.3">
      <c r="AJ972" s="83"/>
      <c r="AK972" s="83"/>
      <c r="AL972" s="83"/>
      <c r="AM972" s="83"/>
      <c r="AN972" s="83"/>
      <c r="AO972" s="83"/>
      <c r="AP972" s="83"/>
      <c r="AQ972" s="83"/>
      <c r="AR972" s="83"/>
      <c r="AS972" s="83"/>
      <c r="AT972" s="83"/>
    </row>
    <row r="973" spans="36:46" x14ac:dyDescent="0.3">
      <c r="AJ973" s="83"/>
      <c r="AK973" s="83"/>
      <c r="AL973" s="83"/>
      <c r="AM973" s="83"/>
      <c r="AN973" s="83"/>
      <c r="AO973" s="83"/>
      <c r="AP973" s="83"/>
      <c r="AQ973" s="83"/>
      <c r="AR973" s="83"/>
      <c r="AS973" s="83"/>
      <c r="AT973" s="83"/>
    </row>
    <row r="974" spans="36:46" x14ac:dyDescent="0.3">
      <c r="AJ974" s="83"/>
      <c r="AK974" s="83"/>
      <c r="AL974" s="83"/>
      <c r="AM974" s="83"/>
      <c r="AN974" s="83"/>
      <c r="AO974" s="83"/>
      <c r="AP974" s="83"/>
      <c r="AQ974" s="83"/>
      <c r="AR974" s="83"/>
      <c r="AS974" s="83"/>
      <c r="AT974" s="83"/>
    </row>
    <row r="975" spans="36:46" x14ac:dyDescent="0.3">
      <c r="AJ975" s="83"/>
      <c r="AK975" s="83"/>
      <c r="AL975" s="83"/>
      <c r="AM975" s="83"/>
      <c r="AN975" s="83"/>
      <c r="AO975" s="83"/>
      <c r="AP975" s="83"/>
      <c r="AQ975" s="83"/>
      <c r="AR975" s="83"/>
      <c r="AS975" s="83"/>
      <c r="AT975" s="83"/>
    </row>
    <row r="976" spans="36:46" x14ac:dyDescent="0.3">
      <c r="AJ976" s="83"/>
      <c r="AK976" s="83"/>
      <c r="AL976" s="83"/>
      <c r="AM976" s="83"/>
      <c r="AN976" s="83"/>
      <c r="AO976" s="83"/>
      <c r="AP976" s="83"/>
      <c r="AQ976" s="83"/>
      <c r="AR976" s="83"/>
      <c r="AS976" s="83"/>
      <c r="AT976" s="83"/>
    </row>
    <row r="977" spans="36:46" x14ac:dyDescent="0.3">
      <c r="AJ977" s="83"/>
      <c r="AK977" s="83"/>
      <c r="AL977" s="83"/>
      <c r="AM977" s="83"/>
      <c r="AN977" s="83"/>
      <c r="AO977" s="83"/>
      <c r="AP977" s="83"/>
      <c r="AQ977" s="83"/>
      <c r="AR977" s="83"/>
      <c r="AS977" s="83"/>
      <c r="AT977" s="83"/>
    </row>
    <row r="978" spans="36:46" x14ac:dyDescent="0.3">
      <c r="AJ978" s="83"/>
      <c r="AK978" s="83"/>
      <c r="AL978" s="83"/>
      <c r="AM978" s="83"/>
      <c r="AN978" s="83"/>
      <c r="AO978" s="83"/>
      <c r="AP978" s="83"/>
      <c r="AQ978" s="83"/>
      <c r="AR978" s="83"/>
      <c r="AS978" s="83"/>
      <c r="AT978" s="83"/>
    </row>
    <row r="979" spans="36:46" x14ac:dyDescent="0.3">
      <c r="AJ979" s="83"/>
      <c r="AK979" s="83"/>
      <c r="AL979" s="83"/>
      <c r="AM979" s="83"/>
      <c r="AN979" s="83"/>
      <c r="AO979" s="83"/>
      <c r="AP979" s="83"/>
      <c r="AQ979" s="83"/>
      <c r="AR979" s="83"/>
      <c r="AS979" s="83"/>
      <c r="AT979" s="83"/>
    </row>
    <row r="980" spans="36:46" x14ac:dyDescent="0.3">
      <c r="AJ980" s="83"/>
      <c r="AK980" s="83"/>
      <c r="AL980" s="83"/>
      <c r="AM980" s="83"/>
      <c r="AN980" s="83"/>
      <c r="AO980" s="83"/>
      <c r="AP980" s="83"/>
      <c r="AQ980" s="83"/>
      <c r="AR980" s="83"/>
      <c r="AS980" s="83"/>
      <c r="AT980" s="83"/>
    </row>
    <row r="981" spans="36:46" x14ac:dyDescent="0.3">
      <c r="AJ981" s="83"/>
      <c r="AK981" s="83"/>
      <c r="AL981" s="83"/>
      <c r="AM981" s="83"/>
      <c r="AN981" s="83"/>
      <c r="AO981" s="83"/>
      <c r="AP981" s="83"/>
      <c r="AQ981" s="83"/>
      <c r="AR981" s="83"/>
      <c r="AS981" s="83"/>
      <c r="AT981" s="83"/>
    </row>
    <row r="982" spans="36:46" x14ac:dyDescent="0.3">
      <c r="AJ982" s="83"/>
      <c r="AK982" s="83"/>
      <c r="AL982" s="83"/>
      <c r="AM982" s="83"/>
      <c r="AN982" s="83"/>
      <c r="AO982" s="83"/>
      <c r="AP982" s="83"/>
      <c r="AQ982" s="83"/>
      <c r="AR982" s="83"/>
      <c r="AS982" s="83"/>
      <c r="AT982" s="83"/>
    </row>
    <row r="983" spans="36:46" x14ac:dyDescent="0.3">
      <c r="AJ983" s="83"/>
      <c r="AK983" s="83"/>
      <c r="AL983" s="83"/>
      <c r="AM983" s="83"/>
      <c r="AN983" s="83"/>
      <c r="AO983" s="83"/>
      <c r="AP983" s="83"/>
      <c r="AQ983" s="83"/>
      <c r="AR983" s="83"/>
      <c r="AS983" s="83"/>
      <c r="AT983" s="83"/>
    </row>
    <row r="984" spans="36:46" x14ac:dyDescent="0.3">
      <c r="AJ984" s="83"/>
      <c r="AK984" s="83"/>
      <c r="AL984" s="83"/>
      <c r="AM984" s="83"/>
      <c r="AN984" s="83"/>
      <c r="AO984" s="83"/>
      <c r="AP984" s="83"/>
      <c r="AQ984" s="83"/>
      <c r="AR984" s="83"/>
      <c r="AS984" s="83"/>
      <c r="AT984" s="83"/>
    </row>
    <row r="985" spans="36:46" x14ac:dyDescent="0.3">
      <c r="AJ985" s="83"/>
      <c r="AK985" s="83"/>
      <c r="AL985" s="83"/>
      <c r="AM985" s="83"/>
      <c r="AN985" s="83"/>
      <c r="AO985" s="83"/>
      <c r="AP985" s="83"/>
      <c r="AQ985" s="83"/>
      <c r="AR985" s="83"/>
      <c r="AS985" s="83"/>
      <c r="AT985" s="83"/>
    </row>
    <row r="986" spans="36:46" x14ac:dyDescent="0.3">
      <c r="AJ986" s="83"/>
      <c r="AK986" s="83"/>
      <c r="AL986" s="83"/>
      <c r="AM986" s="83"/>
      <c r="AN986" s="83"/>
      <c r="AO986" s="83"/>
      <c r="AP986" s="83"/>
      <c r="AQ986" s="83"/>
      <c r="AR986" s="83"/>
      <c r="AS986" s="83"/>
      <c r="AT986" s="83"/>
    </row>
    <row r="987" spans="36:46" x14ac:dyDescent="0.3">
      <c r="AJ987" s="83"/>
      <c r="AK987" s="83"/>
      <c r="AL987" s="83"/>
      <c r="AM987" s="83"/>
      <c r="AN987" s="83"/>
      <c r="AO987" s="83"/>
      <c r="AP987" s="83"/>
      <c r="AQ987" s="83"/>
      <c r="AR987" s="83"/>
      <c r="AS987" s="83"/>
      <c r="AT987" s="83"/>
    </row>
    <row r="988" spans="36:46" x14ac:dyDescent="0.3">
      <c r="AJ988" s="83"/>
      <c r="AK988" s="83"/>
      <c r="AL988" s="83"/>
      <c r="AM988" s="83"/>
      <c r="AN988" s="83"/>
      <c r="AO988" s="83"/>
      <c r="AP988" s="83"/>
      <c r="AQ988" s="83"/>
      <c r="AR988" s="83"/>
      <c r="AS988" s="83"/>
      <c r="AT988" s="83"/>
    </row>
    <row r="989" spans="36:46" x14ac:dyDescent="0.3">
      <c r="AJ989" s="83"/>
      <c r="AK989" s="83"/>
      <c r="AL989" s="83"/>
      <c r="AM989" s="83"/>
      <c r="AN989" s="83"/>
      <c r="AO989" s="83"/>
      <c r="AP989" s="83"/>
      <c r="AQ989" s="83"/>
      <c r="AR989" s="83"/>
      <c r="AS989" s="83"/>
      <c r="AT989" s="83"/>
    </row>
    <row r="990" spans="36:46" x14ac:dyDescent="0.3">
      <c r="AJ990" s="83"/>
      <c r="AK990" s="83"/>
      <c r="AL990" s="83"/>
      <c r="AM990" s="83"/>
      <c r="AN990" s="83"/>
      <c r="AO990" s="83"/>
      <c r="AP990" s="83"/>
      <c r="AQ990" s="83"/>
      <c r="AR990" s="83"/>
      <c r="AS990" s="83"/>
      <c r="AT990" s="83"/>
    </row>
    <row r="991" spans="36:46" x14ac:dyDescent="0.3">
      <c r="AJ991" s="83"/>
      <c r="AK991" s="83"/>
      <c r="AL991" s="83"/>
      <c r="AM991" s="83"/>
      <c r="AN991" s="83"/>
      <c r="AO991" s="83"/>
      <c r="AP991" s="83"/>
      <c r="AQ991" s="83"/>
      <c r="AR991" s="83"/>
      <c r="AS991" s="83"/>
      <c r="AT991" s="83"/>
    </row>
    <row r="992" spans="36:46" x14ac:dyDescent="0.3">
      <c r="AJ992" s="83"/>
      <c r="AK992" s="83"/>
      <c r="AL992" s="83"/>
      <c r="AM992" s="83"/>
      <c r="AN992" s="83"/>
      <c r="AO992" s="83"/>
      <c r="AP992" s="83"/>
      <c r="AQ992" s="83"/>
      <c r="AR992" s="83"/>
      <c r="AS992" s="83"/>
      <c r="AT992" s="83"/>
    </row>
    <row r="993" spans="36:46" x14ac:dyDescent="0.3">
      <c r="AJ993" s="83"/>
      <c r="AK993" s="83"/>
      <c r="AL993" s="83"/>
      <c r="AM993" s="83"/>
      <c r="AN993" s="83"/>
      <c r="AO993" s="83"/>
      <c r="AP993" s="83"/>
      <c r="AQ993" s="83"/>
      <c r="AR993" s="83"/>
      <c r="AS993" s="83"/>
      <c r="AT993" s="83"/>
    </row>
    <row r="994" spans="36:46" x14ac:dyDescent="0.3">
      <c r="AJ994" s="83"/>
      <c r="AK994" s="83"/>
      <c r="AL994" s="83"/>
      <c r="AM994" s="83"/>
      <c r="AN994" s="83"/>
      <c r="AO994" s="83"/>
      <c r="AP994" s="83"/>
      <c r="AQ994" s="83"/>
      <c r="AR994" s="83"/>
      <c r="AS994" s="83"/>
      <c r="AT994" s="83"/>
    </row>
    <row r="995" spans="36:46" x14ac:dyDescent="0.3">
      <c r="AJ995" s="83"/>
      <c r="AK995" s="83"/>
      <c r="AL995" s="83"/>
      <c r="AM995" s="83"/>
      <c r="AN995" s="83"/>
      <c r="AO995" s="83"/>
      <c r="AP995" s="83"/>
      <c r="AQ995" s="83"/>
      <c r="AR995" s="83"/>
      <c r="AS995" s="83"/>
      <c r="AT995" s="83"/>
    </row>
    <row r="996" spans="36:46" x14ac:dyDescent="0.3">
      <c r="AJ996" s="83"/>
      <c r="AK996" s="83"/>
      <c r="AL996" s="83"/>
      <c r="AM996" s="83"/>
      <c r="AN996" s="83"/>
      <c r="AO996" s="83"/>
      <c r="AP996" s="83"/>
      <c r="AQ996" s="83"/>
      <c r="AR996" s="83"/>
      <c r="AS996" s="83"/>
      <c r="AT996" s="83"/>
    </row>
    <row r="997" spans="36:46" x14ac:dyDescent="0.3">
      <c r="AJ997" s="83"/>
      <c r="AK997" s="83"/>
      <c r="AL997" s="83"/>
      <c r="AM997" s="83"/>
      <c r="AN997" s="83"/>
      <c r="AO997" s="83"/>
      <c r="AP997" s="83"/>
      <c r="AQ997" s="83"/>
      <c r="AR997" s="83"/>
      <c r="AS997" s="83"/>
      <c r="AT997" s="83"/>
    </row>
    <row r="998" spans="36:46" x14ac:dyDescent="0.3">
      <c r="AJ998" s="83"/>
      <c r="AK998" s="83"/>
      <c r="AL998" s="83"/>
      <c r="AM998" s="83"/>
      <c r="AN998" s="83"/>
      <c r="AO998" s="83"/>
      <c r="AP998" s="83"/>
      <c r="AQ998" s="83"/>
      <c r="AR998" s="83"/>
      <c r="AS998" s="83"/>
      <c r="AT998" s="83"/>
    </row>
    <row r="999" spans="36:46" x14ac:dyDescent="0.3">
      <c r="AJ999" s="83"/>
      <c r="AK999" s="83"/>
      <c r="AL999" s="83"/>
      <c r="AM999" s="83"/>
      <c r="AN999" s="83"/>
      <c r="AO999" s="83"/>
      <c r="AP999" s="83"/>
      <c r="AQ999" s="83"/>
      <c r="AR999" s="83"/>
      <c r="AS999" s="83"/>
      <c r="AT999" s="83"/>
    </row>
    <row r="1000" spans="36:46" x14ac:dyDescent="0.3">
      <c r="AJ1000" s="83"/>
      <c r="AK1000" s="83"/>
      <c r="AL1000" s="83"/>
      <c r="AM1000" s="83"/>
      <c r="AN1000" s="83"/>
      <c r="AO1000" s="83"/>
      <c r="AP1000" s="83"/>
      <c r="AQ1000" s="83"/>
      <c r="AR1000" s="83"/>
      <c r="AS1000" s="83"/>
      <c r="AT1000" s="83"/>
    </row>
    <row r="1001" spans="36:46" x14ac:dyDescent="0.3">
      <c r="AJ1001" s="83"/>
      <c r="AK1001" s="83"/>
      <c r="AL1001" s="83"/>
      <c r="AM1001" s="83"/>
      <c r="AN1001" s="83"/>
      <c r="AO1001" s="83"/>
      <c r="AP1001" s="83"/>
      <c r="AQ1001" s="83"/>
      <c r="AR1001" s="83"/>
      <c r="AS1001" s="83"/>
      <c r="AT1001" s="83"/>
    </row>
    <row r="1002" spans="36:46" x14ac:dyDescent="0.3">
      <c r="AJ1002" s="83"/>
      <c r="AK1002" s="83"/>
      <c r="AL1002" s="83"/>
      <c r="AM1002" s="83"/>
      <c r="AN1002" s="83"/>
      <c r="AO1002" s="83"/>
      <c r="AP1002" s="83"/>
      <c r="AQ1002" s="83"/>
      <c r="AR1002" s="83"/>
      <c r="AS1002" s="83"/>
      <c r="AT1002" s="83"/>
    </row>
    <row r="1003" spans="36:46" x14ac:dyDescent="0.3">
      <c r="AJ1003" s="83"/>
      <c r="AK1003" s="83"/>
      <c r="AL1003" s="83"/>
      <c r="AM1003" s="83"/>
      <c r="AN1003" s="83"/>
      <c r="AO1003" s="83"/>
      <c r="AP1003" s="83"/>
      <c r="AQ1003" s="83"/>
      <c r="AR1003" s="83"/>
      <c r="AS1003" s="83"/>
      <c r="AT1003" s="83"/>
    </row>
    <row r="1004" spans="36:46" x14ac:dyDescent="0.3">
      <c r="AJ1004" s="83"/>
      <c r="AK1004" s="83"/>
      <c r="AL1004" s="83"/>
      <c r="AM1004" s="83"/>
      <c r="AN1004" s="83"/>
      <c r="AO1004" s="83"/>
      <c r="AP1004" s="83"/>
      <c r="AQ1004" s="83"/>
      <c r="AR1004" s="83"/>
      <c r="AS1004" s="83"/>
      <c r="AT1004" s="83"/>
    </row>
    <row r="1005" spans="36:46" x14ac:dyDescent="0.3">
      <c r="AJ1005" s="83"/>
      <c r="AK1005" s="83"/>
      <c r="AL1005" s="83"/>
      <c r="AM1005" s="83"/>
      <c r="AN1005" s="83"/>
      <c r="AO1005" s="83"/>
      <c r="AP1005" s="83"/>
      <c r="AQ1005" s="83"/>
      <c r="AR1005" s="83"/>
      <c r="AS1005" s="83"/>
      <c r="AT1005" s="83"/>
    </row>
    <row r="1006" spans="36:46" x14ac:dyDescent="0.3">
      <c r="AJ1006" s="83"/>
      <c r="AK1006" s="83"/>
      <c r="AL1006" s="83"/>
      <c r="AM1006" s="83"/>
      <c r="AN1006" s="83"/>
      <c r="AO1006" s="83"/>
      <c r="AP1006" s="83"/>
      <c r="AQ1006" s="83"/>
      <c r="AR1006" s="83"/>
      <c r="AS1006" s="83"/>
      <c r="AT1006" s="83"/>
    </row>
    <row r="1007" spans="36:46" x14ac:dyDescent="0.3">
      <c r="AJ1007" s="83"/>
      <c r="AK1007" s="83"/>
      <c r="AL1007" s="83"/>
      <c r="AM1007" s="83"/>
      <c r="AN1007" s="83"/>
      <c r="AO1007" s="83"/>
      <c r="AP1007" s="83"/>
      <c r="AQ1007" s="83"/>
      <c r="AR1007" s="83"/>
      <c r="AS1007" s="83"/>
      <c r="AT1007" s="83"/>
    </row>
    <row r="1008" spans="36:46" x14ac:dyDescent="0.3">
      <c r="AJ1008" s="83"/>
      <c r="AK1008" s="83"/>
      <c r="AL1008" s="83"/>
      <c r="AM1008" s="83"/>
      <c r="AN1008" s="83"/>
      <c r="AO1008" s="83"/>
      <c r="AP1008" s="83"/>
      <c r="AQ1008" s="83"/>
      <c r="AR1008" s="83"/>
      <c r="AS1008" s="83"/>
      <c r="AT1008" s="83"/>
    </row>
    <row r="1009" spans="36:46" x14ac:dyDescent="0.3">
      <c r="AJ1009" s="83"/>
      <c r="AK1009" s="83"/>
      <c r="AL1009" s="83"/>
      <c r="AM1009" s="83"/>
      <c r="AN1009" s="83"/>
      <c r="AO1009" s="83"/>
      <c r="AP1009" s="83"/>
      <c r="AQ1009" s="83"/>
      <c r="AR1009" s="83"/>
      <c r="AS1009" s="83"/>
      <c r="AT1009" s="83"/>
    </row>
    <row r="1010" spans="36:46" x14ac:dyDescent="0.3">
      <c r="AJ1010" s="83"/>
      <c r="AK1010" s="83"/>
      <c r="AL1010" s="83"/>
      <c r="AM1010" s="83"/>
      <c r="AN1010" s="83"/>
      <c r="AO1010" s="83"/>
      <c r="AP1010" s="83"/>
      <c r="AQ1010" s="83"/>
      <c r="AR1010" s="83"/>
      <c r="AS1010" s="83"/>
      <c r="AT1010" s="83"/>
    </row>
    <row r="1011" spans="36:46" x14ac:dyDescent="0.3">
      <c r="AJ1011" s="83"/>
      <c r="AK1011" s="83"/>
      <c r="AL1011" s="83"/>
      <c r="AM1011" s="83"/>
      <c r="AN1011" s="83"/>
      <c r="AO1011" s="83"/>
      <c r="AP1011" s="83"/>
      <c r="AQ1011" s="83"/>
      <c r="AR1011" s="83"/>
      <c r="AS1011" s="83"/>
      <c r="AT1011" s="83"/>
    </row>
    <row r="1012" spans="36:46" x14ac:dyDescent="0.3">
      <c r="AJ1012" s="83"/>
      <c r="AK1012" s="83"/>
      <c r="AL1012" s="83"/>
      <c r="AM1012" s="83"/>
      <c r="AN1012" s="83"/>
      <c r="AO1012" s="83"/>
      <c r="AP1012" s="83"/>
      <c r="AQ1012" s="83"/>
      <c r="AR1012" s="83"/>
      <c r="AS1012" s="83"/>
      <c r="AT1012" s="83"/>
    </row>
    <row r="1013" spans="36:46" x14ac:dyDescent="0.3">
      <c r="AJ1013" s="83"/>
      <c r="AK1013" s="83"/>
      <c r="AL1013" s="83"/>
      <c r="AM1013" s="83"/>
      <c r="AN1013" s="83"/>
      <c r="AO1013" s="83"/>
      <c r="AP1013" s="83"/>
      <c r="AQ1013" s="83"/>
      <c r="AR1013" s="83"/>
      <c r="AS1013" s="83"/>
      <c r="AT1013" s="83"/>
    </row>
    <row r="1014" spans="36:46" x14ac:dyDescent="0.3">
      <c r="AJ1014" s="83"/>
      <c r="AK1014" s="83"/>
      <c r="AL1014" s="83"/>
      <c r="AM1014" s="83"/>
      <c r="AN1014" s="83"/>
      <c r="AO1014" s="83"/>
      <c r="AP1014" s="83"/>
      <c r="AQ1014" s="83"/>
      <c r="AR1014" s="83"/>
      <c r="AS1014" s="83"/>
      <c r="AT1014" s="83"/>
    </row>
    <row r="1015" spans="36:46" x14ac:dyDescent="0.3">
      <c r="AJ1015" s="83"/>
      <c r="AK1015" s="83"/>
      <c r="AL1015" s="83"/>
      <c r="AM1015" s="83"/>
      <c r="AN1015" s="83"/>
      <c r="AO1015" s="83"/>
      <c r="AP1015" s="83"/>
      <c r="AQ1015" s="83"/>
      <c r="AR1015" s="83"/>
      <c r="AS1015" s="83"/>
      <c r="AT1015" s="83"/>
    </row>
    <row r="1016" spans="36:46" x14ac:dyDescent="0.3">
      <c r="AJ1016" s="83"/>
      <c r="AK1016" s="83"/>
      <c r="AL1016" s="83"/>
      <c r="AM1016" s="83"/>
      <c r="AN1016" s="83"/>
      <c r="AO1016" s="83"/>
      <c r="AP1016" s="83"/>
      <c r="AQ1016" s="83"/>
      <c r="AR1016" s="83"/>
      <c r="AS1016" s="83"/>
      <c r="AT1016" s="83"/>
    </row>
    <row r="1017" spans="36:46" x14ac:dyDescent="0.3">
      <c r="AJ1017" s="83"/>
      <c r="AK1017" s="83"/>
      <c r="AL1017" s="83"/>
      <c r="AM1017" s="83"/>
      <c r="AN1017" s="83"/>
      <c r="AO1017" s="83"/>
      <c r="AP1017" s="83"/>
      <c r="AQ1017" s="83"/>
      <c r="AR1017" s="83"/>
      <c r="AS1017" s="83"/>
      <c r="AT1017" s="83"/>
    </row>
    <row r="1018" spans="36:46" x14ac:dyDescent="0.3">
      <c r="AJ1018" s="83"/>
      <c r="AK1018" s="83"/>
      <c r="AL1018" s="83"/>
      <c r="AM1018" s="83"/>
      <c r="AN1018" s="83"/>
      <c r="AO1018" s="83"/>
      <c r="AP1018" s="83"/>
      <c r="AQ1018" s="83"/>
      <c r="AR1018" s="83"/>
      <c r="AS1018" s="83"/>
      <c r="AT1018" s="83"/>
    </row>
    <row r="1019" spans="36:46" x14ac:dyDescent="0.3">
      <c r="AJ1019" s="83"/>
      <c r="AK1019" s="83"/>
      <c r="AL1019" s="83"/>
      <c r="AM1019" s="83"/>
      <c r="AN1019" s="83"/>
      <c r="AO1019" s="83"/>
      <c r="AP1019" s="83"/>
      <c r="AQ1019" s="83"/>
      <c r="AR1019" s="83"/>
      <c r="AS1019" s="83"/>
      <c r="AT1019" s="83"/>
    </row>
    <row r="1020" spans="36:46" x14ac:dyDescent="0.3">
      <c r="AJ1020" s="83"/>
      <c r="AK1020" s="83"/>
      <c r="AL1020" s="83"/>
      <c r="AM1020" s="83"/>
      <c r="AN1020" s="83"/>
      <c r="AO1020" s="83"/>
      <c r="AP1020" s="83"/>
      <c r="AQ1020" s="83"/>
      <c r="AR1020" s="83"/>
      <c r="AS1020" s="83"/>
      <c r="AT1020" s="83"/>
    </row>
    <row r="1021" spans="36:46" x14ac:dyDescent="0.3">
      <c r="AJ1021" s="83"/>
      <c r="AK1021" s="83"/>
      <c r="AL1021" s="83"/>
      <c r="AM1021" s="83"/>
      <c r="AN1021" s="83"/>
      <c r="AO1021" s="83"/>
      <c r="AP1021" s="83"/>
      <c r="AQ1021" s="83"/>
      <c r="AR1021" s="83"/>
      <c r="AS1021" s="83"/>
      <c r="AT1021" s="83"/>
    </row>
    <row r="1022" spans="36:46" x14ac:dyDescent="0.3">
      <c r="AJ1022" s="83"/>
      <c r="AK1022" s="83"/>
      <c r="AL1022" s="83"/>
      <c r="AM1022" s="83"/>
      <c r="AN1022" s="83"/>
      <c r="AO1022" s="83"/>
      <c r="AP1022" s="83"/>
      <c r="AQ1022" s="83"/>
      <c r="AR1022" s="83"/>
      <c r="AS1022" s="83"/>
      <c r="AT1022" s="83"/>
    </row>
    <row r="1023" spans="36:46" x14ac:dyDescent="0.3">
      <c r="AJ1023" s="83"/>
      <c r="AK1023" s="83"/>
      <c r="AL1023" s="83"/>
      <c r="AM1023" s="83"/>
      <c r="AN1023" s="83"/>
      <c r="AO1023" s="83"/>
      <c r="AP1023" s="83"/>
      <c r="AQ1023" s="83"/>
      <c r="AR1023" s="83"/>
      <c r="AS1023" s="83"/>
      <c r="AT1023" s="83"/>
    </row>
    <row r="1024" spans="36:46" x14ac:dyDescent="0.3">
      <c r="AJ1024" s="83"/>
      <c r="AK1024" s="83"/>
      <c r="AL1024" s="83"/>
      <c r="AM1024" s="83"/>
      <c r="AN1024" s="83"/>
      <c r="AO1024" s="83"/>
      <c r="AP1024" s="83"/>
      <c r="AQ1024" s="83"/>
      <c r="AR1024" s="83"/>
      <c r="AS1024" s="83"/>
      <c r="AT1024" s="83"/>
    </row>
    <row r="1025" spans="36:46" x14ac:dyDescent="0.3">
      <c r="AJ1025" s="83"/>
      <c r="AK1025" s="83"/>
      <c r="AL1025" s="83"/>
      <c r="AM1025" s="83"/>
      <c r="AN1025" s="83"/>
      <c r="AO1025" s="83"/>
      <c r="AP1025" s="83"/>
      <c r="AQ1025" s="83"/>
      <c r="AR1025" s="83"/>
      <c r="AS1025" s="83"/>
      <c r="AT1025" s="83"/>
    </row>
    <row r="1026" spans="36:46" x14ac:dyDescent="0.3">
      <c r="AJ1026" s="83"/>
      <c r="AK1026" s="83"/>
      <c r="AL1026" s="83"/>
      <c r="AM1026" s="83"/>
      <c r="AN1026" s="83"/>
      <c r="AO1026" s="83"/>
      <c r="AP1026" s="83"/>
      <c r="AQ1026" s="83"/>
      <c r="AR1026" s="83"/>
      <c r="AS1026" s="83"/>
      <c r="AT1026" s="83"/>
    </row>
    <row r="1027" spans="36:46" x14ac:dyDescent="0.3">
      <c r="AJ1027" s="83"/>
      <c r="AK1027" s="83"/>
      <c r="AL1027" s="83"/>
      <c r="AM1027" s="83"/>
      <c r="AN1027" s="83"/>
      <c r="AO1027" s="83"/>
      <c r="AP1027" s="83"/>
      <c r="AQ1027" s="83"/>
      <c r="AR1027" s="83"/>
      <c r="AS1027" s="83"/>
      <c r="AT1027" s="83"/>
    </row>
    <row r="1028" spans="36:46" x14ac:dyDescent="0.3">
      <c r="AJ1028" s="83"/>
      <c r="AK1028" s="83"/>
      <c r="AL1028" s="83"/>
      <c r="AM1028" s="83"/>
      <c r="AN1028" s="83"/>
      <c r="AO1028" s="83"/>
      <c r="AP1028" s="83"/>
      <c r="AQ1028" s="83"/>
      <c r="AR1028" s="83"/>
      <c r="AS1028" s="83"/>
      <c r="AT1028" s="83"/>
    </row>
    <row r="1029" spans="36:46" x14ac:dyDescent="0.3">
      <c r="AJ1029" s="83"/>
      <c r="AK1029" s="83"/>
      <c r="AL1029" s="83"/>
      <c r="AM1029" s="83"/>
      <c r="AN1029" s="83"/>
      <c r="AO1029" s="83"/>
      <c r="AP1029" s="83"/>
      <c r="AQ1029" s="83"/>
      <c r="AR1029" s="83"/>
      <c r="AS1029" s="83"/>
      <c r="AT1029" s="83"/>
    </row>
    <row r="1030" spans="36:46" x14ac:dyDescent="0.3">
      <c r="AJ1030" s="83"/>
      <c r="AK1030" s="83"/>
      <c r="AL1030" s="83"/>
      <c r="AM1030" s="83"/>
      <c r="AN1030" s="83"/>
      <c r="AO1030" s="83"/>
      <c r="AP1030" s="83"/>
      <c r="AQ1030" s="83"/>
      <c r="AR1030" s="83"/>
      <c r="AS1030" s="83"/>
      <c r="AT1030" s="83"/>
    </row>
    <row r="1031" spans="36:46" x14ac:dyDescent="0.3">
      <c r="AJ1031" s="83"/>
      <c r="AK1031" s="83"/>
      <c r="AL1031" s="83"/>
      <c r="AM1031" s="83"/>
      <c r="AN1031" s="83"/>
      <c r="AO1031" s="83"/>
      <c r="AP1031" s="83"/>
      <c r="AQ1031" s="83"/>
      <c r="AR1031" s="83"/>
      <c r="AS1031" s="83"/>
      <c r="AT1031" s="83"/>
    </row>
    <row r="1032" spans="36:46" x14ac:dyDescent="0.3">
      <c r="AJ1032" s="83"/>
      <c r="AK1032" s="83"/>
      <c r="AL1032" s="83"/>
      <c r="AM1032" s="83"/>
      <c r="AN1032" s="83"/>
      <c r="AO1032" s="83"/>
      <c r="AP1032" s="83"/>
      <c r="AQ1032" s="83"/>
      <c r="AR1032" s="83"/>
      <c r="AS1032" s="83"/>
      <c r="AT1032" s="83"/>
    </row>
    <row r="1033" spans="36:46" x14ac:dyDescent="0.3">
      <c r="AJ1033" s="83"/>
      <c r="AK1033" s="83"/>
      <c r="AL1033" s="83"/>
      <c r="AM1033" s="83"/>
      <c r="AN1033" s="83"/>
      <c r="AO1033" s="83"/>
      <c r="AP1033" s="83"/>
      <c r="AQ1033" s="83"/>
      <c r="AR1033" s="83"/>
      <c r="AS1033" s="83"/>
      <c r="AT1033" s="83"/>
    </row>
    <row r="1034" spans="36:46" x14ac:dyDescent="0.3">
      <c r="AJ1034" s="83"/>
      <c r="AK1034" s="83"/>
      <c r="AL1034" s="83"/>
      <c r="AM1034" s="83"/>
      <c r="AN1034" s="83"/>
      <c r="AO1034" s="83"/>
      <c r="AP1034" s="83"/>
      <c r="AQ1034" s="83"/>
      <c r="AR1034" s="83"/>
      <c r="AS1034" s="83"/>
      <c r="AT1034" s="83"/>
    </row>
    <row r="1035" spans="36:46" x14ac:dyDescent="0.3">
      <c r="AJ1035" s="83"/>
      <c r="AK1035" s="83"/>
      <c r="AL1035" s="83"/>
      <c r="AM1035" s="83"/>
      <c r="AN1035" s="83"/>
      <c r="AO1035" s="83"/>
      <c r="AP1035" s="83"/>
      <c r="AQ1035" s="83"/>
      <c r="AR1035" s="83"/>
      <c r="AS1035" s="83"/>
      <c r="AT1035" s="83"/>
    </row>
    <row r="1036" spans="36:46" x14ac:dyDescent="0.3">
      <c r="AJ1036" s="83"/>
      <c r="AK1036" s="83"/>
      <c r="AL1036" s="83"/>
      <c r="AM1036" s="83"/>
      <c r="AN1036" s="83"/>
      <c r="AO1036" s="83"/>
      <c r="AP1036" s="83"/>
      <c r="AQ1036" s="83"/>
      <c r="AR1036" s="83"/>
      <c r="AS1036" s="83"/>
      <c r="AT1036" s="83"/>
    </row>
    <row r="1037" spans="36:46" x14ac:dyDescent="0.3">
      <c r="AJ1037" s="83"/>
      <c r="AK1037" s="83"/>
      <c r="AL1037" s="83"/>
      <c r="AM1037" s="83"/>
      <c r="AN1037" s="83"/>
      <c r="AO1037" s="83"/>
      <c r="AP1037" s="83"/>
      <c r="AQ1037" s="83"/>
      <c r="AR1037" s="83"/>
      <c r="AS1037" s="83"/>
      <c r="AT1037" s="83"/>
    </row>
    <row r="1038" spans="36:46" x14ac:dyDescent="0.3">
      <c r="AJ1038" s="83"/>
      <c r="AK1038" s="83"/>
      <c r="AL1038" s="83"/>
      <c r="AM1038" s="83"/>
      <c r="AN1038" s="83"/>
      <c r="AO1038" s="83"/>
      <c r="AP1038" s="83"/>
      <c r="AQ1038" s="83"/>
      <c r="AR1038" s="83"/>
      <c r="AS1038" s="83"/>
      <c r="AT1038" s="83"/>
    </row>
    <row r="1039" spans="36:46" x14ac:dyDescent="0.3">
      <c r="AJ1039" s="83"/>
      <c r="AK1039" s="83"/>
      <c r="AL1039" s="83"/>
      <c r="AM1039" s="83"/>
      <c r="AN1039" s="83"/>
      <c r="AO1039" s="83"/>
      <c r="AP1039" s="83"/>
      <c r="AQ1039" s="83"/>
      <c r="AR1039" s="83"/>
      <c r="AS1039" s="83"/>
      <c r="AT1039" s="83"/>
    </row>
    <row r="1040" spans="36:46" x14ac:dyDescent="0.3">
      <c r="AJ1040" s="83"/>
      <c r="AK1040" s="83"/>
      <c r="AL1040" s="83"/>
      <c r="AM1040" s="83"/>
      <c r="AN1040" s="83"/>
      <c r="AO1040" s="83"/>
      <c r="AP1040" s="83"/>
      <c r="AQ1040" s="83"/>
      <c r="AR1040" s="83"/>
      <c r="AS1040" s="83"/>
      <c r="AT1040" s="83"/>
    </row>
    <row r="1041" spans="36:46" x14ac:dyDescent="0.3">
      <c r="AJ1041" s="83"/>
      <c r="AK1041" s="83"/>
      <c r="AL1041" s="83"/>
      <c r="AM1041" s="83"/>
      <c r="AN1041" s="83"/>
      <c r="AO1041" s="83"/>
      <c r="AP1041" s="83"/>
      <c r="AQ1041" s="83"/>
      <c r="AR1041" s="83"/>
      <c r="AS1041" s="83"/>
      <c r="AT1041" s="83"/>
    </row>
    <row r="1042" spans="36:46" x14ac:dyDescent="0.3">
      <c r="AJ1042" s="83"/>
      <c r="AK1042" s="83"/>
      <c r="AL1042" s="83"/>
      <c r="AM1042" s="83"/>
      <c r="AN1042" s="83"/>
      <c r="AO1042" s="83"/>
      <c r="AP1042" s="83"/>
      <c r="AQ1042" s="83"/>
      <c r="AR1042" s="83"/>
      <c r="AS1042" s="83"/>
      <c r="AT1042" s="83"/>
    </row>
    <row r="1043" spans="36:46" x14ac:dyDescent="0.3">
      <c r="AJ1043" s="83"/>
      <c r="AK1043" s="83"/>
      <c r="AL1043" s="83"/>
      <c r="AM1043" s="83"/>
      <c r="AN1043" s="83"/>
      <c r="AO1043" s="83"/>
      <c r="AP1043" s="83"/>
      <c r="AQ1043" s="83"/>
      <c r="AR1043" s="83"/>
      <c r="AS1043" s="83"/>
      <c r="AT1043" s="83"/>
    </row>
    <row r="1044" spans="36:46" x14ac:dyDescent="0.3">
      <c r="AJ1044" s="83"/>
      <c r="AK1044" s="83"/>
      <c r="AL1044" s="83"/>
      <c r="AM1044" s="83"/>
      <c r="AN1044" s="83"/>
      <c r="AO1044" s="83"/>
      <c r="AP1044" s="83"/>
      <c r="AQ1044" s="83"/>
      <c r="AR1044" s="83"/>
      <c r="AS1044" s="83"/>
      <c r="AT1044" s="83"/>
    </row>
    <row r="1045" spans="36:46" x14ac:dyDescent="0.3">
      <c r="AJ1045" s="83"/>
      <c r="AK1045" s="83"/>
      <c r="AL1045" s="83"/>
      <c r="AM1045" s="83"/>
      <c r="AN1045" s="83"/>
      <c r="AO1045" s="83"/>
      <c r="AP1045" s="83"/>
      <c r="AQ1045" s="83"/>
      <c r="AR1045" s="83"/>
      <c r="AS1045" s="83"/>
      <c r="AT1045" s="83"/>
    </row>
    <row r="1046" spans="36:46" x14ac:dyDescent="0.3">
      <c r="AJ1046" s="83"/>
      <c r="AK1046" s="83"/>
      <c r="AL1046" s="83"/>
      <c r="AM1046" s="83"/>
      <c r="AN1046" s="83"/>
      <c r="AO1046" s="83"/>
      <c r="AP1046" s="83"/>
      <c r="AQ1046" s="83"/>
      <c r="AR1046" s="83"/>
      <c r="AS1046" s="83"/>
      <c r="AT1046" s="83"/>
    </row>
    <row r="1047" spans="36:46" x14ac:dyDescent="0.3">
      <c r="AJ1047" s="83"/>
      <c r="AK1047" s="83"/>
      <c r="AL1047" s="83"/>
      <c r="AM1047" s="83"/>
      <c r="AN1047" s="83"/>
      <c r="AO1047" s="83"/>
      <c r="AP1047" s="83"/>
      <c r="AQ1047" s="83"/>
      <c r="AR1047" s="83"/>
      <c r="AS1047" s="83"/>
      <c r="AT1047" s="83"/>
    </row>
    <row r="1048" spans="36:46" x14ac:dyDescent="0.3">
      <c r="AJ1048" s="83"/>
      <c r="AK1048" s="83"/>
      <c r="AL1048" s="83"/>
      <c r="AM1048" s="83"/>
      <c r="AN1048" s="83"/>
      <c r="AO1048" s="83"/>
      <c r="AP1048" s="83"/>
      <c r="AQ1048" s="83"/>
      <c r="AR1048" s="83"/>
      <c r="AS1048" s="83"/>
      <c r="AT1048" s="83"/>
    </row>
    <row r="1049" spans="36:46" x14ac:dyDescent="0.3">
      <c r="AJ1049" s="83"/>
      <c r="AK1049" s="83"/>
      <c r="AL1049" s="83"/>
      <c r="AM1049" s="83"/>
      <c r="AN1049" s="83"/>
      <c r="AO1049" s="83"/>
      <c r="AP1049" s="83"/>
      <c r="AQ1049" s="83"/>
      <c r="AR1049" s="83"/>
      <c r="AS1049" s="83"/>
      <c r="AT1049" s="83"/>
    </row>
    <row r="1050" spans="36:46" x14ac:dyDescent="0.3">
      <c r="AJ1050" s="83"/>
      <c r="AK1050" s="83"/>
      <c r="AL1050" s="83"/>
      <c r="AM1050" s="83"/>
      <c r="AN1050" s="83"/>
      <c r="AO1050" s="83"/>
      <c r="AP1050" s="83"/>
      <c r="AQ1050" s="83"/>
      <c r="AR1050" s="83"/>
      <c r="AS1050" s="83"/>
      <c r="AT1050" s="83"/>
    </row>
    <row r="1051" spans="36:46" x14ac:dyDescent="0.3">
      <c r="AJ1051" s="83"/>
      <c r="AK1051" s="83"/>
      <c r="AL1051" s="83"/>
      <c r="AM1051" s="83"/>
      <c r="AN1051" s="83"/>
      <c r="AO1051" s="83"/>
      <c r="AP1051" s="83"/>
      <c r="AQ1051" s="83"/>
      <c r="AR1051" s="83"/>
      <c r="AS1051" s="83"/>
      <c r="AT1051" s="83"/>
    </row>
    <row r="1052" spans="36:46" x14ac:dyDescent="0.3">
      <c r="AJ1052" s="83"/>
      <c r="AK1052" s="83"/>
      <c r="AL1052" s="83"/>
      <c r="AM1052" s="83"/>
      <c r="AN1052" s="83"/>
      <c r="AO1052" s="83"/>
      <c r="AP1052" s="83"/>
      <c r="AQ1052" s="83"/>
      <c r="AR1052" s="83"/>
      <c r="AS1052" s="83"/>
      <c r="AT1052" s="83"/>
    </row>
    <row r="1053" spans="36:46" x14ac:dyDescent="0.3">
      <c r="AJ1053" s="83"/>
      <c r="AK1053" s="83"/>
      <c r="AL1053" s="83"/>
      <c r="AM1053" s="83"/>
      <c r="AN1053" s="83"/>
      <c r="AO1053" s="83"/>
      <c r="AP1053" s="83"/>
      <c r="AQ1053" s="83"/>
      <c r="AR1053" s="83"/>
      <c r="AS1053" s="83"/>
      <c r="AT1053" s="83"/>
    </row>
    <row r="1054" spans="36:46" x14ac:dyDescent="0.3">
      <c r="AJ1054" s="83"/>
      <c r="AK1054" s="83"/>
      <c r="AL1054" s="83"/>
      <c r="AM1054" s="83"/>
      <c r="AN1054" s="83"/>
      <c r="AO1054" s="83"/>
      <c r="AP1054" s="83"/>
      <c r="AQ1054" s="83"/>
      <c r="AR1054" s="83"/>
      <c r="AS1054" s="83"/>
      <c r="AT1054" s="83"/>
    </row>
    <row r="1055" spans="36:46" x14ac:dyDescent="0.3">
      <c r="AJ1055" s="83"/>
      <c r="AK1055" s="83"/>
      <c r="AL1055" s="83"/>
      <c r="AM1055" s="83"/>
      <c r="AN1055" s="83"/>
      <c r="AO1055" s="83"/>
      <c r="AP1055" s="83"/>
      <c r="AQ1055" s="83"/>
      <c r="AR1055" s="83"/>
      <c r="AS1055" s="83"/>
      <c r="AT1055" s="83"/>
    </row>
    <row r="1056" spans="36:46" x14ac:dyDescent="0.3">
      <c r="AJ1056" s="83"/>
      <c r="AK1056" s="83"/>
      <c r="AL1056" s="83"/>
      <c r="AM1056" s="83"/>
      <c r="AN1056" s="83"/>
      <c r="AO1056" s="83"/>
      <c r="AP1056" s="83"/>
      <c r="AQ1056" s="83"/>
      <c r="AR1056" s="83"/>
      <c r="AS1056" s="83"/>
      <c r="AT1056" s="83"/>
    </row>
    <row r="1057" spans="36:46" x14ac:dyDescent="0.3">
      <c r="AJ1057" s="83"/>
      <c r="AK1057" s="83"/>
      <c r="AL1057" s="83"/>
      <c r="AM1057" s="83"/>
      <c r="AN1057" s="83"/>
      <c r="AO1057" s="83"/>
      <c r="AP1057" s="83"/>
      <c r="AQ1057" s="83"/>
      <c r="AR1057" s="83"/>
      <c r="AS1057" s="83"/>
      <c r="AT1057" s="83"/>
    </row>
    <row r="1058" spans="36:46" x14ac:dyDescent="0.3">
      <c r="AJ1058" s="83"/>
      <c r="AK1058" s="83"/>
      <c r="AL1058" s="83"/>
      <c r="AM1058" s="83"/>
      <c r="AN1058" s="83"/>
      <c r="AO1058" s="83"/>
      <c r="AP1058" s="83"/>
      <c r="AQ1058" s="83"/>
      <c r="AR1058" s="83"/>
      <c r="AS1058" s="83"/>
      <c r="AT1058" s="83"/>
    </row>
    <row r="1059" spans="36:46" x14ac:dyDescent="0.3">
      <c r="AJ1059" s="83"/>
      <c r="AK1059" s="83"/>
      <c r="AL1059" s="83"/>
      <c r="AM1059" s="83"/>
      <c r="AN1059" s="83"/>
      <c r="AO1059" s="83"/>
      <c r="AP1059" s="83"/>
      <c r="AQ1059" s="83"/>
      <c r="AR1059" s="83"/>
      <c r="AS1059" s="83"/>
      <c r="AT1059" s="83"/>
    </row>
    <row r="1060" spans="36:46" x14ac:dyDescent="0.3">
      <c r="AJ1060" s="83"/>
      <c r="AK1060" s="83"/>
      <c r="AL1060" s="83"/>
      <c r="AM1060" s="83"/>
      <c r="AN1060" s="83"/>
      <c r="AO1060" s="83"/>
      <c r="AP1060" s="83"/>
      <c r="AQ1060" s="83"/>
      <c r="AR1060" s="83"/>
      <c r="AS1060" s="83"/>
      <c r="AT1060" s="83"/>
    </row>
    <row r="1061" spans="36:46" x14ac:dyDescent="0.3">
      <c r="AJ1061" s="83"/>
      <c r="AK1061" s="83"/>
      <c r="AL1061" s="83"/>
      <c r="AM1061" s="83"/>
      <c r="AN1061" s="83"/>
      <c r="AO1061" s="83"/>
      <c r="AP1061" s="83"/>
      <c r="AQ1061" s="83"/>
      <c r="AR1061" s="83"/>
      <c r="AS1061" s="83"/>
      <c r="AT1061" s="83"/>
    </row>
    <row r="1062" spans="36:46" x14ac:dyDescent="0.3">
      <c r="AJ1062" s="83"/>
      <c r="AK1062" s="83"/>
      <c r="AL1062" s="83"/>
      <c r="AM1062" s="83"/>
      <c r="AN1062" s="83"/>
      <c r="AO1062" s="83"/>
      <c r="AP1062" s="83"/>
      <c r="AQ1062" s="83"/>
      <c r="AR1062" s="83"/>
      <c r="AS1062" s="83"/>
      <c r="AT1062" s="83"/>
    </row>
    <row r="1063" spans="36:46" x14ac:dyDescent="0.3">
      <c r="AJ1063" s="83"/>
      <c r="AK1063" s="83"/>
      <c r="AL1063" s="83"/>
      <c r="AM1063" s="83"/>
      <c r="AN1063" s="83"/>
      <c r="AO1063" s="83"/>
      <c r="AP1063" s="83"/>
      <c r="AQ1063" s="83"/>
      <c r="AR1063" s="83"/>
      <c r="AS1063" s="83"/>
      <c r="AT1063" s="83"/>
    </row>
    <row r="1064" spans="36:46" x14ac:dyDescent="0.3">
      <c r="AJ1064" s="83"/>
      <c r="AK1064" s="83"/>
      <c r="AL1064" s="83"/>
      <c r="AM1064" s="83"/>
      <c r="AN1064" s="83"/>
      <c r="AO1064" s="83"/>
      <c r="AP1064" s="83"/>
      <c r="AQ1064" s="83"/>
      <c r="AR1064" s="83"/>
      <c r="AS1064" s="83"/>
      <c r="AT1064" s="83"/>
    </row>
    <row r="1065" spans="36:46" x14ac:dyDescent="0.3">
      <c r="AJ1065" s="83"/>
      <c r="AK1065" s="83"/>
      <c r="AL1065" s="83"/>
      <c r="AM1065" s="83"/>
      <c r="AN1065" s="83"/>
      <c r="AO1065" s="83"/>
      <c r="AP1065" s="83"/>
      <c r="AQ1065" s="83"/>
      <c r="AR1065" s="83"/>
      <c r="AS1065" s="83"/>
      <c r="AT1065" s="83"/>
    </row>
    <row r="1066" spans="36:46" x14ac:dyDescent="0.3">
      <c r="AJ1066" s="83"/>
      <c r="AK1066" s="83"/>
      <c r="AL1066" s="83"/>
      <c r="AM1066" s="83"/>
      <c r="AN1066" s="83"/>
      <c r="AO1066" s="83"/>
      <c r="AP1066" s="83"/>
      <c r="AQ1066" s="83"/>
      <c r="AR1066" s="83"/>
      <c r="AS1066" s="83"/>
      <c r="AT1066" s="83"/>
    </row>
    <row r="1067" spans="36:46" x14ac:dyDescent="0.3">
      <c r="AJ1067" s="83"/>
      <c r="AK1067" s="83"/>
      <c r="AL1067" s="83"/>
      <c r="AM1067" s="83"/>
      <c r="AN1067" s="83"/>
      <c r="AO1067" s="83"/>
      <c r="AP1067" s="83"/>
      <c r="AQ1067" s="83"/>
      <c r="AR1067" s="83"/>
      <c r="AS1067" s="83"/>
      <c r="AT1067" s="83"/>
    </row>
    <row r="1068" spans="36:46" x14ac:dyDescent="0.3">
      <c r="AJ1068" s="83"/>
      <c r="AK1068" s="83"/>
      <c r="AL1068" s="83"/>
      <c r="AM1068" s="83"/>
      <c r="AN1068" s="83"/>
      <c r="AO1068" s="83"/>
      <c r="AP1068" s="83"/>
      <c r="AQ1068" s="83"/>
      <c r="AR1068" s="83"/>
      <c r="AS1068" s="83"/>
      <c r="AT1068" s="83"/>
    </row>
    <row r="1069" spans="36:46" x14ac:dyDescent="0.3">
      <c r="AJ1069" s="83"/>
      <c r="AK1069" s="83"/>
      <c r="AL1069" s="83"/>
      <c r="AM1069" s="83"/>
      <c r="AN1069" s="83"/>
      <c r="AO1069" s="83"/>
      <c r="AP1069" s="83"/>
      <c r="AQ1069" s="83"/>
      <c r="AR1069" s="83"/>
      <c r="AS1069" s="83"/>
      <c r="AT1069" s="83"/>
    </row>
    <row r="1070" spans="36:46" x14ac:dyDescent="0.3">
      <c r="AJ1070" s="83"/>
      <c r="AK1070" s="83"/>
      <c r="AL1070" s="83"/>
      <c r="AM1070" s="83"/>
      <c r="AN1070" s="83"/>
      <c r="AO1070" s="83"/>
      <c r="AP1070" s="83"/>
      <c r="AQ1070" s="83"/>
      <c r="AR1070" s="83"/>
      <c r="AS1070" s="83"/>
      <c r="AT1070" s="83"/>
    </row>
    <row r="1071" spans="36:46" x14ac:dyDescent="0.3">
      <c r="AJ1071" s="83"/>
      <c r="AK1071" s="83"/>
      <c r="AL1071" s="83"/>
      <c r="AM1071" s="83"/>
      <c r="AN1071" s="83"/>
      <c r="AO1071" s="83"/>
      <c r="AP1071" s="83"/>
      <c r="AQ1071" s="83"/>
      <c r="AR1071" s="83"/>
      <c r="AS1071" s="83"/>
      <c r="AT1071" s="83"/>
    </row>
    <row r="1072" spans="36:46" x14ac:dyDescent="0.3">
      <c r="AJ1072" s="83"/>
      <c r="AK1072" s="83"/>
      <c r="AL1072" s="83"/>
      <c r="AM1072" s="83"/>
      <c r="AN1072" s="83"/>
      <c r="AO1072" s="83"/>
      <c r="AP1072" s="83"/>
      <c r="AQ1072" s="83"/>
      <c r="AR1072" s="83"/>
      <c r="AS1072" s="83"/>
      <c r="AT1072" s="83"/>
    </row>
    <row r="1073" spans="36:46" x14ac:dyDescent="0.3">
      <c r="AJ1073" s="83"/>
      <c r="AK1073" s="83"/>
      <c r="AL1073" s="83"/>
      <c r="AM1073" s="83"/>
      <c r="AN1073" s="83"/>
      <c r="AO1073" s="83"/>
      <c r="AP1073" s="83"/>
      <c r="AQ1073" s="83"/>
      <c r="AR1073" s="83"/>
      <c r="AS1073" s="83"/>
      <c r="AT1073" s="83"/>
    </row>
    <row r="1074" spans="36:46" x14ac:dyDescent="0.3">
      <c r="AJ1074" s="83"/>
      <c r="AK1074" s="83"/>
      <c r="AL1074" s="83"/>
      <c r="AM1074" s="83"/>
      <c r="AN1074" s="83"/>
      <c r="AO1074" s="83"/>
      <c r="AP1074" s="83"/>
      <c r="AQ1074" s="83"/>
      <c r="AR1074" s="83"/>
      <c r="AS1074" s="83"/>
      <c r="AT1074" s="83"/>
    </row>
    <row r="1075" spans="36:46" x14ac:dyDescent="0.3">
      <c r="AJ1075" s="83"/>
      <c r="AK1075" s="83"/>
      <c r="AL1075" s="83"/>
      <c r="AM1075" s="83"/>
      <c r="AN1075" s="83"/>
      <c r="AO1075" s="83"/>
      <c r="AP1075" s="83"/>
      <c r="AQ1075" s="83"/>
      <c r="AR1075" s="83"/>
      <c r="AS1075" s="83"/>
      <c r="AT1075" s="83"/>
    </row>
    <row r="1076" spans="36:46" x14ac:dyDescent="0.3">
      <c r="AJ1076" s="83"/>
      <c r="AK1076" s="83"/>
      <c r="AL1076" s="83"/>
      <c r="AM1076" s="83"/>
      <c r="AN1076" s="83"/>
      <c r="AO1076" s="83"/>
      <c r="AP1076" s="83"/>
      <c r="AQ1076" s="83"/>
      <c r="AR1076" s="83"/>
      <c r="AS1076" s="83"/>
      <c r="AT1076" s="83"/>
    </row>
    <row r="1077" spans="36:46" x14ac:dyDescent="0.3">
      <c r="AJ1077" s="83"/>
      <c r="AK1077" s="83"/>
      <c r="AL1077" s="83"/>
      <c r="AM1077" s="83"/>
      <c r="AN1077" s="83"/>
      <c r="AO1077" s="83"/>
      <c r="AP1077" s="83"/>
      <c r="AQ1077" s="83"/>
      <c r="AR1077" s="83"/>
      <c r="AS1077" s="83"/>
      <c r="AT1077" s="83"/>
    </row>
    <row r="1078" spans="36:46" x14ac:dyDescent="0.3">
      <c r="AJ1078" s="83"/>
      <c r="AK1078" s="83"/>
      <c r="AL1078" s="83"/>
      <c r="AM1078" s="83"/>
      <c r="AN1078" s="83"/>
      <c r="AO1078" s="83"/>
      <c r="AP1078" s="83"/>
      <c r="AQ1078" s="83"/>
      <c r="AR1078" s="83"/>
      <c r="AS1078" s="83"/>
      <c r="AT1078" s="83"/>
    </row>
    <row r="1079" spans="36:46" x14ac:dyDescent="0.3">
      <c r="AJ1079" s="83"/>
      <c r="AK1079" s="83"/>
      <c r="AL1079" s="83"/>
      <c r="AM1079" s="83"/>
      <c r="AN1079" s="83"/>
      <c r="AO1079" s="83"/>
      <c r="AP1079" s="83"/>
      <c r="AQ1079" s="83"/>
      <c r="AR1079" s="83"/>
      <c r="AS1079" s="83"/>
      <c r="AT1079" s="83"/>
    </row>
    <row r="1080" spans="36:46" x14ac:dyDescent="0.3">
      <c r="AJ1080" s="83"/>
      <c r="AK1080" s="83"/>
      <c r="AL1080" s="83"/>
      <c r="AM1080" s="83"/>
      <c r="AN1080" s="83"/>
      <c r="AO1080" s="83"/>
      <c r="AP1080" s="83"/>
      <c r="AQ1080" s="83"/>
      <c r="AR1080" s="83"/>
      <c r="AS1080" s="83"/>
      <c r="AT1080" s="83"/>
    </row>
    <row r="1081" spans="36:46" x14ac:dyDescent="0.3">
      <c r="AJ1081" s="83"/>
      <c r="AK1081" s="83"/>
      <c r="AL1081" s="83"/>
      <c r="AM1081" s="83"/>
      <c r="AN1081" s="83"/>
      <c r="AO1081" s="83"/>
      <c r="AP1081" s="83"/>
      <c r="AQ1081" s="83"/>
      <c r="AR1081" s="83"/>
      <c r="AS1081" s="83"/>
      <c r="AT1081" s="83"/>
    </row>
    <row r="1082" spans="36:46" x14ac:dyDescent="0.3">
      <c r="AJ1082" s="83"/>
      <c r="AK1082" s="83"/>
      <c r="AL1082" s="83"/>
      <c r="AM1082" s="83"/>
      <c r="AN1082" s="83"/>
      <c r="AO1082" s="83"/>
      <c r="AP1082" s="83"/>
      <c r="AQ1082" s="83"/>
      <c r="AR1082" s="83"/>
      <c r="AS1082" s="83"/>
      <c r="AT1082" s="83"/>
    </row>
    <row r="1083" spans="36:46" x14ac:dyDescent="0.3">
      <c r="AJ1083" s="83"/>
      <c r="AK1083" s="83"/>
      <c r="AL1083" s="83"/>
      <c r="AM1083" s="83"/>
      <c r="AN1083" s="83"/>
      <c r="AO1083" s="83"/>
      <c r="AP1083" s="83"/>
      <c r="AQ1083" s="83"/>
      <c r="AR1083" s="83"/>
      <c r="AS1083" s="83"/>
      <c r="AT1083" s="83"/>
    </row>
    <row r="1084" spans="36:46" x14ac:dyDescent="0.3">
      <c r="AJ1084" s="83"/>
      <c r="AK1084" s="83"/>
      <c r="AL1084" s="83"/>
      <c r="AM1084" s="83"/>
      <c r="AN1084" s="83"/>
      <c r="AO1084" s="83"/>
      <c r="AP1084" s="83"/>
      <c r="AQ1084" s="83"/>
      <c r="AR1084" s="83"/>
      <c r="AS1084" s="83"/>
      <c r="AT1084" s="83"/>
    </row>
    <row r="1085" spans="36:46" x14ac:dyDescent="0.3">
      <c r="AJ1085" s="83"/>
      <c r="AK1085" s="83"/>
      <c r="AL1085" s="83"/>
      <c r="AM1085" s="83"/>
      <c r="AN1085" s="83"/>
      <c r="AO1085" s="83"/>
      <c r="AP1085" s="83"/>
      <c r="AQ1085" s="83"/>
      <c r="AR1085" s="83"/>
      <c r="AS1085" s="83"/>
      <c r="AT1085" s="83"/>
    </row>
    <row r="1086" spans="36:46" x14ac:dyDescent="0.3">
      <c r="AJ1086" s="83"/>
      <c r="AK1086" s="83"/>
      <c r="AL1086" s="83"/>
      <c r="AM1086" s="83"/>
      <c r="AN1086" s="83"/>
      <c r="AO1086" s="83"/>
      <c r="AP1086" s="83"/>
      <c r="AQ1086" s="83"/>
      <c r="AR1086" s="83"/>
      <c r="AS1086" s="83"/>
      <c r="AT1086" s="83"/>
    </row>
    <row r="1087" spans="36:46" x14ac:dyDescent="0.3">
      <c r="AJ1087" s="83"/>
      <c r="AK1087" s="83"/>
      <c r="AL1087" s="83"/>
      <c r="AM1087" s="83"/>
      <c r="AN1087" s="83"/>
      <c r="AO1087" s="83"/>
      <c r="AP1087" s="83"/>
      <c r="AQ1087" s="83"/>
      <c r="AR1087" s="83"/>
      <c r="AS1087" s="83"/>
      <c r="AT1087" s="83"/>
    </row>
    <row r="1088" spans="36:46" x14ac:dyDescent="0.3">
      <c r="AJ1088" s="83"/>
      <c r="AK1088" s="83"/>
      <c r="AL1088" s="83"/>
      <c r="AM1088" s="83"/>
      <c r="AN1088" s="83"/>
      <c r="AO1088" s="83"/>
      <c r="AP1088" s="83"/>
      <c r="AQ1088" s="83"/>
      <c r="AR1088" s="83"/>
      <c r="AS1088" s="83"/>
      <c r="AT1088" s="83"/>
    </row>
    <row r="1089" spans="36:46" x14ac:dyDescent="0.3">
      <c r="AJ1089" s="83"/>
      <c r="AK1089" s="83"/>
      <c r="AL1089" s="83"/>
      <c r="AM1089" s="83"/>
      <c r="AN1089" s="83"/>
      <c r="AO1089" s="83"/>
      <c r="AP1089" s="83"/>
      <c r="AQ1089" s="83"/>
      <c r="AR1089" s="83"/>
      <c r="AS1089" s="83"/>
      <c r="AT1089" s="83"/>
    </row>
    <row r="1090" spans="36:46" x14ac:dyDescent="0.3">
      <c r="AJ1090" s="83"/>
      <c r="AK1090" s="83"/>
      <c r="AL1090" s="83"/>
      <c r="AM1090" s="83"/>
      <c r="AN1090" s="83"/>
      <c r="AO1090" s="83"/>
      <c r="AP1090" s="83"/>
      <c r="AQ1090" s="83"/>
      <c r="AR1090" s="83"/>
      <c r="AS1090" s="83"/>
      <c r="AT1090" s="83"/>
    </row>
    <row r="1091" spans="36:46" x14ac:dyDescent="0.3">
      <c r="AJ1091" s="83"/>
      <c r="AK1091" s="83"/>
      <c r="AL1091" s="83"/>
      <c r="AM1091" s="83"/>
      <c r="AN1091" s="83"/>
      <c r="AO1091" s="83"/>
      <c r="AP1091" s="83"/>
      <c r="AQ1091" s="83"/>
      <c r="AR1091" s="83"/>
      <c r="AS1091" s="83"/>
      <c r="AT1091" s="83"/>
    </row>
    <row r="1092" spans="36:46" x14ac:dyDescent="0.3">
      <c r="AJ1092" s="83"/>
      <c r="AK1092" s="83"/>
      <c r="AL1092" s="83"/>
      <c r="AM1092" s="83"/>
      <c r="AN1092" s="83"/>
      <c r="AO1092" s="83"/>
      <c r="AP1092" s="83"/>
      <c r="AQ1092" s="83"/>
      <c r="AR1092" s="83"/>
      <c r="AS1092" s="83"/>
      <c r="AT1092" s="83"/>
    </row>
    <row r="1093" spans="36:46" x14ac:dyDescent="0.3">
      <c r="AJ1093" s="83"/>
      <c r="AK1093" s="83"/>
      <c r="AL1093" s="83"/>
      <c r="AM1093" s="83"/>
      <c r="AN1093" s="83"/>
      <c r="AO1093" s="83"/>
      <c r="AP1093" s="83"/>
      <c r="AQ1093" s="83"/>
      <c r="AR1093" s="83"/>
      <c r="AS1093" s="83"/>
      <c r="AT1093" s="83"/>
    </row>
    <row r="1094" spans="36:46" x14ac:dyDescent="0.3">
      <c r="AJ1094" s="83"/>
      <c r="AK1094" s="83"/>
      <c r="AL1094" s="83"/>
      <c r="AM1094" s="83"/>
      <c r="AN1094" s="83"/>
      <c r="AO1094" s="83"/>
      <c r="AP1094" s="83"/>
      <c r="AQ1094" s="83"/>
      <c r="AR1094" s="83"/>
      <c r="AS1094" s="83"/>
      <c r="AT1094" s="83"/>
    </row>
    <row r="1095" spans="36:46" x14ac:dyDescent="0.3">
      <c r="AJ1095" s="83"/>
      <c r="AK1095" s="83"/>
      <c r="AL1095" s="83"/>
      <c r="AM1095" s="83"/>
      <c r="AN1095" s="83"/>
      <c r="AO1095" s="83"/>
      <c r="AP1095" s="83"/>
      <c r="AQ1095" s="83"/>
      <c r="AR1095" s="83"/>
      <c r="AS1095" s="83"/>
      <c r="AT1095" s="83"/>
    </row>
    <row r="1096" spans="36:46" x14ac:dyDescent="0.3">
      <c r="AJ1096" s="83"/>
      <c r="AK1096" s="83"/>
      <c r="AL1096" s="83"/>
      <c r="AM1096" s="83"/>
      <c r="AN1096" s="83"/>
      <c r="AO1096" s="83"/>
      <c r="AP1096" s="83"/>
      <c r="AQ1096" s="83"/>
      <c r="AR1096" s="83"/>
      <c r="AS1096" s="83"/>
      <c r="AT1096" s="83"/>
    </row>
    <row r="1097" spans="36:46" x14ac:dyDescent="0.3">
      <c r="AJ1097" s="83"/>
      <c r="AK1097" s="83"/>
      <c r="AL1097" s="83"/>
      <c r="AM1097" s="83"/>
      <c r="AN1097" s="83"/>
      <c r="AO1097" s="83"/>
      <c r="AP1097" s="83"/>
      <c r="AQ1097" s="83"/>
      <c r="AR1097" s="83"/>
      <c r="AS1097" s="83"/>
      <c r="AT1097" s="83"/>
    </row>
    <row r="1098" spans="36:46" x14ac:dyDescent="0.3">
      <c r="AJ1098" s="83"/>
      <c r="AK1098" s="83"/>
      <c r="AL1098" s="83"/>
      <c r="AM1098" s="83"/>
      <c r="AN1098" s="83"/>
      <c r="AO1098" s="83"/>
      <c r="AP1098" s="83"/>
      <c r="AQ1098" s="83"/>
      <c r="AR1098" s="83"/>
      <c r="AS1098" s="83"/>
      <c r="AT1098" s="83"/>
    </row>
    <row r="1099" spans="36:46" x14ac:dyDescent="0.3">
      <c r="AJ1099" s="83"/>
      <c r="AK1099" s="83"/>
      <c r="AL1099" s="83"/>
      <c r="AM1099" s="83"/>
      <c r="AN1099" s="83"/>
      <c r="AO1099" s="83"/>
      <c r="AP1099" s="83"/>
      <c r="AQ1099" s="83"/>
      <c r="AR1099" s="83"/>
      <c r="AS1099" s="83"/>
      <c r="AT1099" s="83"/>
    </row>
    <row r="1100" spans="36:46" x14ac:dyDescent="0.3">
      <c r="AJ1100" s="83"/>
      <c r="AK1100" s="83"/>
      <c r="AL1100" s="83"/>
      <c r="AM1100" s="83"/>
      <c r="AN1100" s="83"/>
      <c r="AO1100" s="83"/>
      <c r="AP1100" s="83"/>
      <c r="AQ1100" s="83"/>
      <c r="AR1100" s="83"/>
      <c r="AS1100" s="83"/>
      <c r="AT1100" s="83"/>
    </row>
    <row r="1101" spans="36:46" x14ac:dyDescent="0.3">
      <c r="AJ1101" s="83"/>
      <c r="AK1101" s="83"/>
      <c r="AL1101" s="83"/>
      <c r="AM1101" s="83"/>
      <c r="AN1101" s="83"/>
      <c r="AO1101" s="83"/>
      <c r="AP1101" s="83"/>
      <c r="AQ1101" s="83"/>
      <c r="AR1101" s="83"/>
      <c r="AS1101" s="83"/>
      <c r="AT1101" s="83"/>
    </row>
    <row r="1102" spans="36:46" x14ac:dyDescent="0.3">
      <c r="AJ1102" s="83"/>
      <c r="AK1102" s="83"/>
      <c r="AL1102" s="83"/>
      <c r="AM1102" s="83"/>
      <c r="AN1102" s="83"/>
      <c r="AO1102" s="83"/>
      <c r="AP1102" s="83"/>
      <c r="AQ1102" s="83"/>
      <c r="AR1102" s="83"/>
      <c r="AS1102" s="83"/>
      <c r="AT1102" s="83"/>
    </row>
    <row r="1103" spans="36:46" x14ac:dyDescent="0.3">
      <c r="AJ1103" s="83"/>
      <c r="AK1103" s="83"/>
      <c r="AL1103" s="83"/>
      <c r="AM1103" s="83"/>
      <c r="AN1103" s="83"/>
      <c r="AO1103" s="83"/>
      <c r="AP1103" s="83"/>
      <c r="AQ1103" s="83"/>
      <c r="AR1103" s="83"/>
      <c r="AS1103" s="83"/>
      <c r="AT1103" s="83"/>
    </row>
    <row r="1104" spans="36:46" x14ac:dyDescent="0.3">
      <c r="AJ1104" s="83"/>
      <c r="AK1104" s="83"/>
      <c r="AL1104" s="83"/>
      <c r="AM1104" s="83"/>
      <c r="AN1104" s="83"/>
      <c r="AO1104" s="83"/>
      <c r="AP1104" s="83"/>
      <c r="AQ1104" s="83"/>
      <c r="AR1104" s="83"/>
      <c r="AS1104" s="83"/>
      <c r="AT1104" s="83"/>
    </row>
    <row r="1105" spans="36:46" x14ac:dyDescent="0.3">
      <c r="AJ1105" s="83"/>
      <c r="AK1105" s="83"/>
      <c r="AL1105" s="83"/>
      <c r="AM1105" s="83"/>
      <c r="AN1105" s="83"/>
      <c r="AO1105" s="83"/>
      <c r="AP1105" s="83"/>
      <c r="AQ1105" s="83"/>
      <c r="AR1105" s="83"/>
      <c r="AS1105" s="83"/>
      <c r="AT1105" s="83"/>
    </row>
    <row r="1106" spans="36:46" x14ac:dyDescent="0.3">
      <c r="AJ1106" s="83"/>
      <c r="AK1106" s="83"/>
      <c r="AL1106" s="83"/>
      <c r="AM1106" s="83"/>
      <c r="AN1106" s="83"/>
      <c r="AO1106" s="83"/>
      <c r="AP1106" s="83"/>
      <c r="AQ1106" s="83"/>
      <c r="AR1106" s="83"/>
      <c r="AS1106" s="83"/>
      <c r="AT1106" s="83"/>
    </row>
    <row r="1107" spans="36:46" x14ac:dyDescent="0.3">
      <c r="AJ1107" s="83"/>
      <c r="AK1107" s="83"/>
      <c r="AL1107" s="83"/>
      <c r="AM1107" s="83"/>
      <c r="AN1107" s="83"/>
      <c r="AO1107" s="83"/>
      <c r="AP1107" s="83"/>
      <c r="AQ1107" s="83"/>
      <c r="AR1107" s="83"/>
      <c r="AS1107" s="83"/>
      <c r="AT1107" s="83"/>
    </row>
    <row r="1108" spans="36:46" x14ac:dyDescent="0.3">
      <c r="AJ1108" s="83"/>
      <c r="AK1108" s="83"/>
      <c r="AL1108" s="83"/>
      <c r="AM1108" s="83"/>
      <c r="AN1108" s="83"/>
      <c r="AO1108" s="83"/>
      <c r="AP1108" s="83"/>
      <c r="AQ1108" s="83"/>
      <c r="AR1108" s="83"/>
      <c r="AS1108" s="83"/>
      <c r="AT1108" s="83"/>
    </row>
    <row r="1109" spans="36:46" x14ac:dyDescent="0.3">
      <c r="AJ1109" s="83"/>
      <c r="AK1109" s="83"/>
      <c r="AL1109" s="83"/>
      <c r="AM1109" s="83"/>
      <c r="AN1109" s="83"/>
      <c r="AO1109" s="83"/>
      <c r="AP1109" s="83"/>
      <c r="AQ1109" s="83"/>
      <c r="AR1109" s="83"/>
      <c r="AS1109" s="83"/>
      <c r="AT1109" s="83"/>
    </row>
    <row r="1110" spans="36:46" x14ac:dyDescent="0.3">
      <c r="AJ1110" s="83"/>
      <c r="AK1110" s="83"/>
      <c r="AL1110" s="83"/>
      <c r="AM1110" s="83"/>
      <c r="AN1110" s="83"/>
      <c r="AO1110" s="83"/>
      <c r="AP1110" s="83"/>
      <c r="AQ1110" s="83"/>
      <c r="AR1110" s="83"/>
      <c r="AS1110" s="83"/>
      <c r="AT1110" s="83"/>
    </row>
    <row r="1111" spans="36:46" x14ac:dyDescent="0.3">
      <c r="AJ1111" s="83"/>
      <c r="AK1111" s="83"/>
      <c r="AL1111" s="83"/>
      <c r="AM1111" s="83"/>
      <c r="AN1111" s="83"/>
      <c r="AO1111" s="83"/>
      <c r="AP1111" s="83"/>
      <c r="AQ1111" s="83"/>
      <c r="AR1111" s="83"/>
      <c r="AS1111" s="83"/>
      <c r="AT1111" s="83"/>
    </row>
    <row r="1112" spans="36:46" x14ac:dyDescent="0.3">
      <c r="AJ1112" s="83"/>
      <c r="AK1112" s="83"/>
      <c r="AL1112" s="83"/>
      <c r="AM1112" s="83"/>
      <c r="AN1112" s="83"/>
      <c r="AO1112" s="83"/>
      <c r="AP1112" s="83"/>
      <c r="AQ1112" s="83"/>
      <c r="AR1112" s="83"/>
      <c r="AS1112" s="83"/>
      <c r="AT1112" s="83"/>
    </row>
    <row r="1113" spans="36:46" x14ac:dyDescent="0.3">
      <c r="AJ1113" s="83"/>
      <c r="AK1113" s="83"/>
      <c r="AL1113" s="83"/>
      <c r="AM1113" s="83"/>
      <c r="AN1113" s="83"/>
      <c r="AO1113" s="83"/>
      <c r="AP1113" s="83"/>
      <c r="AQ1113" s="83"/>
      <c r="AR1113" s="83"/>
      <c r="AS1113" s="83"/>
      <c r="AT1113" s="83"/>
    </row>
    <row r="1114" spans="36:46" x14ac:dyDescent="0.3">
      <c r="AJ1114" s="83"/>
      <c r="AK1114" s="83"/>
      <c r="AL1114" s="83"/>
      <c r="AM1114" s="83"/>
      <c r="AN1114" s="83"/>
      <c r="AO1114" s="83"/>
      <c r="AP1114" s="83"/>
      <c r="AQ1114" s="83"/>
      <c r="AR1114" s="83"/>
      <c r="AS1114" s="83"/>
      <c r="AT1114" s="83"/>
    </row>
    <row r="1115" spans="36:46" x14ac:dyDescent="0.3">
      <c r="AJ1115" s="83"/>
      <c r="AK1115" s="83"/>
      <c r="AL1115" s="83"/>
      <c r="AM1115" s="83"/>
      <c r="AN1115" s="83"/>
      <c r="AO1115" s="83"/>
      <c r="AP1115" s="83"/>
      <c r="AQ1115" s="83"/>
      <c r="AR1115" s="83"/>
      <c r="AS1115" s="83"/>
      <c r="AT1115" s="83"/>
    </row>
    <row r="1116" spans="36:46" x14ac:dyDescent="0.3">
      <c r="AJ1116" s="83"/>
      <c r="AK1116" s="83"/>
      <c r="AL1116" s="83"/>
      <c r="AM1116" s="83"/>
      <c r="AN1116" s="83"/>
      <c r="AO1116" s="83"/>
      <c r="AP1116" s="83"/>
      <c r="AQ1116" s="83"/>
      <c r="AR1116" s="83"/>
      <c r="AS1116" s="83"/>
      <c r="AT1116" s="83"/>
    </row>
    <row r="1117" spans="36:46" x14ac:dyDescent="0.3">
      <c r="AJ1117" s="83"/>
      <c r="AK1117" s="83"/>
      <c r="AL1117" s="83"/>
      <c r="AM1117" s="83"/>
      <c r="AN1117" s="83"/>
      <c r="AO1117" s="83"/>
      <c r="AP1117" s="83"/>
      <c r="AQ1117" s="83"/>
      <c r="AR1117" s="83"/>
      <c r="AS1117" s="83"/>
      <c r="AT1117" s="83"/>
    </row>
    <row r="1118" spans="36:46" x14ac:dyDescent="0.3">
      <c r="AJ1118" s="83"/>
      <c r="AK1118" s="83"/>
      <c r="AL1118" s="83"/>
      <c r="AM1118" s="83"/>
      <c r="AN1118" s="83"/>
      <c r="AO1118" s="83"/>
      <c r="AP1118" s="83"/>
      <c r="AQ1118" s="83"/>
      <c r="AR1118" s="83"/>
      <c r="AS1118" s="83"/>
      <c r="AT1118" s="83"/>
    </row>
    <row r="1119" spans="36:46" x14ac:dyDescent="0.3">
      <c r="AJ1119" s="83"/>
      <c r="AK1119" s="83"/>
      <c r="AL1119" s="83"/>
      <c r="AM1119" s="83"/>
      <c r="AN1119" s="83"/>
      <c r="AO1119" s="83"/>
      <c r="AP1119" s="83"/>
      <c r="AQ1119" s="83"/>
      <c r="AR1119" s="83"/>
      <c r="AS1119" s="83"/>
      <c r="AT1119" s="83"/>
    </row>
    <row r="1120" spans="36:46" x14ac:dyDescent="0.3">
      <c r="AJ1120" s="83"/>
      <c r="AK1120" s="83"/>
      <c r="AL1120" s="83"/>
      <c r="AM1120" s="83"/>
      <c r="AN1120" s="83"/>
      <c r="AO1120" s="83"/>
      <c r="AP1120" s="83"/>
      <c r="AQ1120" s="83"/>
      <c r="AR1120" s="83"/>
      <c r="AS1120" s="83"/>
      <c r="AT1120" s="83"/>
    </row>
    <row r="1121" spans="36:46" x14ac:dyDescent="0.3">
      <c r="AJ1121" s="83"/>
      <c r="AK1121" s="83"/>
      <c r="AL1121" s="83"/>
      <c r="AM1121" s="83"/>
      <c r="AN1121" s="83"/>
      <c r="AO1121" s="83"/>
      <c r="AP1121" s="83"/>
      <c r="AQ1121" s="83"/>
      <c r="AR1121" s="83"/>
      <c r="AS1121" s="83"/>
      <c r="AT1121" s="83"/>
    </row>
    <row r="1122" spans="36:46" x14ac:dyDescent="0.3">
      <c r="AJ1122" s="83"/>
      <c r="AK1122" s="83"/>
      <c r="AL1122" s="83"/>
      <c r="AM1122" s="83"/>
      <c r="AN1122" s="83"/>
      <c r="AO1122" s="83"/>
      <c r="AP1122" s="83"/>
      <c r="AQ1122" s="83"/>
      <c r="AR1122" s="83"/>
      <c r="AS1122" s="83"/>
      <c r="AT1122" s="83"/>
    </row>
    <row r="1123" spans="36:46" x14ac:dyDescent="0.3">
      <c r="AJ1123" s="83"/>
      <c r="AK1123" s="83"/>
      <c r="AL1123" s="83"/>
      <c r="AM1123" s="83"/>
      <c r="AN1123" s="83"/>
      <c r="AO1123" s="83"/>
      <c r="AP1123" s="83"/>
      <c r="AQ1123" s="83"/>
      <c r="AR1123" s="83"/>
      <c r="AS1123" s="83"/>
      <c r="AT1123" s="83"/>
    </row>
    <row r="1124" spans="36:46" x14ac:dyDescent="0.3">
      <c r="AJ1124" s="83"/>
      <c r="AK1124" s="83"/>
      <c r="AL1124" s="83"/>
      <c r="AM1124" s="83"/>
      <c r="AN1124" s="83"/>
      <c r="AO1124" s="83"/>
      <c r="AP1124" s="83"/>
      <c r="AQ1124" s="83"/>
      <c r="AR1124" s="83"/>
      <c r="AS1124" s="83"/>
      <c r="AT1124" s="83"/>
    </row>
    <row r="1125" spans="36:46" x14ac:dyDescent="0.3">
      <c r="AJ1125" s="83"/>
      <c r="AK1125" s="83"/>
      <c r="AL1125" s="83"/>
      <c r="AM1125" s="83"/>
      <c r="AN1125" s="83"/>
      <c r="AO1125" s="83"/>
      <c r="AP1125" s="83"/>
      <c r="AQ1125" s="83"/>
      <c r="AR1125" s="83"/>
      <c r="AS1125" s="83"/>
      <c r="AT1125" s="83"/>
    </row>
    <row r="1126" spans="36:46" x14ac:dyDescent="0.3">
      <c r="AJ1126" s="83"/>
      <c r="AK1126" s="83"/>
      <c r="AL1126" s="83"/>
      <c r="AM1126" s="83"/>
      <c r="AN1126" s="83"/>
      <c r="AO1126" s="83"/>
      <c r="AP1126" s="83"/>
      <c r="AQ1126" s="83"/>
      <c r="AR1126" s="83"/>
      <c r="AS1126" s="83"/>
      <c r="AT1126" s="83"/>
    </row>
    <row r="1127" spans="36:46" x14ac:dyDescent="0.3">
      <c r="AJ1127" s="83"/>
      <c r="AK1127" s="83"/>
      <c r="AL1127" s="83"/>
      <c r="AM1127" s="83"/>
      <c r="AN1127" s="83"/>
      <c r="AO1127" s="83"/>
      <c r="AP1127" s="83"/>
      <c r="AQ1127" s="83"/>
      <c r="AR1127" s="83"/>
      <c r="AS1127" s="83"/>
      <c r="AT1127" s="83"/>
    </row>
    <row r="1128" spans="36:46" x14ac:dyDescent="0.3">
      <c r="AJ1128" s="83"/>
      <c r="AK1128" s="83"/>
      <c r="AL1128" s="83"/>
      <c r="AM1128" s="83"/>
      <c r="AN1128" s="83"/>
      <c r="AO1128" s="83"/>
      <c r="AP1128" s="83"/>
      <c r="AQ1128" s="83"/>
      <c r="AR1128" s="83"/>
      <c r="AS1128" s="83"/>
      <c r="AT1128" s="83"/>
    </row>
    <row r="1129" spans="36:46" x14ac:dyDescent="0.3">
      <c r="AJ1129" s="83"/>
      <c r="AK1129" s="83"/>
      <c r="AL1129" s="83"/>
      <c r="AM1129" s="83"/>
      <c r="AN1129" s="83"/>
      <c r="AO1129" s="83"/>
      <c r="AP1129" s="83"/>
      <c r="AQ1129" s="83"/>
      <c r="AR1129" s="83"/>
      <c r="AS1129" s="83"/>
      <c r="AT1129" s="83"/>
    </row>
    <row r="1130" spans="36:46" x14ac:dyDescent="0.3">
      <c r="AJ1130" s="83"/>
      <c r="AK1130" s="83"/>
      <c r="AL1130" s="83"/>
      <c r="AM1130" s="83"/>
      <c r="AN1130" s="83"/>
      <c r="AO1130" s="83"/>
      <c r="AP1130" s="83"/>
      <c r="AQ1130" s="83"/>
      <c r="AR1130" s="83"/>
      <c r="AS1130" s="83"/>
      <c r="AT1130" s="83"/>
    </row>
    <row r="1131" spans="36:46" x14ac:dyDescent="0.3">
      <c r="AJ1131" s="83"/>
      <c r="AK1131" s="83"/>
      <c r="AL1131" s="83"/>
      <c r="AM1131" s="83"/>
      <c r="AN1131" s="83"/>
      <c r="AO1131" s="83"/>
      <c r="AP1131" s="83"/>
      <c r="AQ1131" s="83"/>
      <c r="AR1131" s="83"/>
      <c r="AS1131" s="83"/>
      <c r="AT1131" s="83"/>
    </row>
    <row r="1132" spans="36:46" x14ac:dyDescent="0.3">
      <c r="AJ1132" s="83"/>
      <c r="AK1132" s="83"/>
      <c r="AL1132" s="83"/>
      <c r="AM1132" s="83"/>
      <c r="AN1132" s="83"/>
      <c r="AO1132" s="83"/>
      <c r="AP1132" s="83"/>
      <c r="AQ1132" s="83"/>
      <c r="AR1132" s="83"/>
      <c r="AS1132" s="83"/>
      <c r="AT1132" s="83"/>
    </row>
    <row r="1133" spans="36:46" x14ac:dyDescent="0.3">
      <c r="AJ1133" s="83"/>
      <c r="AK1133" s="83"/>
      <c r="AL1133" s="83"/>
      <c r="AM1133" s="83"/>
      <c r="AN1133" s="83"/>
      <c r="AO1133" s="83"/>
      <c r="AP1133" s="83"/>
      <c r="AQ1133" s="83"/>
      <c r="AR1133" s="83"/>
      <c r="AS1133" s="83"/>
      <c r="AT1133" s="83"/>
    </row>
    <row r="1134" spans="36:46" x14ac:dyDescent="0.3">
      <c r="AJ1134" s="83"/>
      <c r="AK1134" s="83"/>
      <c r="AL1134" s="83"/>
      <c r="AM1134" s="83"/>
      <c r="AN1134" s="83"/>
      <c r="AO1134" s="83"/>
      <c r="AP1134" s="83"/>
      <c r="AQ1134" s="83"/>
      <c r="AR1134" s="83"/>
      <c r="AS1134" s="83"/>
      <c r="AT1134" s="83"/>
    </row>
    <row r="1135" spans="36:46" x14ac:dyDescent="0.3">
      <c r="AJ1135" s="83"/>
      <c r="AK1135" s="83"/>
      <c r="AL1135" s="83"/>
      <c r="AM1135" s="83"/>
      <c r="AN1135" s="83"/>
      <c r="AO1135" s="83"/>
      <c r="AP1135" s="83"/>
      <c r="AQ1135" s="83"/>
      <c r="AR1135" s="83"/>
      <c r="AS1135" s="83"/>
      <c r="AT1135" s="83"/>
    </row>
    <row r="1136" spans="36:46" x14ac:dyDescent="0.3">
      <c r="AJ1136" s="83"/>
      <c r="AK1136" s="83"/>
      <c r="AL1136" s="83"/>
      <c r="AM1136" s="83"/>
      <c r="AN1136" s="83"/>
      <c r="AO1136" s="83"/>
      <c r="AP1136" s="83"/>
      <c r="AQ1136" s="83"/>
      <c r="AR1136" s="83"/>
      <c r="AS1136" s="83"/>
      <c r="AT1136" s="83"/>
    </row>
    <row r="1137" spans="36:46" x14ac:dyDescent="0.3">
      <c r="AJ1137" s="83"/>
      <c r="AK1137" s="83"/>
      <c r="AL1137" s="83"/>
      <c r="AM1137" s="83"/>
      <c r="AN1137" s="83"/>
      <c r="AO1137" s="83"/>
      <c r="AP1137" s="83"/>
      <c r="AQ1137" s="83"/>
      <c r="AR1137" s="83"/>
      <c r="AS1137" s="83"/>
      <c r="AT1137" s="83"/>
    </row>
    <row r="1138" spans="36:46" x14ac:dyDescent="0.3">
      <c r="AJ1138" s="83"/>
      <c r="AK1138" s="83"/>
      <c r="AL1138" s="83"/>
      <c r="AM1138" s="83"/>
      <c r="AN1138" s="83"/>
      <c r="AO1138" s="83"/>
      <c r="AP1138" s="83"/>
      <c r="AQ1138" s="83"/>
      <c r="AR1138" s="83"/>
      <c r="AS1138" s="83"/>
      <c r="AT1138" s="83"/>
    </row>
    <row r="1139" spans="36:46" x14ac:dyDescent="0.3">
      <c r="AJ1139" s="83"/>
      <c r="AK1139" s="83"/>
      <c r="AL1139" s="83"/>
      <c r="AM1139" s="83"/>
      <c r="AN1139" s="83"/>
      <c r="AO1139" s="83"/>
      <c r="AP1139" s="83"/>
      <c r="AQ1139" s="83"/>
      <c r="AR1139" s="83"/>
      <c r="AS1139" s="83"/>
      <c r="AT1139" s="83"/>
    </row>
    <row r="1140" spans="36:46" x14ac:dyDescent="0.3">
      <c r="AJ1140" s="83"/>
      <c r="AK1140" s="83"/>
      <c r="AL1140" s="83"/>
      <c r="AM1140" s="83"/>
      <c r="AN1140" s="83"/>
      <c r="AO1140" s="83"/>
      <c r="AP1140" s="83"/>
      <c r="AQ1140" s="83"/>
      <c r="AR1140" s="83"/>
      <c r="AS1140" s="83"/>
      <c r="AT1140" s="83"/>
    </row>
    <row r="1141" spans="36:46" x14ac:dyDescent="0.3">
      <c r="AJ1141" s="83"/>
      <c r="AK1141" s="83"/>
      <c r="AL1141" s="83"/>
      <c r="AM1141" s="83"/>
      <c r="AN1141" s="83"/>
      <c r="AO1141" s="83"/>
      <c r="AP1141" s="83"/>
      <c r="AQ1141" s="83"/>
      <c r="AR1141" s="83"/>
      <c r="AS1141" s="83"/>
      <c r="AT1141" s="83"/>
    </row>
    <row r="1142" spans="36:46" x14ac:dyDescent="0.3">
      <c r="AJ1142" s="83"/>
      <c r="AK1142" s="83"/>
      <c r="AL1142" s="83"/>
      <c r="AM1142" s="83"/>
      <c r="AN1142" s="83"/>
      <c r="AO1142" s="83"/>
      <c r="AP1142" s="83"/>
      <c r="AQ1142" s="83"/>
      <c r="AR1142" s="83"/>
      <c r="AS1142" s="83"/>
      <c r="AT1142" s="83"/>
    </row>
    <row r="1143" spans="36:46" x14ac:dyDescent="0.3">
      <c r="AJ1143" s="83"/>
      <c r="AK1143" s="83"/>
      <c r="AL1143" s="83"/>
      <c r="AM1143" s="83"/>
      <c r="AN1143" s="83"/>
      <c r="AO1143" s="83"/>
      <c r="AP1143" s="83"/>
      <c r="AQ1143" s="83"/>
      <c r="AR1143" s="83"/>
      <c r="AS1143" s="83"/>
      <c r="AT1143" s="83"/>
    </row>
    <row r="1144" spans="36:46" x14ac:dyDescent="0.3">
      <c r="AJ1144" s="83"/>
      <c r="AK1144" s="83"/>
      <c r="AL1144" s="83"/>
      <c r="AM1144" s="83"/>
      <c r="AN1144" s="83"/>
      <c r="AO1144" s="83"/>
      <c r="AP1144" s="83"/>
      <c r="AQ1144" s="83"/>
      <c r="AR1144" s="83"/>
      <c r="AS1144" s="83"/>
      <c r="AT1144" s="83"/>
    </row>
    <row r="1145" spans="36:46" x14ac:dyDescent="0.3">
      <c r="AJ1145" s="83"/>
      <c r="AK1145" s="83"/>
      <c r="AL1145" s="83"/>
      <c r="AM1145" s="83"/>
      <c r="AN1145" s="83"/>
      <c r="AO1145" s="83"/>
      <c r="AP1145" s="83"/>
      <c r="AQ1145" s="83"/>
      <c r="AR1145" s="83"/>
      <c r="AS1145" s="83"/>
      <c r="AT1145" s="83"/>
    </row>
    <row r="1146" spans="36:46" x14ac:dyDescent="0.3">
      <c r="AJ1146" s="83"/>
      <c r="AK1146" s="83"/>
      <c r="AL1146" s="83"/>
      <c r="AM1146" s="83"/>
      <c r="AN1146" s="83"/>
      <c r="AO1146" s="83"/>
      <c r="AP1146" s="83"/>
      <c r="AQ1146" s="83"/>
      <c r="AR1146" s="83"/>
      <c r="AS1146" s="83"/>
      <c r="AT1146" s="83"/>
    </row>
    <row r="1147" spans="36:46" x14ac:dyDescent="0.3">
      <c r="AJ1147" s="83"/>
      <c r="AK1147" s="83"/>
      <c r="AL1147" s="83"/>
      <c r="AM1147" s="83"/>
      <c r="AN1147" s="83"/>
      <c r="AO1147" s="83"/>
      <c r="AP1147" s="83"/>
      <c r="AQ1147" s="83"/>
      <c r="AR1147" s="83"/>
      <c r="AS1147" s="83"/>
      <c r="AT1147" s="83"/>
    </row>
    <row r="1148" spans="36:46" x14ac:dyDescent="0.3">
      <c r="AJ1148" s="83"/>
      <c r="AK1148" s="83"/>
      <c r="AL1148" s="83"/>
      <c r="AM1148" s="83"/>
      <c r="AN1148" s="83"/>
      <c r="AO1148" s="83"/>
      <c r="AP1148" s="83"/>
      <c r="AQ1148" s="83"/>
      <c r="AR1148" s="83"/>
      <c r="AS1148" s="83"/>
      <c r="AT1148" s="83"/>
    </row>
    <row r="1149" spans="36:46" x14ac:dyDescent="0.3">
      <c r="AJ1149" s="83"/>
      <c r="AK1149" s="83"/>
      <c r="AL1149" s="83"/>
      <c r="AM1149" s="83"/>
      <c r="AN1149" s="83"/>
      <c r="AO1149" s="83"/>
      <c r="AP1149" s="83"/>
      <c r="AQ1149" s="83"/>
      <c r="AR1149" s="83"/>
      <c r="AS1149" s="83"/>
      <c r="AT1149" s="83"/>
    </row>
    <row r="1150" spans="36:46" x14ac:dyDescent="0.3">
      <c r="AJ1150" s="83"/>
      <c r="AK1150" s="83"/>
      <c r="AL1150" s="83"/>
      <c r="AM1150" s="83"/>
      <c r="AN1150" s="83"/>
      <c r="AO1150" s="83"/>
      <c r="AP1150" s="83"/>
      <c r="AQ1150" s="83"/>
      <c r="AR1150" s="83"/>
      <c r="AS1150" s="83"/>
      <c r="AT1150" s="83"/>
    </row>
    <row r="1151" spans="36:46" x14ac:dyDescent="0.3">
      <c r="AJ1151" s="83"/>
      <c r="AK1151" s="83"/>
      <c r="AL1151" s="83"/>
      <c r="AM1151" s="83"/>
      <c r="AN1151" s="83"/>
      <c r="AO1151" s="83"/>
      <c r="AP1151" s="83"/>
      <c r="AQ1151" s="83"/>
      <c r="AR1151" s="83"/>
      <c r="AS1151" s="83"/>
      <c r="AT1151" s="83"/>
    </row>
    <row r="1152" spans="36:46" x14ac:dyDescent="0.3">
      <c r="AJ1152" s="83"/>
      <c r="AK1152" s="83"/>
      <c r="AL1152" s="83"/>
      <c r="AM1152" s="83"/>
      <c r="AN1152" s="83"/>
      <c r="AO1152" s="83"/>
      <c r="AP1152" s="83"/>
      <c r="AQ1152" s="83"/>
      <c r="AR1152" s="83"/>
      <c r="AS1152" s="83"/>
      <c r="AT1152" s="83"/>
    </row>
    <row r="1153" spans="36:46" x14ac:dyDescent="0.3">
      <c r="AJ1153" s="83"/>
      <c r="AK1153" s="83"/>
      <c r="AL1153" s="83"/>
      <c r="AM1153" s="83"/>
      <c r="AN1153" s="83"/>
      <c r="AO1153" s="83"/>
      <c r="AP1153" s="83"/>
      <c r="AQ1153" s="83"/>
      <c r="AR1153" s="83"/>
      <c r="AS1153" s="83"/>
      <c r="AT1153" s="83"/>
    </row>
    <row r="1154" spans="36:46" x14ac:dyDescent="0.3">
      <c r="AJ1154" s="83"/>
      <c r="AK1154" s="83"/>
      <c r="AL1154" s="83"/>
      <c r="AM1154" s="83"/>
      <c r="AN1154" s="83"/>
      <c r="AO1154" s="83"/>
      <c r="AP1154" s="83"/>
      <c r="AQ1154" s="83"/>
      <c r="AR1154" s="83"/>
      <c r="AS1154" s="83"/>
      <c r="AT1154" s="83"/>
    </row>
    <row r="1155" spans="36:46" x14ac:dyDescent="0.3">
      <c r="AJ1155" s="83"/>
      <c r="AK1155" s="83"/>
      <c r="AL1155" s="83"/>
      <c r="AM1155" s="83"/>
      <c r="AN1155" s="83"/>
      <c r="AO1155" s="83"/>
      <c r="AP1155" s="83"/>
      <c r="AQ1155" s="83"/>
      <c r="AR1155" s="83"/>
      <c r="AS1155" s="83"/>
      <c r="AT1155" s="83"/>
    </row>
    <row r="1156" spans="36:46" x14ac:dyDescent="0.3">
      <c r="AJ1156" s="83"/>
      <c r="AK1156" s="83"/>
      <c r="AL1156" s="83"/>
      <c r="AM1156" s="83"/>
      <c r="AN1156" s="83"/>
      <c r="AO1156" s="83"/>
      <c r="AP1156" s="83"/>
      <c r="AQ1156" s="83"/>
      <c r="AR1156" s="83"/>
      <c r="AS1156" s="83"/>
      <c r="AT1156" s="83"/>
    </row>
    <row r="1157" spans="36:46" x14ac:dyDescent="0.3">
      <c r="AJ1157" s="83"/>
      <c r="AK1157" s="83"/>
      <c r="AL1157" s="83"/>
      <c r="AM1157" s="83"/>
      <c r="AN1157" s="83"/>
      <c r="AO1157" s="83"/>
      <c r="AP1157" s="83"/>
      <c r="AQ1157" s="83"/>
      <c r="AR1157" s="83"/>
      <c r="AS1157" s="83"/>
      <c r="AT1157" s="83"/>
    </row>
    <row r="1158" spans="36:46" x14ac:dyDescent="0.3">
      <c r="AJ1158" s="83"/>
      <c r="AK1158" s="83"/>
      <c r="AL1158" s="83"/>
      <c r="AM1158" s="83"/>
      <c r="AN1158" s="83"/>
      <c r="AO1158" s="83"/>
      <c r="AP1158" s="83"/>
      <c r="AQ1158" s="83"/>
      <c r="AR1158" s="83"/>
      <c r="AS1158" s="83"/>
      <c r="AT1158" s="83"/>
    </row>
    <row r="1159" spans="36:46" x14ac:dyDescent="0.3">
      <c r="AJ1159" s="83"/>
      <c r="AK1159" s="83"/>
      <c r="AL1159" s="83"/>
      <c r="AM1159" s="83"/>
      <c r="AN1159" s="83"/>
      <c r="AO1159" s="83"/>
      <c r="AP1159" s="83"/>
      <c r="AQ1159" s="83"/>
      <c r="AR1159" s="83"/>
      <c r="AS1159" s="83"/>
      <c r="AT1159" s="83"/>
    </row>
    <row r="1160" spans="36:46" x14ac:dyDescent="0.3">
      <c r="AJ1160" s="83"/>
      <c r="AK1160" s="83"/>
      <c r="AL1160" s="83"/>
      <c r="AM1160" s="83"/>
      <c r="AN1160" s="83"/>
      <c r="AO1160" s="83"/>
      <c r="AP1160" s="83"/>
      <c r="AQ1160" s="83"/>
      <c r="AR1160" s="83"/>
      <c r="AS1160" s="83"/>
      <c r="AT1160" s="83"/>
    </row>
    <row r="1161" spans="36:46" x14ac:dyDescent="0.3">
      <c r="AJ1161" s="83"/>
      <c r="AK1161" s="83"/>
      <c r="AL1161" s="83"/>
      <c r="AM1161" s="83"/>
      <c r="AN1161" s="83"/>
      <c r="AO1161" s="83"/>
      <c r="AP1161" s="83"/>
      <c r="AQ1161" s="83"/>
      <c r="AR1161" s="83"/>
      <c r="AS1161" s="83"/>
      <c r="AT1161" s="83"/>
    </row>
    <row r="1162" spans="36:46" x14ac:dyDescent="0.3">
      <c r="AJ1162" s="83"/>
      <c r="AK1162" s="83"/>
      <c r="AL1162" s="83"/>
      <c r="AM1162" s="83"/>
      <c r="AN1162" s="83"/>
      <c r="AO1162" s="83"/>
      <c r="AP1162" s="83"/>
      <c r="AQ1162" s="83"/>
      <c r="AR1162" s="83"/>
      <c r="AS1162" s="83"/>
      <c r="AT1162" s="83"/>
    </row>
    <row r="1163" spans="36:46" x14ac:dyDescent="0.3">
      <c r="AJ1163" s="83"/>
      <c r="AK1163" s="83"/>
      <c r="AL1163" s="83"/>
      <c r="AM1163" s="83"/>
      <c r="AN1163" s="83"/>
      <c r="AO1163" s="83"/>
      <c r="AP1163" s="83"/>
      <c r="AQ1163" s="83"/>
      <c r="AR1163" s="83"/>
      <c r="AS1163" s="83"/>
      <c r="AT1163" s="83"/>
    </row>
    <row r="1164" spans="36:46" x14ac:dyDescent="0.3">
      <c r="AJ1164" s="83"/>
      <c r="AK1164" s="83"/>
      <c r="AL1164" s="83"/>
      <c r="AM1164" s="83"/>
      <c r="AN1164" s="83"/>
      <c r="AO1164" s="83"/>
      <c r="AP1164" s="83"/>
      <c r="AQ1164" s="83"/>
      <c r="AR1164" s="83"/>
      <c r="AS1164" s="83"/>
      <c r="AT1164" s="83"/>
    </row>
    <row r="1165" spans="36:46" x14ac:dyDescent="0.3">
      <c r="AJ1165" s="83"/>
      <c r="AK1165" s="83"/>
      <c r="AL1165" s="83"/>
      <c r="AM1165" s="83"/>
      <c r="AN1165" s="83"/>
      <c r="AO1165" s="83"/>
      <c r="AP1165" s="83"/>
      <c r="AQ1165" s="83"/>
      <c r="AR1165" s="83"/>
      <c r="AS1165" s="83"/>
      <c r="AT1165" s="83"/>
    </row>
    <row r="1166" spans="36:46" x14ac:dyDescent="0.3">
      <c r="AJ1166" s="83"/>
      <c r="AK1166" s="83"/>
      <c r="AL1166" s="83"/>
      <c r="AM1166" s="83"/>
      <c r="AN1166" s="83"/>
      <c r="AO1166" s="83"/>
      <c r="AP1166" s="83"/>
      <c r="AQ1166" s="83"/>
      <c r="AR1166" s="83"/>
      <c r="AS1166" s="83"/>
      <c r="AT1166" s="83"/>
    </row>
    <row r="1167" spans="36:46" x14ac:dyDescent="0.3">
      <c r="AJ1167" s="83"/>
      <c r="AK1167" s="83"/>
      <c r="AL1167" s="83"/>
      <c r="AM1167" s="83"/>
      <c r="AN1167" s="83"/>
      <c r="AO1167" s="83"/>
      <c r="AP1167" s="83"/>
      <c r="AQ1167" s="83"/>
      <c r="AR1167" s="83"/>
      <c r="AS1167" s="83"/>
      <c r="AT1167" s="83"/>
    </row>
    <row r="1168" spans="36:46" x14ac:dyDescent="0.3">
      <c r="AJ1168" s="83"/>
      <c r="AK1168" s="83"/>
      <c r="AL1168" s="83"/>
      <c r="AM1168" s="83"/>
      <c r="AN1168" s="83"/>
      <c r="AO1168" s="83"/>
      <c r="AP1168" s="83"/>
      <c r="AQ1168" s="83"/>
      <c r="AR1168" s="83"/>
      <c r="AS1168" s="83"/>
      <c r="AT1168" s="83"/>
    </row>
    <row r="1169" spans="36:46" x14ac:dyDescent="0.3">
      <c r="AJ1169" s="83"/>
      <c r="AK1169" s="83"/>
      <c r="AL1169" s="83"/>
      <c r="AM1169" s="83"/>
      <c r="AN1169" s="83"/>
      <c r="AO1169" s="83"/>
      <c r="AP1169" s="83"/>
      <c r="AQ1169" s="83"/>
      <c r="AR1169" s="83"/>
      <c r="AS1169" s="83"/>
      <c r="AT1169" s="83"/>
    </row>
    <row r="1170" spans="36:46" x14ac:dyDescent="0.3">
      <c r="AJ1170" s="83"/>
      <c r="AK1170" s="83"/>
      <c r="AL1170" s="83"/>
      <c r="AM1170" s="83"/>
      <c r="AN1170" s="83"/>
      <c r="AO1170" s="83"/>
      <c r="AP1170" s="83"/>
      <c r="AQ1170" s="83"/>
      <c r="AR1170" s="83"/>
      <c r="AS1170" s="83"/>
      <c r="AT1170" s="83"/>
    </row>
    <row r="1171" spans="36:46" x14ac:dyDescent="0.3">
      <c r="AJ1171" s="83"/>
      <c r="AK1171" s="83"/>
      <c r="AL1171" s="83"/>
      <c r="AM1171" s="83"/>
      <c r="AN1171" s="83"/>
      <c r="AO1171" s="83"/>
      <c r="AP1171" s="83"/>
      <c r="AQ1171" s="83"/>
      <c r="AR1171" s="83"/>
      <c r="AS1171" s="83"/>
      <c r="AT1171" s="83"/>
    </row>
    <row r="1172" spans="36:46" x14ac:dyDescent="0.3">
      <c r="AJ1172" s="83"/>
      <c r="AK1172" s="83"/>
      <c r="AL1172" s="83"/>
      <c r="AM1172" s="83"/>
      <c r="AN1172" s="83"/>
      <c r="AO1172" s="83"/>
      <c r="AP1172" s="83"/>
      <c r="AQ1172" s="83"/>
      <c r="AR1172" s="83"/>
      <c r="AS1172" s="83"/>
      <c r="AT1172" s="83"/>
    </row>
    <row r="1173" spans="36:46" x14ac:dyDescent="0.3">
      <c r="AJ1173" s="83"/>
      <c r="AK1173" s="83"/>
      <c r="AL1173" s="83"/>
      <c r="AM1173" s="83"/>
      <c r="AN1173" s="83"/>
      <c r="AO1173" s="83"/>
      <c r="AP1173" s="83"/>
      <c r="AQ1173" s="83"/>
      <c r="AR1173" s="83"/>
      <c r="AS1173" s="83"/>
      <c r="AT1173" s="83"/>
    </row>
    <row r="1174" spans="36:46" x14ac:dyDescent="0.3">
      <c r="AJ1174" s="83"/>
      <c r="AK1174" s="83"/>
      <c r="AL1174" s="83"/>
      <c r="AM1174" s="83"/>
      <c r="AN1174" s="83"/>
      <c r="AO1174" s="83"/>
      <c r="AP1174" s="83"/>
      <c r="AQ1174" s="83"/>
      <c r="AR1174" s="83"/>
      <c r="AS1174" s="83"/>
      <c r="AT1174" s="83"/>
    </row>
    <row r="1175" spans="36:46" x14ac:dyDescent="0.3">
      <c r="AJ1175" s="83"/>
      <c r="AK1175" s="83"/>
      <c r="AL1175" s="83"/>
      <c r="AM1175" s="83"/>
      <c r="AN1175" s="83"/>
      <c r="AO1175" s="83"/>
      <c r="AP1175" s="83"/>
      <c r="AQ1175" s="83"/>
      <c r="AR1175" s="83"/>
      <c r="AS1175" s="83"/>
      <c r="AT1175" s="83"/>
    </row>
    <row r="1176" spans="36:46" x14ac:dyDescent="0.3">
      <c r="AJ1176" s="83"/>
      <c r="AK1176" s="83"/>
      <c r="AL1176" s="83"/>
      <c r="AM1176" s="83"/>
      <c r="AN1176" s="83"/>
      <c r="AO1176" s="83"/>
      <c r="AP1176" s="83"/>
      <c r="AQ1176" s="83"/>
      <c r="AR1176" s="83"/>
      <c r="AS1176" s="83"/>
      <c r="AT1176" s="83"/>
    </row>
    <row r="1177" spans="36:46" x14ac:dyDescent="0.3">
      <c r="AJ1177" s="83"/>
      <c r="AK1177" s="83"/>
      <c r="AL1177" s="83"/>
      <c r="AM1177" s="83"/>
      <c r="AN1177" s="83"/>
      <c r="AO1177" s="83"/>
      <c r="AP1177" s="83"/>
      <c r="AQ1177" s="83"/>
      <c r="AR1177" s="83"/>
      <c r="AS1177" s="83"/>
      <c r="AT1177" s="83"/>
    </row>
    <row r="1178" spans="36:46" x14ac:dyDescent="0.3">
      <c r="AJ1178" s="83"/>
      <c r="AK1178" s="83"/>
      <c r="AL1178" s="83"/>
      <c r="AM1178" s="83"/>
      <c r="AN1178" s="83"/>
      <c r="AO1178" s="83"/>
      <c r="AP1178" s="83"/>
      <c r="AQ1178" s="83"/>
      <c r="AR1178" s="83"/>
      <c r="AS1178" s="83"/>
      <c r="AT1178" s="83"/>
    </row>
    <row r="1179" spans="36:46" x14ac:dyDescent="0.3">
      <c r="AJ1179" s="83"/>
      <c r="AK1179" s="83"/>
      <c r="AL1179" s="83"/>
      <c r="AM1179" s="83"/>
      <c r="AN1179" s="83"/>
      <c r="AO1179" s="83"/>
      <c r="AP1179" s="83"/>
      <c r="AQ1179" s="83"/>
      <c r="AR1179" s="83"/>
      <c r="AS1179" s="83"/>
      <c r="AT1179" s="83"/>
    </row>
    <row r="1180" spans="36:46" x14ac:dyDescent="0.3">
      <c r="AJ1180" s="83"/>
      <c r="AK1180" s="83"/>
      <c r="AL1180" s="83"/>
      <c r="AM1180" s="83"/>
      <c r="AN1180" s="83"/>
      <c r="AO1180" s="83"/>
      <c r="AP1180" s="83"/>
      <c r="AQ1180" s="83"/>
      <c r="AR1180" s="83"/>
      <c r="AS1180" s="83"/>
      <c r="AT1180" s="83"/>
    </row>
    <row r="1181" spans="36:46" x14ac:dyDescent="0.3">
      <c r="AJ1181" s="83"/>
      <c r="AK1181" s="83"/>
      <c r="AL1181" s="83"/>
      <c r="AM1181" s="83"/>
      <c r="AN1181" s="83"/>
      <c r="AO1181" s="83"/>
      <c r="AP1181" s="83"/>
      <c r="AQ1181" s="83"/>
      <c r="AR1181" s="83"/>
      <c r="AS1181" s="83"/>
      <c r="AT1181" s="83"/>
    </row>
    <row r="1182" spans="36:46" x14ac:dyDescent="0.3">
      <c r="AJ1182" s="83"/>
      <c r="AK1182" s="83"/>
      <c r="AL1182" s="83"/>
      <c r="AM1182" s="83"/>
      <c r="AN1182" s="83"/>
      <c r="AO1182" s="83"/>
      <c r="AP1182" s="83"/>
      <c r="AQ1182" s="83"/>
      <c r="AR1182" s="83"/>
      <c r="AS1182" s="83"/>
      <c r="AT1182" s="83"/>
    </row>
    <row r="1183" spans="36:46" x14ac:dyDescent="0.3">
      <c r="AJ1183" s="83"/>
      <c r="AK1183" s="83"/>
      <c r="AL1183" s="83"/>
      <c r="AM1183" s="83"/>
      <c r="AN1183" s="83"/>
      <c r="AO1183" s="83"/>
      <c r="AP1183" s="83"/>
      <c r="AQ1183" s="83"/>
      <c r="AR1183" s="83"/>
      <c r="AS1183" s="83"/>
      <c r="AT1183" s="83"/>
    </row>
    <row r="1184" spans="36:46" x14ac:dyDescent="0.3">
      <c r="AJ1184" s="83"/>
      <c r="AK1184" s="83"/>
      <c r="AL1184" s="83"/>
      <c r="AM1184" s="83"/>
      <c r="AN1184" s="83"/>
      <c r="AO1184" s="83"/>
      <c r="AP1184" s="83"/>
      <c r="AQ1184" s="83"/>
      <c r="AR1184" s="83"/>
      <c r="AS1184" s="83"/>
      <c r="AT1184" s="83"/>
    </row>
    <row r="1185" spans="36:46" x14ac:dyDescent="0.3">
      <c r="AJ1185" s="83"/>
      <c r="AK1185" s="83"/>
      <c r="AL1185" s="83"/>
      <c r="AM1185" s="83"/>
      <c r="AN1185" s="83"/>
      <c r="AO1185" s="83"/>
      <c r="AP1185" s="83"/>
      <c r="AQ1185" s="83"/>
      <c r="AR1185" s="83"/>
      <c r="AS1185" s="83"/>
      <c r="AT1185" s="83"/>
    </row>
    <row r="1186" spans="36:46" x14ac:dyDescent="0.3">
      <c r="AJ1186" s="83"/>
      <c r="AK1186" s="83"/>
      <c r="AL1186" s="83"/>
      <c r="AM1186" s="83"/>
      <c r="AN1186" s="83"/>
      <c r="AO1186" s="83"/>
      <c r="AP1186" s="83"/>
      <c r="AQ1186" s="83"/>
      <c r="AR1186" s="83"/>
      <c r="AS1186" s="83"/>
      <c r="AT1186" s="83"/>
    </row>
    <row r="1187" spans="36:46" x14ac:dyDescent="0.3">
      <c r="AJ1187" s="83"/>
      <c r="AK1187" s="83"/>
      <c r="AL1187" s="83"/>
      <c r="AM1187" s="83"/>
      <c r="AN1187" s="83"/>
      <c r="AO1187" s="83"/>
      <c r="AP1187" s="83"/>
      <c r="AQ1187" s="83"/>
      <c r="AR1187" s="83"/>
      <c r="AS1187" s="83"/>
      <c r="AT1187" s="83"/>
    </row>
    <row r="1188" spans="36:46" x14ac:dyDescent="0.3">
      <c r="AJ1188" s="83"/>
      <c r="AK1188" s="83"/>
      <c r="AL1188" s="83"/>
      <c r="AM1188" s="83"/>
      <c r="AN1188" s="83"/>
      <c r="AO1188" s="83"/>
      <c r="AP1188" s="83"/>
      <c r="AQ1188" s="83"/>
      <c r="AR1188" s="83"/>
      <c r="AS1188" s="83"/>
      <c r="AT1188" s="83"/>
    </row>
    <row r="1189" spans="36:46" x14ac:dyDescent="0.3">
      <c r="AJ1189" s="83"/>
      <c r="AK1189" s="83"/>
      <c r="AL1189" s="83"/>
      <c r="AM1189" s="83"/>
      <c r="AN1189" s="83"/>
      <c r="AO1189" s="83"/>
      <c r="AP1189" s="83"/>
      <c r="AQ1189" s="83"/>
      <c r="AR1189" s="83"/>
      <c r="AS1189" s="83"/>
      <c r="AT1189" s="83"/>
    </row>
    <row r="1190" spans="36:46" x14ac:dyDescent="0.3">
      <c r="AJ1190" s="83"/>
      <c r="AK1190" s="83"/>
      <c r="AL1190" s="83"/>
      <c r="AM1190" s="83"/>
      <c r="AN1190" s="83"/>
      <c r="AO1190" s="83"/>
      <c r="AP1190" s="83"/>
      <c r="AQ1190" s="83"/>
      <c r="AR1190" s="83"/>
      <c r="AS1190" s="83"/>
      <c r="AT1190" s="83"/>
    </row>
    <row r="1191" spans="36:46" x14ac:dyDescent="0.3">
      <c r="AJ1191" s="83"/>
      <c r="AK1191" s="83"/>
      <c r="AL1191" s="83"/>
      <c r="AM1191" s="83"/>
      <c r="AN1191" s="83"/>
      <c r="AO1191" s="83"/>
      <c r="AP1191" s="83"/>
      <c r="AQ1191" s="83"/>
      <c r="AR1191" s="83"/>
      <c r="AS1191" s="83"/>
      <c r="AT1191" s="83"/>
    </row>
    <row r="1192" spans="36:46" x14ac:dyDescent="0.3">
      <c r="AJ1192" s="83"/>
      <c r="AK1192" s="83"/>
      <c r="AL1192" s="83"/>
      <c r="AM1192" s="83"/>
      <c r="AN1192" s="83"/>
      <c r="AO1192" s="83"/>
      <c r="AP1192" s="83"/>
      <c r="AQ1192" s="83"/>
      <c r="AR1192" s="83"/>
      <c r="AS1192" s="83"/>
      <c r="AT1192" s="83"/>
    </row>
    <row r="1193" spans="36:46" x14ac:dyDescent="0.3">
      <c r="AJ1193" s="83"/>
      <c r="AK1193" s="83"/>
      <c r="AL1193" s="83"/>
      <c r="AM1193" s="83"/>
      <c r="AN1193" s="83"/>
      <c r="AO1193" s="83"/>
      <c r="AP1193" s="83"/>
      <c r="AQ1193" s="83"/>
      <c r="AR1193" s="83"/>
      <c r="AS1193" s="83"/>
      <c r="AT1193" s="83"/>
    </row>
    <row r="1194" spans="36:46" x14ac:dyDescent="0.3">
      <c r="AJ1194" s="83"/>
      <c r="AK1194" s="83"/>
      <c r="AL1194" s="83"/>
      <c r="AM1194" s="83"/>
      <c r="AN1194" s="83"/>
      <c r="AO1194" s="83"/>
      <c r="AP1194" s="83"/>
      <c r="AQ1194" s="83"/>
      <c r="AR1194" s="83"/>
      <c r="AS1194" s="83"/>
      <c r="AT1194" s="83"/>
    </row>
    <row r="1195" spans="36:46" x14ac:dyDescent="0.3">
      <c r="AJ1195" s="83"/>
      <c r="AK1195" s="83"/>
      <c r="AL1195" s="83"/>
      <c r="AM1195" s="83"/>
      <c r="AN1195" s="83"/>
      <c r="AO1195" s="83"/>
      <c r="AP1195" s="83"/>
      <c r="AQ1195" s="83"/>
      <c r="AR1195" s="83"/>
      <c r="AS1195" s="83"/>
      <c r="AT1195" s="83"/>
    </row>
    <row r="1196" spans="36:46" x14ac:dyDescent="0.3">
      <c r="AJ1196" s="83"/>
      <c r="AK1196" s="83"/>
      <c r="AL1196" s="83"/>
      <c r="AM1196" s="83"/>
      <c r="AN1196" s="83"/>
      <c r="AO1196" s="83"/>
      <c r="AP1196" s="83"/>
      <c r="AQ1196" s="83"/>
      <c r="AR1196" s="83"/>
      <c r="AS1196" s="83"/>
      <c r="AT1196" s="83"/>
    </row>
    <row r="1197" spans="36:46" x14ac:dyDescent="0.3">
      <c r="AJ1197" s="83"/>
      <c r="AK1197" s="83"/>
      <c r="AL1197" s="83"/>
      <c r="AM1197" s="83"/>
      <c r="AN1197" s="83"/>
      <c r="AO1197" s="83"/>
      <c r="AP1197" s="83"/>
      <c r="AQ1197" s="83"/>
      <c r="AR1197" s="83"/>
      <c r="AS1197" s="83"/>
      <c r="AT1197" s="83"/>
    </row>
    <row r="1198" spans="36:46" x14ac:dyDescent="0.3">
      <c r="AJ1198" s="83"/>
      <c r="AK1198" s="83"/>
      <c r="AL1198" s="83"/>
      <c r="AM1198" s="83"/>
      <c r="AN1198" s="83"/>
      <c r="AO1198" s="83"/>
      <c r="AP1198" s="83"/>
      <c r="AQ1198" s="83"/>
      <c r="AR1198" s="83"/>
      <c r="AS1198" s="83"/>
      <c r="AT1198" s="83"/>
    </row>
    <row r="1199" spans="36:46" x14ac:dyDescent="0.3">
      <c r="AJ1199" s="83"/>
      <c r="AK1199" s="83"/>
      <c r="AL1199" s="83"/>
      <c r="AM1199" s="83"/>
      <c r="AN1199" s="83"/>
      <c r="AO1199" s="83"/>
      <c r="AP1199" s="83"/>
      <c r="AQ1199" s="83"/>
      <c r="AR1199" s="83"/>
      <c r="AS1199" s="83"/>
      <c r="AT1199" s="83"/>
    </row>
    <row r="1200" spans="36:46" x14ac:dyDescent="0.3">
      <c r="AJ1200" s="83"/>
      <c r="AK1200" s="83"/>
      <c r="AL1200" s="83"/>
      <c r="AM1200" s="83"/>
      <c r="AN1200" s="83"/>
      <c r="AO1200" s="83"/>
      <c r="AP1200" s="83"/>
      <c r="AQ1200" s="83"/>
      <c r="AR1200" s="83"/>
      <c r="AS1200" s="83"/>
      <c r="AT1200" s="83"/>
    </row>
    <row r="1201" spans="36:46" x14ac:dyDescent="0.3">
      <c r="AJ1201" s="83"/>
      <c r="AK1201" s="83"/>
      <c r="AL1201" s="83"/>
      <c r="AM1201" s="83"/>
      <c r="AN1201" s="83"/>
      <c r="AO1201" s="83"/>
      <c r="AP1201" s="83"/>
      <c r="AQ1201" s="83"/>
      <c r="AR1201" s="83"/>
      <c r="AS1201" s="83"/>
      <c r="AT1201" s="83"/>
    </row>
    <row r="1202" spans="36:46" x14ac:dyDescent="0.3">
      <c r="AJ1202" s="83"/>
      <c r="AK1202" s="83"/>
      <c r="AL1202" s="83"/>
      <c r="AM1202" s="83"/>
      <c r="AN1202" s="83"/>
      <c r="AO1202" s="83"/>
      <c r="AP1202" s="83"/>
      <c r="AQ1202" s="83"/>
      <c r="AR1202" s="83"/>
      <c r="AS1202" s="83"/>
      <c r="AT1202" s="83"/>
    </row>
    <row r="1203" spans="36:46" x14ac:dyDescent="0.3">
      <c r="AJ1203" s="83"/>
      <c r="AK1203" s="83"/>
      <c r="AL1203" s="83"/>
      <c r="AM1203" s="83"/>
      <c r="AN1203" s="83"/>
      <c r="AO1203" s="83"/>
      <c r="AP1203" s="83"/>
      <c r="AQ1203" s="83"/>
      <c r="AR1203" s="83"/>
      <c r="AS1203" s="83"/>
      <c r="AT1203" s="83"/>
    </row>
    <row r="1204" spans="36:46" x14ac:dyDescent="0.3">
      <c r="AJ1204" s="83"/>
      <c r="AK1204" s="83"/>
      <c r="AL1204" s="83"/>
      <c r="AM1204" s="83"/>
      <c r="AN1204" s="83"/>
      <c r="AO1204" s="83"/>
      <c r="AP1204" s="83"/>
      <c r="AQ1204" s="83"/>
      <c r="AR1204" s="83"/>
      <c r="AS1204" s="83"/>
      <c r="AT1204" s="83"/>
    </row>
    <row r="1205" spans="36:46" x14ac:dyDescent="0.3">
      <c r="AJ1205" s="83"/>
      <c r="AK1205" s="83"/>
      <c r="AL1205" s="83"/>
      <c r="AM1205" s="83"/>
      <c r="AN1205" s="83"/>
      <c r="AO1205" s="83"/>
      <c r="AP1205" s="83"/>
      <c r="AQ1205" s="83"/>
      <c r="AR1205" s="83"/>
      <c r="AS1205" s="83"/>
      <c r="AT1205" s="83"/>
    </row>
    <row r="1206" spans="36:46" x14ac:dyDescent="0.3">
      <c r="AJ1206" s="83"/>
      <c r="AK1206" s="83"/>
      <c r="AL1206" s="83"/>
      <c r="AM1206" s="83"/>
      <c r="AN1206" s="83"/>
      <c r="AO1206" s="83"/>
      <c r="AP1206" s="83"/>
      <c r="AQ1206" s="83"/>
      <c r="AR1206" s="83"/>
      <c r="AS1206" s="83"/>
      <c r="AT1206" s="83"/>
    </row>
    <row r="1207" spans="36:46" x14ac:dyDescent="0.3">
      <c r="AJ1207" s="83"/>
      <c r="AK1207" s="83"/>
      <c r="AL1207" s="83"/>
      <c r="AM1207" s="83"/>
      <c r="AN1207" s="83"/>
      <c r="AO1207" s="83"/>
      <c r="AP1207" s="83"/>
      <c r="AQ1207" s="83"/>
      <c r="AR1207" s="83"/>
      <c r="AS1207" s="83"/>
      <c r="AT1207" s="83"/>
    </row>
    <row r="1208" spans="36:46" x14ac:dyDescent="0.3">
      <c r="AJ1208" s="83"/>
      <c r="AK1208" s="83"/>
      <c r="AL1208" s="83"/>
      <c r="AM1208" s="83"/>
      <c r="AN1208" s="83"/>
      <c r="AO1208" s="83"/>
      <c r="AP1208" s="83"/>
      <c r="AQ1208" s="83"/>
      <c r="AR1208" s="83"/>
      <c r="AS1208" s="83"/>
      <c r="AT1208" s="83"/>
    </row>
    <row r="1209" spans="36:46" x14ac:dyDescent="0.3">
      <c r="AJ1209" s="83"/>
      <c r="AK1209" s="83"/>
      <c r="AL1209" s="83"/>
      <c r="AM1209" s="83"/>
      <c r="AN1209" s="83"/>
      <c r="AO1209" s="83"/>
      <c r="AP1209" s="83"/>
      <c r="AQ1209" s="83"/>
      <c r="AR1209" s="83"/>
      <c r="AS1209" s="83"/>
      <c r="AT1209" s="83"/>
    </row>
    <row r="1210" spans="36:46" x14ac:dyDescent="0.3">
      <c r="AJ1210" s="83"/>
      <c r="AK1210" s="83"/>
      <c r="AL1210" s="83"/>
      <c r="AM1210" s="83"/>
      <c r="AN1210" s="83"/>
      <c r="AO1210" s="83"/>
      <c r="AP1210" s="83"/>
      <c r="AQ1210" s="83"/>
      <c r="AR1210" s="83"/>
      <c r="AS1210" s="83"/>
      <c r="AT1210" s="83"/>
    </row>
    <row r="1211" spans="36:46" x14ac:dyDescent="0.3">
      <c r="AJ1211" s="83"/>
      <c r="AK1211" s="83"/>
      <c r="AL1211" s="83"/>
      <c r="AM1211" s="83"/>
      <c r="AN1211" s="83"/>
      <c r="AO1211" s="83"/>
      <c r="AP1211" s="83"/>
      <c r="AQ1211" s="83"/>
      <c r="AR1211" s="83"/>
      <c r="AS1211" s="83"/>
      <c r="AT1211" s="83"/>
    </row>
    <row r="1212" spans="36:46" x14ac:dyDescent="0.3">
      <c r="AJ1212" s="83"/>
      <c r="AK1212" s="83"/>
      <c r="AL1212" s="83"/>
      <c r="AM1212" s="83"/>
      <c r="AN1212" s="83"/>
      <c r="AO1212" s="83"/>
      <c r="AP1212" s="83"/>
      <c r="AQ1212" s="83"/>
      <c r="AR1212" s="83"/>
      <c r="AS1212" s="83"/>
      <c r="AT1212" s="83"/>
    </row>
    <row r="1213" spans="36:46" x14ac:dyDescent="0.3">
      <c r="AJ1213" s="83"/>
      <c r="AK1213" s="83"/>
      <c r="AL1213" s="83"/>
      <c r="AM1213" s="83"/>
      <c r="AN1213" s="83"/>
      <c r="AO1213" s="83"/>
      <c r="AP1213" s="83"/>
      <c r="AQ1213" s="83"/>
      <c r="AR1213" s="83"/>
      <c r="AS1213" s="83"/>
      <c r="AT1213" s="83"/>
    </row>
    <row r="1214" spans="36:46" x14ac:dyDescent="0.3">
      <c r="AJ1214" s="83"/>
      <c r="AK1214" s="83"/>
      <c r="AL1214" s="83"/>
      <c r="AM1214" s="83"/>
      <c r="AN1214" s="83"/>
      <c r="AO1214" s="83"/>
      <c r="AP1214" s="83"/>
      <c r="AQ1214" s="83"/>
      <c r="AR1214" s="83"/>
      <c r="AS1214" s="83"/>
      <c r="AT1214" s="83"/>
    </row>
    <row r="1215" spans="36:46" x14ac:dyDescent="0.3">
      <c r="AJ1215" s="83"/>
      <c r="AK1215" s="83"/>
      <c r="AL1215" s="83"/>
      <c r="AM1215" s="83"/>
      <c r="AN1215" s="83"/>
      <c r="AO1215" s="83"/>
      <c r="AP1215" s="83"/>
      <c r="AQ1215" s="83"/>
      <c r="AR1215" s="83"/>
      <c r="AS1215" s="83"/>
      <c r="AT1215" s="83"/>
    </row>
    <row r="1216" spans="36:46" x14ac:dyDescent="0.3">
      <c r="AJ1216" s="83"/>
      <c r="AK1216" s="83"/>
      <c r="AL1216" s="83"/>
      <c r="AM1216" s="83"/>
      <c r="AN1216" s="83"/>
      <c r="AO1216" s="83"/>
      <c r="AP1216" s="83"/>
      <c r="AQ1216" s="83"/>
      <c r="AR1216" s="83"/>
      <c r="AS1216" s="83"/>
      <c r="AT1216" s="83"/>
    </row>
    <row r="1217" spans="36:46" x14ac:dyDescent="0.3">
      <c r="AJ1217" s="83"/>
      <c r="AK1217" s="83"/>
      <c r="AL1217" s="83"/>
      <c r="AM1217" s="83"/>
      <c r="AN1217" s="83"/>
      <c r="AO1217" s="83"/>
      <c r="AP1217" s="83"/>
      <c r="AQ1217" s="83"/>
      <c r="AR1217" s="83"/>
      <c r="AS1217" s="83"/>
      <c r="AT1217" s="83"/>
    </row>
    <row r="1218" spans="36:46" x14ac:dyDescent="0.3">
      <c r="AJ1218" s="83"/>
      <c r="AK1218" s="83"/>
      <c r="AL1218" s="83"/>
      <c r="AM1218" s="83"/>
      <c r="AN1218" s="83"/>
      <c r="AO1218" s="83"/>
      <c r="AP1218" s="83"/>
      <c r="AQ1218" s="83"/>
      <c r="AR1218" s="83"/>
      <c r="AS1218" s="83"/>
      <c r="AT1218" s="83"/>
    </row>
    <row r="1219" spans="36:46" x14ac:dyDescent="0.3">
      <c r="AJ1219" s="83"/>
      <c r="AK1219" s="83"/>
      <c r="AL1219" s="83"/>
      <c r="AM1219" s="83"/>
      <c r="AN1219" s="83"/>
      <c r="AO1219" s="83"/>
      <c r="AP1219" s="83"/>
      <c r="AQ1219" s="83"/>
      <c r="AR1219" s="83"/>
      <c r="AS1219" s="83"/>
      <c r="AT1219" s="83"/>
    </row>
    <row r="1220" spans="36:46" x14ac:dyDescent="0.3">
      <c r="AJ1220" s="83"/>
      <c r="AK1220" s="83"/>
      <c r="AL1220" s="83"/>
      <c r="AM1220" s="83"/>
      <c r="AN1220" s="83"/>
      <c r="AO1220" s="83"/>
      <c r="AP1220" s="83"/>
      <c r="AQ1220" s="83"/>
      <c r="AR1220" s="83"/>
      <c r="AS1220" s="83"/>
      <c r="AT1220" s="83"/>
    </row>
    <row r="1221" spans="36:46" x14ac:dyDescent="0.3">
      <c r="AJ1221" s="83"/>
      <c r="AK1221" s="83"/>
      <c r="AL1221" s="83"/>
      <c r="AM1221" s="83"/>
      <c r="AN1221" s="83"/>
      <c r="AO1221" s="83"/>
      <c r="AP1221" s="83"/>
      <c r="AQ1221" s="83"/>
      <c r="AR1221" s="83"/>
      <c r="AS1221" s="83"/>
      <c r="AT1221" s="83"/>
    </row>
    <row r="1222" spans="36:46" x14ac:dyDescent="0.3">
      <c r="AJ1222" s="83"/>
      <c r="AK1222" s="83"/>
      <c r="AL1222" s="83"/>
      <c r="AM1222" s="83"/>
      <c r="AN1222" s="83"/>
      <c r="AO1222" s="83"/>
      <c r="AP1222" s="83"/>
      <c r="AQ1222" s="83"/>
      <c r="AR1222" s="83"/>
      <c r="AS1222" s="83"/>
      <c r="AT1222" s="83"/>
    </row>
    <row r="1223" spans="36:46" x14ac:dyDescent="0.3">
      <c r="AJ1223" s="83"/>
      <c r="AK1223" s="83"/>
      <c r="AL1223" s="83"/>
      <c r="AM1223" s="83"/>
      <c r="AN1223" s="83"/>
      <c r="AO1223" s="83"/>
      <c r="AP1223" s="83"/>
      <c r="AQ1223" s="83"/>
      <c r="AR1223" s="83"/>
      <c r="AS1223" s="83"/>
      <c r="AT1223" s="83"/>
    </row>
    <row r="1224" spans="36:46" x14ac:dyDescent="0.3">
      <c r="AJ1224" s="83"/>
      <c r="AK1224" s="83"/>
      <c r="AL1224" s="83"/>
      <c r="AM1224" s="83"/>
      <c r="AN1224" s="83"/>
      <c r="AO1224" s="83"/>
      <c r="AP1224" s="83"/>
      <c r="AQ1224" s="83"/>
      <c r="AR1224" s="83"/>
      <c r="AS1224" s="83"/>
      <c r="AT1224" s="83"/>
    </row>
    <row r="1225" spans="36:46" x14ac:dyDescent="0.3">
      <c r="AJ1225" s="83"/>
      <c r="AK1225" s="83"/>
      <c r="AL1225" s="83"/>
      <c r="AM1225" s="83"/>
      <c r="AN1225" s="83"/>
      <c r="AO1225" s="83"/>
      <c r="AP1225" s="83"/>
      <c r="AQ1225" s="83"/>
      <c r="AR1225" s="83"/>
      <c r="AS1225" s="83"/>
      <c r="AT1225" s="83"/>
    </row>
    <row r="1226" spans="36:46" x14ac:dyDescent="0.3">
      <c r="AJ1226" s="83"/>
      <c r="AK1226" s="83"/>
      <c r="AL1226" s="83"/>
      <c r="AM1226" s="83"/>
      <c r="AN1226" s="83"/>
      <c r="AO1226" s="83"/>
      <c r="AP1226" s="83"/>
      <c r="AQ1226" s="83"/>
      <c r="AR1226" s="83"/>
      <c r="AS1226" s="83"/>
      <c r="AT1226" s="83"/>
    </row>
    <row r="1227" spans="36:46" x14ac:dyDescent="0.3">
      <c r="AJ1227" s="83"/>
      <c r="AK1227" s="83"/>
      <c r="AL1227" s="83"/>
      <c r="AM1227" s="83"/>
      <c r="AN1227" s="83"/>
      <c r="AO1227" s="83"/>
      <c r="AP1227" s="83"/>
      <c r="AQ1227" s="83"/>
      <c r="AR1227" s="83"/>
      <c r="AS1227" s="83"/>
      <c r="AT1227" s="83"/>
    </row>
    <row r="1228" spans="36:46" x14ac:dyDescent="0.3">
      <c r="AJ1228" s="83"/>
      <c r="AK1228" s="83"/>
      <c r="AL1228" s="83"/>
      <c r="AM1228" s="83"/>
      <c r="AN1228" s="83"/>
      <c r="AO1228" s="83"/>
      <c r="AP1228" s="83"/>
      <c r="AQ1228" s="83"/>
      <c r="AR1228" s="83"/>
      <c r="AS1228" s="83"/>
      <c r="AT1228" s="83"/>
    </row>
    <row r="1229" spans="36:46" x14ac:dyDescent="0.3">
      <c r="AJ1229" s="83"/>
      <c r="AK1229" s="83"/>
      <c r="AL1229" s="83"/>
      <c r="AM1229" s="83"/>
      <c r="AN1229" s="83"/>
      <c r="AO1229" s="83"/>
      <c r="AP1229" s="83"/>
      <c r="AQ1229" s="83"/>
      <c r="AR1229" s="83"/>
      <c r="AS1229" s="83"/>
      <c r="AT1229" s="83"/>
    </row>
    <row r="1230" spans="36:46" x14ac:dyDescent="0.3">
      <c r="AJ1230" s="83"/>
      <c r="AK1230" s="83"/>
      <c r="AL1230" s="83"/>
      <c r="AM1230" s="83"/>
      <c r="AN1230" s="83"/>
      <c r="AO1230" s="83"/>
      <c r="AP1230" s="83"/>
      <c r="AQ1230" s="83"/>
      <c r="AR1230" s="83"/>
      <c r="AS1230" s="83"/>
      <c r="AT1230" s="83"/>
    </row>
    <row r="1231" spans="36:46" x14ac:dyDescent="0.3">
      <c r="AJ1231" s="83"/>
      <c r="AK1231" s="83"/>
      <c r="AL1231" s="83"/>
      <c r="AM1231" s="83"/>
      <c r="AN1231" s="83"/>
      <c r="AO1231" s="83"/>
      <c r="AP1231" s="83"/>
      <c r="AQ1231" s="83"/>
      <c r="AR1231" s="83"/>
      <c r="AS1231" s="83"/>
      <c r="AT1231" s="83"/>
    </row>
    <row r="1232" spans="36:46" x14ac:dyDescent="0.3">
      <c r="AJ1232" s="83"/>
      <c r="AK1232" s="83"/>
      <c r="AL1232" s="83"/>
      <c r="AM1232" s="83"/>
      <c r="AN1232" s="83"/>
      <c r="AO1232" s="83"/>
      <c r="AP1232" s="83"/>
      <c r="AQ1232" s="83"/>
      <c r="AR1232" s="83"/>
      <c r="AS1232" s="83"/>
      <c r="AT1232" s="83"/>
    </row>
    <row r="1233" spans="36:46" x14ac:dyDescent="0.3">
      <c r="AJ1233" s="83"/>
      <c r="AK1233" s="83"/>
      <c r="AL1233" s="83"/>
      <c r="AM1233" s="83"/>
      <c r="AN1233" s="83"/>
      <c r="AO1233" s="83"/>
      <c r="AP1233" s="83"/>
      <c r="AQ1233" s="83"/>
      <c r="AR1233" s="83"/>
      <c r="AS1233" s="83"/>
      <c r="AT1233" s="83"/>
    </row>
    <row r="1234" spans="36:46" x14ac:dyDescent="0.3">
      <c r="AJ1234" s="83"/>
      <c r="AK1234" s="83"/>
      <c r="AL1234" s="83"/>
      <c r="AM1234" s="83"/>
      <c r="AN1234" s="83"/>
      <c r="AO1234" s="83"/>
      <c r="AP1234" s="83"/>
      <c r="AQ1234" s="83"/>
      <c r="AR1234" s="83"/>
      <c r="AS1234" s="83"/>
      <c r="AT1234" s="83"/>
    </row>
    <row r="1235" spans="36:46" x14ac:dyDescent="0.3">
      <c r="AJ1235" s="83"/>
      <c r="AK1235" s="83"/>
      <c r="AL1235" s="83"/>
      <c r="AM1235" s="83"/>
      <c r="AN1235" s="83"/>
      <c r="AO1235" s="83"/>
      <c r="AP1235" s="83"/>
      <c r="AQ1235" s="83"/>
      <c r="AR1235" s="83"/>
      <c r="AS1235" s="83"/>
      <c r="AT1235" s="83"/>
    </row>
    <row r="1236" spans="36:46" x14ac:dyDescent="0.3">
      <c r="AJ1236" s="83"/>
      <c r="AK1236" s="83"/>
      <c r="AL1236" s="83"/>
      <c r="AM1236" s="83"/>
      <c r="AN1236" s="83"/>
      <c r="AO1236" s="83"/>
      <c r="AP1236" s="83"/>
      <c r="AQ1236" s="83"/>
      <c r="AR1236" s="83"/>
      <c r="AS1236" s="83"/>
      <c r="AT1236" s="83"/>
    </row>
    <row r="1237" spans="36:46" x14ac:dyDescent="0.3">
      <c r="AJ1237" s="83"/>
      <c r="AK1237" s="83"/>
      <c r="AL1237" s="83"/>
      <c r="AM1237" s="83"/>
      <c r="AN1237" s="83"/>
      <c r="AO1237" s="83"/>
      <c r="AP1237" s="83"/>
      <c r="AQ1237" s="83"/>
      <c r="AR1237" s="83"/>
      <c r="AS1237" s="83"/>
      <c r="AT1237" s="83"/>
    </row>
    <row r="1238" spans="36:46" x14ac:dyDescent="0.3">
      <c r="AJ1238" s="83"/>
      <c r="AK1238" s="83"/>
      <c r="AL1238" s="83"/>
      <c r="AM1238" s="83"/>
      <c r="AN1238" s="83"/>
      <c r="AO1238" s="83"/>
      <c r="AP1238" s="83"/>
      <c r="AQ1238" s="83"/>
      <c r="AR1238" s="83"/>
      <c r="AS1238" s="83"/>
      <c r="AT1238" s="83"/>
    </row>
    <row r="1239" spans="36:46" x14ac:dyDescent="0.3">
      <c r="AJ1239" s="83"/>
      <c r="AK1239" s="83"/>
      <c r="AL1239" s="83"/>
      <c r="AM1239" s="83"/>
      <c r="AN1239" s="83"/>
      <c r="AO1239" s="83"/>
      <c r="AP1239" s="83"/>
      <c r="AQ1239" s="83"/>
      <c r="AR1239" s="83"/>
      <c r="AS1239" s="83"/>
      <c r="AT1239" s="83"/>
    </row>
    <row r="1240" spans="36:46" x14ac:dyDescent="0.3">
      <c r="AJ1240" s="83"/>
      <c r="AK1240" s="83"/>
      <c r="AL1240" s="83"/>
      <c r="AM1240" s="83"/>
      <c r="AN1240" s="83"/>
      <c r="AO1240" s="83"/>
      <c r="AP1240" s="83"/>
      <c r="AQ1240" s="83"/>
      <c r="AR1240" s="83"/>
      <c r="AS1240" s="83"/>
      <c r="AT1240" s="83"/>
    </row>
    <row r="1241" spans="36:46" x14ac:dyDescent="0.3">
      <c r="AJ1241" s="83"/>
      <c r="AK1241" s="83"/>
      <c r="AL1241" s="83"/>
      <c r="AM1241" s="83"/>
      <c r="AN1241" s="83"/>
      <c r="AO1241" s="83"/>
      <c r="AP1241" s="83"/>
      <c r="AQ1241" s="83"/>
      <c r="AR1241" s="83"/>
      <c r="AS1241" s="83"/>
      <c r="AT1241" s="83"/>
    </row>
    <row r="1242" spans="36:46" x14ac:dyDescent="0.3">
      <c r="AJ1242" s="83"/>
      <c r="AK1242" s="83"/>
      <c r="AL1242" s="83"/>
      <c r="AM1242" s="83"/>
      <c r="AN1242" s="83"/>
      <c r="AO1242" s="83"/>
      <c r="AP1242" s="83"/>
      <c r="AQ1242" s="83"/>
      <c r="AR1242" s="83"/>
      <c r="AS1242" s="83"/>
      <c r="AT1242" s="83"/>
    </row>
    <row r="1243" spans="36:46" x14ac:dyDescent="0.3">
      <c r="AJ1243" s="83"/>
      <c r="AK1243" s="83"/>
      <c r="AL1243" s="83"/>
      <c r="AM1243" s="83"/>
      <c r="AN1243" s="83"/>
      <c r="AO1243" s="83"/>
      <c r="AP1243" s="83"/>
      <c r="AQ1243" s="83"/>
      <c r="AR1243" s="83"/>
      <c r="AS1243" s="83"/>
      <c r="AT1243" s="83"/>
    </row>
    <row r="1244" spans="36:46" x14ac:dyDescent="0.3">
      <c r="AJ1244" s="83"/>
      <c r="AK1244" s="83"/>
      <c r="AL1244" s="83"/>
      <c r="AM1244" s="83"/>
      <c r="AN1244" s="83"/>
      <c r="AO1244" s="83"/>
      <c r="AP1244" s="83"/>
      <c r="AQ1244" s="83"/>
      <c r="AR1244" s="83"/>
      <c r="AS1244" s="83"/>
      <c r="AT1244" s="83"/>
    </row>
    <row r="1245" spans="36:46" x14ac:dyDescent="0.3">
      <c r="AJ1245" s="83"/>
      <c r="AK1245" s="83"/>
      <c r="AL1245" s="83"/>
      <c r="AM1245" s="83"/>
      <c r="AN1245" s="83"/>
      <c r="AO1245" s="83"/>
      <c r="AP1245" s="83"/>
      <c r="AQ1245" s="83"/>
      <c r="AR1245" s="83"/>
      <c r="AS1245" s="83"/>
      <c r="AT1245" s="83"/>
    </row>
    <row r="1246" spans="36:46" x14ac:dyDescent="0.3">
      <c r="AJ1246" s="83"/>
      <c r="AK1246" s="83"/>
      <c r="AL1246" s="83"/>
      <c r="AM1246" s="83"/>
      <c r="AN1246" s="83"/>
      <c r="AO1246" s="83"/>
      <c r="AP1246" s="83"/>
      <c r="AQ1246" s="83"/>
      <c r="AR1246" s="83"/>
      <c r="AS1246" s="83"/>
      <c r="AT1246" s="83"/>
    </row>
    <row r="1247" spans="36:46" x14ac:dyDescent="0.3">
      <c r="AJ1247" s="83"/>
      <c r="AK1247" s="83"/>
      <c r="AL1247" s="83"/>
      <c r="AM1247" s="83"/>
      <c r="AN1247" s="83"/>
      <c r="AO1247" s="83"/>
      <c r="AP1247" s="83"/>
      <c r="AQ1247" s="83"/>
      <c r="AR1247" s="83"/>
      <c r="AS1247" s="83"/>
      <c r="AT1247" s="83"/>
    </row>
    <row r="1248" spans="36:46" x14ac:dyDescent="0.3">
      <c r="AJ1248" s="83"/>
      <c r="AK1248" s="83"/>
      <c r="AL1248" s="83"/>
      <c r="AM1248" s="83"/>
      <c r="AN1248" s="83"/>
      <c r="AO1248" s="83"/>
      <c r="AP1248" s="83"/>
      <c r="AQ1248" s="83"/>
      <c r="AR1248" s="83"/>
      <c r="AS1248" s="83"/>
      <c r="AT1248" s="83"/>
    </row>
    <row r="1249" spans="36:46" x14ac:dyDescent="0.3">
      <c r="AJ1249" s="83"/>
      <c r="AK1249" s="83"/>
      <c r="AL1249" s="83"/>
      <c r="AM1249" s="83"/>
      <c r="AN1249" s="83"/>
      <c r="AO1249" s="83"/>
      <c r="AP1249" s="83"/>
      <c r="AQ1249" s="83"/>
      <c r="AR1249" s="83"/>
      <c r="AS1249" s="83"/>
      <c r="AT1249" s="83"/>
    </row>
    <row r="1250" spans="36:46" x14ac:dyDescent="0.3">
      <c r="AJ1250" s="83"/>
      <c r="AK1250" s="83"/>
      <c r="AL1250" s="83"/>
      <c r="AM1250" s="83"/>
      <c r="AN1250" s="83"/>
      <c r="AO1250" s="83"/>
      <c r="AP1250" s="83"/>
      <c r="AQ1250" s="83"/>
      <c r="AR1250" s="83"/>
      <c r="AS1250" s="83"/>
      <c r="AT1250" s="83"/>
    </row>
    <row r="1251" spans="36:46" x14ac:dyDescent="0.3">
      <c r="AJ1251" s="83"/>
      <c r="AK1251" s="83"/>
      <c r="AL1251" s="83"/>
      <c r="AM1251" s="83"/>
      <c r="AN1251" s="83"/>
      <c r="AO1251" s="83"/>
      <c r="AP1251" s="83"/>
      <c r="AQ1251" s="83"/>
      <c r="AR1251" s="83"/>
      <c r="AS1251" s="83"/>
      <c r="AT1251" s="83"/>
    </row>
    <row r="1252" spans="36:46" x14ac:dyDescent="0.3">
      <c r="AJ1252" s="83"/>
      <c r="AK1252" s="83"/>
      <c r="AL1252" s="83"/>
      <c r="AM1252" s="83"/>
      <c r="AN1252" s="83"/>
      <c r="AO1252" s="83"/>
      <c r="AP1252" s="83"/>
      <c r="AQ1252" s="83"/>
      <c r="AR1252" s="83"/>
      <c r="AS1252" s="83"/>
      <c r="AT1252" s="83"/>
    </row>
    <row r="1253" spans="36:46" x14ac:dyDescent="0.3">
      <c r="AJ1253" s="83"/>
      <c r="AK1253" s="83"/>
      <c r="AL1253" s="83"/>
      <c r="AM1253" s="83"/>
      <c r="AN1253" s="83"/>
      <c r="AO1253" s="83"/>
      <c r="AP1253" s="83"/>
      <c r="AQ1253" s="83"/>
      <c r="AR1253" s="83"/>
      <c r="AS1253" s="83"/>
      <c r="AT1253" s="83"/>
    </row>
    <row r="1254" spans="36:46" x14ac:dyDescent="0.3">
      <c r="AJ1254" s="83"/>
      <c r="AK1254" s="83"/>
      <c r="AL1254" s="83"/>
      <c r="AM1254" s="83"/>
      <c r="AN1254" s="83"/>
      <c r="AO1254" s="83"/>
      <c r="AP1254" s="83"/>
      <c r="AQ1254" s="83"/>
      <c r="AR1254" s="83"/>
      <c r="AS1254" s="83"/>
      <c r="AT1254" s="83"/>
    </row>
    <row r="1255" spans="36:46" x14ac:dyDescent="0.3">
      <c r="AJ1255" s="83"/>
      <c r="AK1255" s="83"/>
      <c r="AL1255" s="83"/>
      <c r="AM1255" s="83"/>
      <c r="AN1255" s="83"/>
      <c r="AO1255" s="83"/>
      <c r="AP1255" s="83"/>
      <c r="AQ1255" s="83"/>
      <c r="AR1255" s="83"/>
      <c r="AS1255" s="83"/>
      <c r="AT1255" s="83"/>
    </row>
    <row r="1256" spans="36:46" x14ac:dyDescent="0.3">
      <c r="AJ1256" s="83"/>
      <c r="AK1256" s="83"/>
      <c r="AL1256" s="83"/>
      <c r="AM1256" s="83"/>
      <c r="AN1256" s="83"/>
      <c r="AO1256" s="83"/>
      <c r="AP1256" s="83"/>
      <c r="AQ1256" s="83"/>
      <c r="AR1256" s="83"/>
      <c r="AS1256" s="83"/>
      <c r="AT1256" s="83"/>
    </row>
    <row r="1257" spans="36:46" x14ac:dyDescent="0.3">
      <c r="AJ1257" s="83"/>
      <c r="AK1257" s="83"/>
      <c r="AL1257" s="83"/>
      <c r="AM1257" s="83"/>
      <c r="AN1257" s="83"/>
      <c r="AO1257" s="83"/>
      <c r="AP1257" s="83"/>
      <c r="AQ1257" s="83"/>
      <c r="AR1257" s="83"/>
      <c r="AS1257" s="83"/>
      <c r="AT1257" s="83"/>
    </row>
    <row r="1258" spans="36:46" x14ac:dyDescent="0.3">
      <c r="AJ1258" s="83"/>
      <c r="AK1258" s="83"/>
      <c r="AL1258" s="83"/>
      <c r="AM1258" s="83"/>
      <c r="AN1258" s="83"/>
      <c r="AO1258" s="83"/>
      <c r="AP1258" s="83"/>
      <c r="AQ1258" s="83"/>
      <c r="AR1258" s="83"/>
      <c r="AS1258" s="83"/>
      <c r="AT1258" s="83"/>
    </row>
    <row r="1259" spans="36:46" x14ac:dyDescent="0.3">
      <c r="AJ1259" s="83"/>
      <c r="AK1259" s="83"/>
      <c r="AL1259" s="83"/>
      <c r="AM1259" s="83"/>
      <c r="AN1259" s="83"/>
      <c r="AO1259" s="83"/>
      <c r="AP1259" s="83"/>
      <c r="AQ1259" s="83"/>
      <c r="AR1259" s="83"/>
      <c r="AS1259" s="83"/>
      <c r="AT1259" s="83"/>
    </row>
    <row r="1260" spans="36:46" x14ac:dyDescent="0.3">
      <c r="AJ1260" s="83"/>
      <c r="AK1260" s="83"/>
      <c r="AL1260" s="83"/>
      <c r="AM1260" s="83"/>
      <c r="AN1260" s="83"/>
      <c r="AO1260" s="83"/>
      <c r="AP1260" s="83"/>
      <c r="AQ1260" s="83"/>
      <c r="AR1260" s="83"/>
      <c r="AS1260" s="83"/>
      <c r="AT1260" s="83"/>
    </row>
    <row r="1261" spans="36:46" x14ac:dyDescent="0.3">
      <c r="AJ1261" s="83"/>
      <c r="AK1261" s="83"/>
      <c r="AL1261" s="83"/>
      <c r="AM1261" s="83"/>
      <c r="AN1261" s="83"/>
      <c r="AO1261" s="83"/>
      <c r="AP1261" s="83"/>
      <c r="AQ1261" s="83"/>
      <c r="AR1261" s="83"/>
      <c r="AS1261" s="83"/>
      <c r="AT1261" s="83"/>
    </row>
    <row r="1262" spans="36:46" x14ac:dyDescent="0.3">
      <c r="AJ1262" s="83"/>
      <c r="AK1262" s="83"/>
      <c r="AL1262" s="83"/>
      <c r="AM1262" s="83"/>
      <c r="AN1262" s="83"/>
      <c r="AO1262" s="83"/>
      <c r="AP1262" s="83"/>
      <c r="AQ1262" s="83"/>
      <c r="AR1262" s="83"/>
      <c r="AS1262" s="83"/>
      <c r="AT1262" s="83"/>
    </row>
    <row r="1263" spans="36:46" x14ac:dyDescent="0.3">
      <c r="AJ1263" s="83"/>
      <c r="AK1263" s="83"/>
      <c r="AL1263" s="83"/>
      <c r="AM1263" s="83"/>
      <c r="AN1263" s="83"/>
      <c r="AO1263" s="83"/>
      <c r="AP1263" s="83"/>
      <c r="AQ1263" s="83"/>
      <c r="AR1263" s="83"/>
      <c r="AS1263" s="83"/>
      <c r="AT1263" s="83"/>
    </row>
    <row r="1264" spans="36:46" x14ac:dyDescent="0.3">
      <c r="AJ1264" s="83"/>
      <c r="AK1264" s="83"/>
      <c r="AL1264" s="83"/>
      <c r="AM1264" s="83"/>
      <c r="AN1264" s="83"/>
      <c r="AO1264" s="83"/>
      <c r="AP1264" s="83"/>
      <c r="AQ1264" s="83"/>
      <c r="AR1264" s="83"/>
      <c r="AS1264" s="83"/>
      <c r="AT1264" s="83"/>
    </row>
    <row r="1265" spans="36:46" x14ac:dyDescent="0.3">
      <c r="AJ1265" s="83"/>
      <c r="AK1265" s="83"/>
      <c r="AL1265" s="83"/>
      <c r="AM1265" s="83"/>
      <c r="AN1265" s="83"/>
      <c r="AO1265" s="83"/>
      <c r="AP1265" s="83"/>
      <c r="AQ1265" s="83"/>
      <c r="AR1265" s="83"/>
      <c r="AS1265" s="83"/>
      <c r="AT1265" s="83"/>
    </row>
    <row r="1266" spans="36:46" x14ac:dyDescent="0.3">
      <c r="AJ1266" s="83"/>
      <c r="AK1266" s="83"/>
      <c r="AL1266" s="83"/>
      <c r="AM1266" s="83"/>
      <c r="AN1266" s="83"/>
      <c r="AO1266" s="83"/>
      <c r="AP1266" s="83"/>
      <c r="AQ1266" s="83"/>
      <c r="AR1266" s="83"/>
      <c r="AS1266" s="83"/>
      <c r="AT1266" s="83"/>
    </row>
    <row r="1267" spans="36:46" x14ac:dyDescent="0.3">
      <c r="AJ1267" s="83"/>
      <c r="AK1267" s="83"/>
      <c r="AL1267" s="83"/>
      <c r="AM1267" s="83"/>
      <c r="AN1267" s="83"/>
      <c r="AO1267" s="83"/>
      <c r="AP1267" s="83"/>
      <c r="AQ1267" s="83"/>
      <c r="AR1267" s="83"/>
      <c r="AS1267" s="83"/>
      <c r="AT1267" s="83"/>
    </row>
    <row r="1268" spans="36:46" x14ac:dyDescent="0.3">
      <c r="AJ1268" s="83"/>
      <c r="AK1268" s="83"/>
      <c r="AL1268" s="83"/>
      <c r="AM1268" s="83"/>
      <c r="AN1268" s="83"/>
      <c r="AO1268" s="83"/>
      <c r="AP1268" s="83"/>
      <c r="AQ1268" s="83"/>
      <c r="AR1268" s="83"/>
      <c r="AS1268" s="83"/>
      <c r="AT1268" s="83"/>
    </row>
    <row r="1269" spans="36:46" x14ac:dyDescent="0.3">
      <c r="AJ1269" s="83"/>
      <c r="AK1269" s="83"/>
      <c r="AL1269" s="83"/>
      <c r="AM1269" s="83"/>
      <c r="AN1269" s="83"/>
      <c r="AO1269" s="83"/>
      <c r="AP1269" s="83"/>
      <c r="AQ1269" s="83"/>
      <c r="AR1269" s="83"/>
      <c r="AS1269" s="83"/>
      <c r="AT1269" s="83"/>
    </row>
    <row r="1270" spans="36:46" x14ac:dyDescent="0.3">
      <c r="AJ1270" s="83"/>
      <c r="AK1270" s="83"/>
      <c r="AL1270" s="83"/>
      <c r="AM1270" s="83"/>
      <c r="AN1270" s="83"/>
      <c r="AO1270" s="83"/>
      <c r="AP1270" s="83"/>
      <c r="AQ1270" s="83"/>
      <c r="AR1270" s="83"/>
      <c r="AS1270" s="83"/>
      <c r="AT1270" s="83"/>
    </row>
    <row r="1271" spans="36:46" x14ac:dyDescent="0.3">
      <c r="AJ1271" s="83"/>
      <c r="AK1271" s="83"/>
      <c r="AL1271" s="83"/>
      <c r="AM1271" s="83"/>
      <c r="AN1271" s="83"/>
      <c r="AO1271" s="83"/>
      <c r="AP1271" s="83"/>
      <c r="AQ1271" s="83"/>
      <c r="AR1271" s="83"/>
      <c r="AS1271" s="83"/>
      <c r="AT1271" s="83"/>
    </row>
    <row r="1272" spans="36:46" x14ac:dyDescent="0.3">
      <c r="AJ1272" s="83"/>
      <c r="AK1272" s="83"/>
      <c r="AL1272" s="83"/>
      <c r="AM1272" s="83"/>
      <c r="AN1272" s="83"/>
      <c r="AO1272" s="83"/>
      <c r="AP1272" s="83"/>
      <c r="AQ1272" s="83"/>
      <c r="AR1272" s="83"/>
      <c r="AS1272" s="83"/>
      <c r="AT1272" s="83"/>
    </row>
    <row r="1273" spans="36:46" x14ac:dyDescent="0.3">
      <c r="AJ1273" s="83"/>
      <c r="AK1273" s="83"/>
      <c r="AL1273" s="83"/>
      <c r="AM1273" s="83"/>
      <c r="AN1273" s="83"/>
      <c r="AO1273" s="83"/>
      <c r="AP1273" s="83"/>
      <c r="AQ1273" s="83"/>
      <c r="AR1273" s="83"/>
      <c r="AS1273" s="83"/>
      <c r="AT1273" s="83"/>
    </row>
    <row r="1274" spans="36:46" x14ac:dyDescent="0.3">
      <c r="AJ1274" s="83"/>
      <c r="AK1274" s="83"/>
      <c r="AL1274" s="83"/>
      <c r="AM1274" s="83"/>
      <c r="AN1274" s="83"/>
      <c r="AO1274" s="83"/>
      <c r="AP1274" s="83"/>
      <c r="AQ1274" s="83"/>
      <c r="AR1274" s="83"/>
      <c r="AS1274" s="83"/>
      <c r="AT1274" s="83"/>
    </row>
    <row r="1275" spans="36:46" x14ac:dyDescent="0.3">
      <c r="AJ1275" s="83"/>
      <c r="AK1275" s="83"/>
      <c r="AL1275" s="83"/>
      <c r="AM1275" s="83"/>
      <c r="AN1275" s="83"/>
      <c r="AO1275" s="83"/>
      <c r="AP1275" s="83"/>
      <c r="AQ1275" s="83"/>
      <c r="AR1275" s="83"/>
      <c r="AS1275" s="83"/>
      <c r="AT1275" s="83"/>
    </row>
    <row r="1276" spans="36:46" x14ac:dyDescent="0.3">
      <c r="AJ1276" s="83"/>
      <c r="AK1276" s="83"/>
      <c r="AL1276" s="83"/>
      <c r="AM1276" s="83"/>
      <c r="AN1276" s="83"/>
      <c r="AO1276" s="83"/>
      <c r="AP1276" s="83"/>
      <c r="AQ1276" s="83"/>
      <c r="AR1276" s="83"/>
      <c r="AS1276" s="83"/>
      <c r="AT1276" s="83"/>
    </row>
    <row r="1277" spans="36:46" x14ac:dyDescent="0.3">
      <c r="AJ1277" s="83"/>
      <c r="AK1277" s="83"/>
      <c r="AL1277" s="83"/>
      <c r="AM1277" s="83"/>
      <c r="AN1277" s="83"/>
      <c r="AO1277" s="83"/>
      <c r="AP1277" s="83"/>
      <c r="AQ1277" s="83"/>
      <c r="AR1277" s="83"/>
      <c r="AS1277" s="83"/>
      <c r="AT1277" s="83"/>
    </row>
    <row r="1278" spans="36:46" x14ac:dyDescent="0.3">
      <c r="AJ1278" s="83"/>
      <c r="AK1278" s="83"/>
      <c r="AL1278" s="83"/>
      <c r="AM1278" s="83"/>
      <c r="AN1278" s="83"/>
      <c r="AO1278" s="83"/>
      <c r="AP1278" s="83"/>
      <c r="AQ1278" s="83"/>
      <c r="AR1278" s="83"/>
      <c r="AS1278" s="83"/>
      <c r="AT1278" s="83"/>
    </row>
    <row r="1279" spans="36:46" x14ac:dyDescent="0.3">
      <c r="AJ1279" s="83"/>
      <c r="AK1279" s="83"/>
      <c r="AL1279" s="83"/>
      <c r="AM1279" s="83"/>
      <c r="AN1279" s="83"/>
      <c r="AO1279" s="83"/>
      <c r="AP1279" s="83"/>
      <c r="AQ1279" s="83"/>
      <c r="AR1279" s="83"/>
      <c r="AS1279" s="83"/>
      <c r="AT1279" s="83"/>
    </row>
    <row r="1280" spans="36:46" x14ac:dyDescent="0.3">
      <c r="AJ1280" s="83"/>
      <c r="AK1280" s="83"/>
      <c r="AL1280" s="83"/>
      <c r="AM1280" s="83"/>
      <c r="AN1280" s="83"/>
      <c r="AO1280" s="83"/>
      <c r="AP1280" s="83"/>
      <c r="AQ1280" s="83"/>
      <c r="AR1280" s="83"/>
      <c r="AS1280" s="83"/>
      <c r="AT1280" s="83"/>
    </row>
    <row r="1281" spans="36:46" x14ac:dyDescent="0.3">
      <c r="AJ1281" s="83"/>
      <c r="AK1281" s="83"/>
      <c r="AL1281" s="83"/>
      <c r="AM1281" s="83"/>
      <c r="AN1281" s="83"/>
      <c r="AO1281" s="83"/>
      <c r="AP1281" s="83"/>
      <c r="AQ1281" s="83"/>
      <c r="AR1281" s="83"/>
      <c r="AS1281" s="83"/>
      <c r="AT1281" s="83"/>
    </row>
    <row r="1282" spans="36:46" x14ac:dyDescent="0.3">
      <c r="AJ1282" s="83"/>
      <c r="AK1282" s="83"/>
      <c r="AL1282" s="83"/>
      <c r="AM1282" s="83"/>
      <c r="AN1282" s="83"/>
      <c r="AO1282" s="83"/>
      <c r="AP1282" s="83"/>
      <c r="AQ1282" s="83"/>
      <c r="AR1282" s="83"/>
      <c r="AS1282" s="83"/>
      <c r="AT1282" s="83"/>
    </row>
    <row r="1283" spans="36:46" x14ac:dyDescent="0.3">
      <c r="AJ1283" s="83"/>
      <c r="AK1283" s="83"/>
      <c r="AL1283" s="83"/>
      <c r="AM1283" s="83"/>
      <c r="AN1283" s="83"/>
      <c r="AO1283" s="83"/>
      <c r="AP1283" s="83"/>
      <c r="AQ1283" s="83"/>
      <c r="AR1283" s="83"/>
      <c r="AS1283" s="83"/>
      <c r="AT1283" s="83"/>
    </row>
    <row r="1284" spans="36:46" x14ac:dyDescent="0.3">
      <c r="AJ1284" s="83"/>
      <c r="AK1284" s="83"/>
      <c r="AL1284" s="83"/>
      <c r="AM1284" s="83"/>
      <c r="AN1284" s="83"/>
      <c r="AO1284" s="83"/>
      <c r="AP1284" s="83"/>
      <c r="AQ1284" s="83"/>
      <c r="AR1284" s="83"/>
      <c r="AS1284" s="83"/>
      <c r="AT1284" s="83"/>
    </row>
    <row r="1285" spans="36:46" x14ac:dyDescent="0.3">
      <c r="AJ1285" s="83"/>
      <c r="AK1285" s="83"/>
      <c r="AL1285" s="83"/>
      <c r="AM1285" s="83"/>
      <c r="AN1285" s="83"/>
      <c r="AO1285" s="83"/>
      <c r="AP1285" s="83"/>
      <c r="AQ1285" s="83"/>
      <c r="AR1285" s="83"/>
      <c r="AS1285" s="83"/>
      <c r="AT1285" s="83"/>
    </row>
    <row r="1286" spans="36:46" x14ac:dyDescent="0.3">
      <c r="AJ1286" s="83"/>
      <c r="AK1286" s="83"/>
      <c r="AL1286" s="83"/>
      <c r="AM1286" s="83"/>
      <c r="AN1286" s="83"/>
      <c r="AO1286" s="83"/>
      <c r="AP1286" s="83"/>
      <c r="AQ1286" s="83"/>
      <c r="AR1286" s="83"/>
      <c r="AS1286" s="83"/>
      <c r="AT1286" s="83"/>
    </row>
    <row r="1287" spans="36:46" x14ac:dyDescent="0.3">
      <c r="AJ1287" s="83"/>
      <c r="AK1287" s="83"/>
      <c r="AL1287" s="83"/>
      <c r="AM1287" s="83"/>
      <c r="AN1287" s="83"/>
      <c r="AO1287" s="83"/>
      <c r="AP1287" s="83"/>
      <c r="AQ1287" s="83"/>
      <c r="AR1287" s="83"/>
      <c r="AS1287" s="83"/>
      <c r="AT1287" s="83"/>
    </row>
    <row r="1288" spans="36:46" x14ac:dyDescent="0.3">
      <c r="AJ1288" s="83"/>
      <c r="AK1288" s="83"/>
      <c r="AL1288" s="83"/>
      <c r="AM1288" s="83"/>
      <c r="AN1288" s="83"/>
      <c r="AO1288" s="83"/>
      <c r="AP1288" s="83"/>
      <c r="AQ1288" s="83"/>
      <c r="AR1288" s="83"/>
      <c r="AS1288" s="83"/>
      <c r="AT1288" s="83"/>
    </row>
    <row r="1289" spans="36:46" x14ac:dyDescent="0.3">
      <c r="AJ1289" s="83"/>
      <c r="AK1289" s="83"/>
      <c r="AL1289" s="83"/>
      <c r="AM1289" s="83"/>
      <c r="AN1289" s="83"/>
      <c r="AO1289" s="83"/>
      <c r="AP1289" s="83"/>
      <c r="AQ1289" s="83"/>
      <c r="AR1289" s="83"/>
      <c r="AS1289" s="83"/>
      <c r="AT1289" s="83"/>
    </row>
    <row r="1290" spans="36:46" x14ac:dyDescent="0.3">
      <c r="AJ1290" s="83"/>
      <c r="AK1290" s="83"/>
      <c r="AL1290" s="83"/>
      <c r="AM1290" s="83"/>
      <c r="AN1290" s="83"/>
      <c r="AO1290" s="83"/>
      <c r="AP1290" s="83"/>
      <c r="AQ1290" s="83"/>
      <c r="AR1290" s="83"/>
      <c r="AS1290" s="83"/>
      <c r="AT1290" s="83"/>
    </row>
    <row r="1291" spans="36:46" x14ac:dyDescent="0.3">
      <c r="AJ1291" s="83"/>
      <c r="AK1291" s="83"/>
      <c r="AL1291" s="83"/>
      <c r="AM1291" s="83"/>
      <c r="AN1291" s="83"/>
      <c r="AO1291" s="83"/>
      <c r="AP1291" s="83"/>
      <c r="AQ1291" s="83"/>
      <c r="AR1291" s="83"/>
      <c r="AS1291" s="83"/>
      <c r="AT1291" s="83"/>
    </row>
    <row r="1292" spans="36:46" x14ac:dyDescent="0.3">
      <c r="AJ1292" s="83"/>
      <c r="AK1292" s="83"/>
      <c r="AL1292" s="83"/>
      <c r="AM1292" s="83"/>
      <c r="AN1292" s="83"/>
      <c r="AO1292" s="83"/>
      <c r="AP1292" s="83"/>
      <c r="AQ1292" s="83"/>
      <c r="AR1292" s="83"/>
      <c r="AS1292" s="83"/>
      <c r="AT1292" s="83"/>
    </row>
    <row r="1293" spans="36:46" x14ac:dyDescent="0.3">
      <c r="AJ1293" s="83"/>
      <c r="AK1293" s="83"/>
      <c r="AL1293" s="83"/>
      <c r="AM1293" s="83"/>
      <c r="AN1293" s="83"/>
      <c r="AO1293" s="83"/>
      <c r="AP1293" s="83"/>
      <c r="AQ1293" s="83"/>
      <c r="AR1293" s="83"/>
      <c r="AS1293" s="83"/>
      <c r="AT1293" s="83"/>
    </row>
    <row r="1294" spans="36:46" x14ac:dyDescent="0.3">
      <c r="AJ1294" s="83"/>
      <c r="AK1294" s="83"/>
      <c r="AL1294" s="83"/>
      <c r="AM1294" s="83"/>
      <c r="AN1294" s="83"/>
      <c r="AO1294" s="83"/>
      <c r="AP1294" s="83"/>
      <c r="AQ1294" s="83"/>
      <c r="AR1294" s="83"/>
      <c r="AS1294" s="83"/>
      <c r="AT1294" s="83"/>
    </row>
    <row r="1295" spans="36:46" x14ac:dyDescent="0.3">
      <c r="AJ1295" s="83"/>
      <c r="AK1295" s="83"/>
      <c r="AL1295" s="83"/>
      <c r="AM1295" s="83"/>
      <c r="AN1295" s="83"/>
      <c r="AO1295" s="83"/>
      <c r="AP1295" s="83"/>
      <c r="AQ1295" s="83"/>
      <c r="AR1295" s="83"/>
      <c r="AS1295" s="83"/>
      <c r="AT1295" s="83"/>
    </row>
    <row r="1296" spans="36:46" x14ac:dyDescent="0.3">
      <c r="AJ1296" s="83"/>
      <c r="AK1296" s="83"/>
      <c r="AL1296" s="83"/>
      <c r="AM1296" s="83"/>
      <c r="AN1296" s="83"/>
      <c r="AO1296" s="83"/>
      <c r="AP1296" s="83"/>
      <c r="AQ1296" s="83"/>
      <c r="AR1296" s="83"/>
      <c r="AS1296" s="83"/>
      <c r="AT1296" s="83"/>
    </row>
    <row r="1297" spans="36:46" x14ac:dyDescent="0.3">
      <c r="AJ1297" s="83"/>
      <c r="AK1297" s="83"/>
      <c r="AL1297" s="83"/>
      <c r="AM1297" s="83"/>
      <c r="AN1297" s="83"/>
      <c r="AO1297" s="83"/>
      <c r="AP1297" s="83"/>
      <c r="AQ1297" s="83"/>
      <c r="AR1297" s="83"/>
      <c r="AS1297" s="83"/>
      <c r="AT1297" s="83"/>
    </row>
    <row r="1298" spans="36:46" x14ac:dyDescent="0.3">
      <c r="AJ1298" s="83"/>
      <c r="AK1298" s="83"/>
      <c r="AL1298" s="83"/>
      <c r="AM1298" s="83"/>
      <c r="AN1298" s="83"/>
      <c r="AO1298" s="83"/>
      <c r="AP1298" s="83"/>
      <c r="AQ1298" s="83"/>
      <c r="AR1298" s="83"/>
      <c r="AS1298" s="83"/>
      <c r="AT1298" s="83"/>
    </row>
    <row r="1299" spans="36:46" x14ac:dyDescent="0.3">
      <c r="AJ1299" s="83"/>
      <c r="AK1299" s="83"/>
      <c r="AL1299" s="83"/>
      <c r="AM1299" s="83"/>
      <c r="AN1299" s="83"/>
      <c r="AO1299" s="83"/>
      <c r="AP1299" s="83"/>
      <c r="AQ1299" s="83"/>
      <c r="AR1299" s="83"/>
      <c r="AS1299" s="83"/>
      <c r="AT1299" s="83"/>
    </row>
    <row r="1300" spans="36:46" x14ac:dyDescent="0.3">
      <c r="AJ1300" s="83"/>
      <c r="AK1300" s="83"/>
      <c r="AL1300" s="83"/>
      <c r="AM1300" s="83"/>
      <c r="AN1300" s="83"/>
      <c r="AO1300" s="83"/>
      <c r="AP1300" s="83"/>
      <c r="AQ1300" s="83"/>
      <c r="AR1300" s="83"/>
      <c r="AS1300" s="83"/>
      <c r="AT1300" s="83"/>
    </row>
    <row r="1301" spans="36:46" x14ac:dyDescent="0.3">
      <c r="AJ1301" s="83"/>
      <c r="AK1301" s="83"/>
      <c r="AL1301" s="83"/>
      <c r="AM1301" s="83"/>
      <c r="AN1301" s="83"/>
      <c r="AO1301" s="83"/>
      <c r="AP1301" s="83"/>
      <c r="AQ1301" s="83"/>
      <c r="AR1301" s="83"/>
      <c r="AS1301" s="83"/>
      <c r="AT1301" s="83"/>
    </row>
    <row r="1302" spans="36:46" x14ac:dyDescent="0.3">
      <c r="AJ1302" s="83"/>
      <c r="AK1302" s="83"/>
      <c r="AL1302" s="83"/>
      <c r="AM1302" s="83"/>
      <c r="AN1302" s="83"/>
      <c r="AO1302" s="83"/>
      <c r="AP1302" s="83"/>
      <c r="AQ1302" s="83"/>
      <c r="AR1302" s="83"/>
      <c r="AS1302" s="83"/>
      <c r="AT1302" s="83"/>
    </row>
    <row r="1303" spans="36:46" x14ac:dyDescent="0.3">
      <c r="AJ1303" s="83"/>
      <c r="AK1303" s="83"/>
      <c r="AL1303" s="83"/>
      <c r="AM1303" s="83"/>
      <c r="AN1303" s="83"/>
      <c r="AO1303" s="83"/>
      <c r="AP1303" s="83"/>
      <c r="AQ1303" s="83"/>
      <c r="AR1303" s="83"/>
      <c r="AS1303" s="83"/>
      <c r="AT1303" s="83"/>
    </row>
    <row r="1304" spans="36:46" x14ac:dyDescent="0.3">
      <c r="AJ1304" s="83"/>
      <c r="AK1304" s="83"/>
      <c r="AL1304" s="83"/>
      <c r="AM1304" s="83"/>
      <c r="AN1304" s="83"/>
      <c r="AO1304" s="83"/>
      <c r="AP1304" s="83"/>
      <c r="AQ1304" s="83"/>
      <c r="AR1304" s="83"/>
      <c r="AS1304" s="83"/>
      <c r="AT1304" s="83"/>
    </row>
    <row r="1305" spans="36:46" x14ac:dyDescent="0.3">
      <c r="AJ1305" s="83"/>
      <c r="AK1305" s="83"/>
      <c r="AL1305" s="83"/>
      <c r="AM1305" s="83"/>
      <c r="AN1305" s="83"/>
      <c r="AO1305" s="83"/>
      <c r="AP1305" s="83"/>
      <c r="AQ1305" s="83"/>
      <c r="AR1305" s="83"/>
      <c r="AS1305" s="83"/>
      <c r="AT1305" s="83"/>
    </row>
    <row r="1306" spans="36:46" x14ac:dyDescent="0.3">
      <c r="AJ1306" s="83"/>
      <c r="AK1306" s="83"/>
      <c r="AL1306" s="83"/>
      <c r="AM1306" s="83"/>
      <c r="AN1306" s="83"/>
      <c r="AO1306" s="83"/>
      <c r="AP1306" s="83"/>
      <c r="AQ1306" s="83"/>
      <c r="AR1306" s="83"/>
      <c r="AS1306" s="83"/>
      <c r="AT1306" s="83"/>
    </row>
    <row r="1307" spans="36:46" x14ac:dyDescent="0.3">
      <c r="AJ1307" s="83"/>
      <c r="AK1307" s="83"/>
      <c r="AL1307" s="83"/>
      <c r="AM1307" s="83"/>
      <c r="AN1307" s="83"/>
      <c r="AO1307" s="83"/>
      <c r="AP1307" s="83"/>
      <c r="AQ1307" s="83"/>
      <c r="AR1307" s="83"/>
      <c r="AS1307" s="83"/>
      <c r="AT1307" s="83"/>
    </row>
    <row r="1308" spans="36:46" x14ac:dyDescent="0.3">
      <c r="AJ1308" s="83"/>
      <c r="AK1308" s="83"/>
      <c r="AL1308" s="83"/>
      <c r="AM1308" s="83"/>
      <c r="AN1308" s="83"/>
      <c r="AO1308" s="83"/>
      <c r="AP1308" s="83"/>
      <c r="AQ1308" s="83"/>
      <c r="AR1308" s="83"/>
      <c r="AS1308" s="83"/>
      <c r="AT1308" s="83"/>
    </row>
    <row r="1309" spans="36:46" x14ac:dyDescent="0.3">
      <c r="AJ1309" s="83"/>
      <c r="AK1309" s="83"/>
      <c r="AL1309" s="83"/>
      <c r="AM1309" s="83"/>
      <c r="AN1309" s="83"/>
      <c r="AO1309" s="83"/>
      <c r="AP1309" s="83"/>
      <c r="AQ1309" s="83"/>
      <c r="AR1309" s="83"/>
      <c r="AS1309" s="83"/>
      <c r="AT1309" s="83"/>
    </row>
    <row r="1310" spans="36:46" x14ac:dyDescent="0.3">
      <c r="AJ1310" s="83"/>
      <c r="AK1310" s="83"/>
      <c r="AL1310" s="83"/>
      <c r="AM1310" s="83"/>
      <c r="AN1310" s="83"/>
      <c r="AO1310" s="83"/>
      <c r="AP1310" s="83"/>
      <c r="AQ1310" s="83"/>
      <c r="AR1310" s="83"/>
      <c r="AS1310" s="83"/>
      <c r="AT1310" s="83"/>
    </row>
    <row r="1311" spans="36:46" x14ac:dyDescent="0.3">
      <c r="AJ1311" s="83"/>
      <c r="AK1311" s="83"/>
      <c r="AL1311" s="83"/>
      <c r="AM1311" s="83"/>
      <c r="AN1311" s="83"/>
      <c r="AO1311" s="83"/>
      <c r="AP1311" s="83"/>
      <c r="AQ1311" s="83"/>
      <c r="AR1311" s="83"/>
      <c r="AS1311" s="83"/>
      <c r="AT1311" s="83"/>
    </row>
    <row r="1312" spans="36:46" x14ac:dyDescent="0.3">
      <c r="AJ1312" s="83"/>
      <c r="AK1312" s="83"/>
      <c r="AL1312" s="83"/>
      <c r="AM1312" s="83"/>
      <c r="AN1312" s="83"/>
      <c r="AO1312" s="83"/>
      <c r="AP1312" s="83"/>
      <c r="AQ1312" s="83"/>
      <c r="AR1312" s="83"/>
      <c r="AS1312" s="83"/>
      <c r="AT1312" s="83"/>
    </row>
    <row r="1313" spans="36:46" x14ac:dyDescent="0.3">
      <c r="AJ1313" s="83"/>
      <c r="AK1313" s="83"/>
      <c r="AL1313" s="83"/>
      <c r="AM1313" s="83"/>
      <c r="AN1313" s="83"/>
      <c r="AO1313" s="83"/>
      <c r="AP1313" s="83"/>
      <c r="AQ1313" s="83"/>
      <c r="AR1313" s="83"/>
      <c r="AS1313" s="83"/>
      <c r="AT1313" s="83"/>
    </row>
    <row r="1314" spans="36:46" x14ac:dyDescent="0.3">
      <c r="AJ1314" s="83"/>
      <c r="AK1314" s="83"/>
      <c r="AL1314" s="83"/>
      <c r="AM1314" s="83"/>
      <c r="AN1314" s="83"/>
      <c r="AO1314" s="83"/>
      <c r="AP1314" s="83"/>
      <c r="AQ1314" s="83"/>
      <c r="AR1314" s="83"/>
      <c r="AS1314" s="83"/>
      <c r="AT1314" s="83"/>
    </row>
    <row r="1315" spans="36:46" x14ac:dyDescent="0.3">
      <c r="AJ1315" s="83"/>
      <c r="AK1315" s="83"/>
      <c r="AL1315" s="83"/>
      <c r="AM1315" s="83"/>
      <c r="AN1315" s="83"/>
      <c r="AO1315" s="83"/>
      <c r="AP1315" s="83"/>
      <c r="AQ1315" s="83"/>
      <c r="AR1315" s="83"/>
      <c r="AS1315" s="83"/>
      <c r="AT1315" s="83"/>
    </row>
    <row r="1316" spans="36:46" x14ac:dyDescent="0.3">
      <c r="AJ1316" s="83"/>
      <c r="AK1316" s="83"/>
      <c r="AL1316" s="83"/>
      <c r="AM1316" s="83"/>
      <c r="AN1316" s="83"/>
      <c r="AO1316" s="83"/>
      <c r="AP1316" s="83"/>
      <c r="AQ1316" s="83"/>
      <c r="AR1316" s="83"/>
      <c r="AS1316" s="83"/>
      <c r="AT1316" s="83"/>
    </row>
    <row r="1317" spans="36:46" x14ac:dyDescent="0.3">
      <c r="AJ1317" s="83"/>
      <c r="AK1317" s="83"/>
      <c r="AL1317" s="83"/>
      <c r="AM1317" s="83"/>
      <c r="AN1317" s="83"/>
      <c r="AO1317" s="83"/>
      <c r="AP1317" s="83"/>
      <c r="AQ1317" s="83"/>
      <c r="AR1317" s="83"/>
      <c r="AS1317" s="83"/>
      <c r="AT1317" s="83"/>
    </row>
    <row r="1318" spans="36:46" x14ac:dyDescent="0.3">
      <c r="AJ1318" s="83"/>
      <c r="AK1318" s="83"/>
      <c r="AL1318" s="83"/>
      <c r="AM1318" s="83"/>
      <c r="AN1318" s="83"/>
      <c r="AO1318" s="83"/>
      <c r="AP1318" s="83"/>
      <c r="AQ1318" s="83"/>
      <c r="AR1318" s="83"/>
      <c r="AS1318" s="83"/>
      <c r="AT1318" s="83"/>
    </row>
    <row r="1319" spans="36:46" x14ac:dyDescent="0.3">
      <c r="AJ1319" s="83"/>
      <c r="AK1319" s="83"/>
      <c r="AL1319" s="83"/>
      <c r="AM1319" s="83"/>
      <c r="AN1319" s="83"/>
      <c r="AO1319" s="83"/>
      <c r="AP1319" s="83"/>
      <c r="AQ1319" s="83"/>
      <c r="AR1319" s="83"/>
      <c r="AS1319" s="83"/>
      <c r="AT1319" s="83"/>
    </row>
    <row r="1320" spans="36:46" x14ac:dyDescent="0.3">
      <c r="AJ1320" s="83"/>
      <c r="AK1320" s="83"/>
      <c r="AL1320" s="83"/>
      <c r="AM1320" s="83"/>
      <c r="AN1320" s="83"/>
      <c r="AO1320" s="83"/>
      <c r="AP1320" s="83"/>
      <c r="AQ1320" s="83"/>
      <c r="AR1320" s="83"/>
      <c r="AS1320" s="83"/>
      <c r="AT1320" s="83"/>
    </row>
    <row r="1321" spans="36:46" x14ac:dyDescent="0.3">
      <c r="AJ1321" s="83"/>
      <c r="AK1321" s="83"/>
      <c r="AL1321" s="83"/>
      <c r="AM1321" s="83"/>
      <c r="AN1321" s="83"/>
      <c r="AO1321" s="83"/>
      <c r="AP1321" s="83"/>
      <c r="AQ1321" s="83"/>
      <c r="AR1321" s="83"/>
      <c r="AS1321" s="83"/>
      <c r="AT1321" s="83"/>
    </row>
    <row r="1322" spans="36:46" x14ac:dyDescent="0.3">
      <c r="AJ1322" s="83"/>
      <c r="AK1322" s="83"/>
      <c r="AL1322" s="83"/>
      <c r="AM1322" s="83"/>
      <c r="AN1322" s="83"/>
      <c r="AO1322" s="83"/>
      <c r="AP1322" s="83"/>
      <c r="AQ1322" s="83"/>
      <c r="AR1322" s="83"/>
      <c r="AS1322" s="83"/>
      <c r="AT1322" s="83"/>
    </row>
    <row r="1323" spans="36:46" x14ac:dyDescent="0.3">
      <c r="AJ1323" s="83"/>
      <c r="AK1323" s="83"/>
      <c r="AL1323" s="83"/>
      <c r="AM1323" s="83"/>
      <c r="AN1323" s="83"/>
      <c r="AO1323" s="83"/>
      <c r="AP1323" s="83"/>
      <c r="AQ1323" s="83"/>
      <c r="AR1323" s="83"/>
      <c r="AS1323" s="83"/>
      <c r="AT1323" s="83"/>
    </row>
    <row r="1324" spans="36:46" x14ac:dyDescent="0.3">
      <c r="AJ1324" s="83"/>
      <c r="AK1324" s="83"/>
      <c r="AL1324" s="83"/>
      <c r="AM1324" s="83"/>
      <c r="AN1324" s="83"/>
      <c r="AO1324" s="83"/>
      <c r="AP1324" s="83"/>
      <c r="AQ1324" s="83"/>
      <c r="AR1324" s="83"/>
      <c r="AS1324" s="83"/>
      <c r="AT1324" s="83"/>
    </row>
    <row r="1325" spans="36:46" x14ac:dyDescent="0.3">
      <c r="AJ1325" s="83"/>
      <c r="AK1325" s="83"/>
      <c r="AL1325" s="83"/>
      <c r="AM1325" s="83"/>
      <c r="AN1325" s="83"/>
      <c r="AO1325" s="83"/>
      <c r="AP1325" s="83"/>
      <c r="AQ1325" s="83"/>
      <c r="AR1325" s="83"/>
      <c r="AS1325" s="83"/>
      <c r="AT1325" s="83"/>
    </row>
    <row r="1326" spans="36:46" x14ac:dyDescent="0.3">
      <c r="AJ1326" s="83"/>
      <c r="AK1326" s="83"/>
      <c r="AL1326" s="83"/>
      <c r="AM1326" s="83"/>
      <c r="AN1326" s="83"/>
      <c r="AO1326" s="83"/>
      <c r="AP1326" s="83"/>
      <c r="AQ1326" s="83"/>
      <c r="AR1326" s="83"/>
      <c r="AS1326" s="83"/>
      <c r="AT1326" s="83"/>
    </row>
    <row r="1327" spans="36:46" x14ac:dyDescent="0.3">
      <c r="AJ1327" s="83"/>
      <c r="AK1327" s="83"/>
      <c r="AL1327" s="83"/>
      <c r="AM1327" s="83"/>
      <c r="AN1327" s="83"/>
      <c r="AO1327" s="83"/>
      <c r="AP1327" s="83"/>
      <c r="AQ1327" s="83"/>
      <c r="AR1327" s="83"/>
      <c r="AS1327" s="83"/>
      <c r="AT1327" s="83"/>
    </row>
    <row r="1328" spans="36:46" x14ac:dyDescent="0.3">
      <c r="AJ1328" s="83"/>
      <c r="AK1328" s="83"/>
      <c r="AL1328" s="83"/>
      <c r="AM1328" s="83"/>
      <c r="AN1328" s="83"/>
      <c r="AO1328" s="83"/>
      <c r="AP1328" s="83"/>
      <c r="AQ1328" s="83"/>
      <c r="AR1328" s="83"/>
      <c r="AS1328" s="83"/>
      <c r="AT1328" s="83"/>
    </row>
    <row r="1329" spans="36:46" x14ac:dyDescent="0.3">
      <c r="AJ1329" s="83"/>
      <c r="AK1329" s="83"/>
      <c r="AL1329" s="83"/>
      <c r="AM1329" s="83"/>
      <c r="AN1329" s="83"/>
      <c r="AO1329" s="83"/>
      <c r="AP1329" s="83"/>
      <c r="AQ1329" s="83"/>
      <c r="AR1329" s="83"/>
      <c r="AS1329" s="83"/>
      <c r="AT1329" s="83"/>
    </row>
    <row r="1330" spans="36:46" x14ac:dyDescent="0.3">
      <c r="AJ1330" s="83"/>
      <c r="AK1330" s="83"/>
      <c r="AL1330" s="83"/>
      <c r="AM1330" s="83"/>
      <c r="AN1330" s="83"/>
      <c r="AO1330" s="83"/>
      <c r="AP1330" s="83"/>
      <c r="AQ1330" s="83"/>
      <c r="AR1330" s="83"/>
      <c r="AS1330" s="83"/>
      <c r="AT1330" s="83"/>
    </row>
    <row r="1331" spans="36:46" x14ac:dyDescent="0.3">
      <c r="AJ1331" s="83"/>
      <c r="AK1331" s="83"/>
      <c r="AL1331" s="83"/>
      <c r="AM1331" s="83"/>
      <c r="AN1331" s="83"/>
      <c r="AO1331" s="83"/>
      <c r="AP1331" s="83"/>
      <c r="AQ1331" s="83"/>
      <c r="AR1331" s="83"/>
      <c r="AS1331" s="83"/>
      <c r="AT1331" s="83"/>
    </row>
    <row r="1332" spans="36:46" x14ac:dyDescent="0.3">
      <c r="AJ1332" s="83"/>
      <c r="AK1332" s="83"/>
      <c r="AL1332" s="83"/>
      <c r="AM1332" s="83"/>
      <c r="AN1332" s="83"/>
      <c r="AO1332" s="83"/>
      <c r="AP1332" s="83"/>
      <c r="AQ1332" s="83"/>
      <c r="AR1332" s="83"/>
      <c r="AS1332" s="83"/>
      <c r="AT1332" s="83"/>
    </row>
    <row r="1333" spans="36:46" x14ac:dyDescent="0.3">
      <c r="AJ1333" s="83"/>
      <c r="AK1333" s="83"/>
      <c r="AL1333" s="83"/>
      <c r="AM1333" s="83"/>
      <c r="AN1333" s="83"/>
      <c r="AO1333" s="83"/>
      <c r="AP1333" s="83"/>
      <c r="AQ1333" s="83"/>
      <c r="AR1333" s="83"/>
      <c r="AS1333" s="83"/>
      <c r="AT1333" s="83"/>
    </row>
    <row r="1334" spans="36:46" x14ac:dyDescent="0.3">
      <c r="AJ1334" s="83"/>
      <c r="AK1334" s="83"/>
      <c r="AL1334" s="83"/>
      <c r="AM1334" s="83"/>
      <c r="AN1334" s="83"/>
      <c r="AO1334" s="83"/>
      <c r="AP1334" s="83"/>
      <c r="AQ1334" s="83"/>
      <c r="AR1334" s="83"/>
      <c r="AS1334" s="83"/>
      <c r="AT1334" s="83"/>
    </row>
    <row r="1335" spans="36:46" x14ac:dyDescent="0.3">
      <c r="AJ1335" s="83"/>
      <c r="AK1335" s="83"/>
      <c r="AL1335" s="83"/>
      <c r="AM1335" s="83"/>
      <c r="AN1335" s="83"/>
      <c r="AO1335" s="83"/>
      <c r="AP1335" s="83"/>
      <c r="AQ1335" s="83"/>
      <c r="AR1335" s="83"/>
      <c r="AS1335" s="83"/>
      <c r="AT1335" s="83"/>
    </row>
    <row r="1336" spans="36:46" x14ac:dyDescent="0.3">
      <c r="AJ1336" s="83"/>
      <c r="AK1336" s="83"/>
      <c r="AL1336" s="83"/>
      <c r="AM1336" s="83"/>
      <c r="AN1336" s="83"/>
      <c r="AO1336" s="83"/>
      <c r="AP1336" s="83"/>
      <c r="AQ1336" s="83"/>
      <c r="AR1336" s="83"/>
      <c r="AS1336" s="83"/>
      <c r="AT1336" s="83"/>
    </row>
    <row r="1337" spans="36:46" x14ac:dyDescent="0.3">
      <c r="AJ1337" s="83"/>
      <c r="AK1337" s="83"/>
      <c r="AL1337" s="83"/>
      <c r="AM1337" s="83"/>
      <c r="AN1337" s="83"/>
      <c r="AO1337" s="83"/>
      <c r="AP1337" s="83"/>
      <c r="AQ1337" s="83"/>
      <c r="AR1337" s="83"/>
      <c r="AS1337" s="83"/>
      <c r="AT1337" s="83"/>
    </row>
    <row r="1338" spans="36:46" x14ac:dyDescent="0.3">
      <c r="AJ1338" s="83"/>
      <c r="AK1338" s="83"/>
      <c r="AL1338" s="83"/>
      <c r="AM1338" s="83"/>
      <c r="AN1338" s="83"/>
      <c r="AO1338" s="83"/>
      <c r="AP1338" s="83"/>
      <c r="AQ1338" s="83"/>
      <c r="AR1338" s="83"/>
      <c r="AS1338" s="83"/>
      <c r="AT1338" s="83"/>
    </row>
    <row r="1339" spans="36:46" x14ac:dyDescent="0.3">
      <c r="AJ1339" s="83"/>
      <c r="AK1339" s="83"/>
      <c r="AL1339" s="83"/>
      <c r="AM1339" s="83"/>
      <c r="AN1339" s="83"/>
      <c r="AO1339" s="83"/>
      <c r="AP1339" s="83"/>
      <c r="AQ1339" s="83"/>
      <c r="AR1339" s="83"/>
      <c r="AS1339" s="83"/>
      <c r="AT1339" s="83"/>
    </row>
    <row r="1340" spans="36:46" x14ac:dyDescent="0.3">
      <c r="AJ1340" s="83"/>
      <c r="AK1340" s="83"/>
      <c r="AL1340" s="83"/>
      <c r="AM1340" s="83"/>
      <c r="AN1340" s="83"/>
      <c r="AO1340" s="83"/>
      <c r="AP1340" s="83"/>
      <c r="AQ1340" s="83"/>
      <c r="AR1340" s="83"/>
      <c r="AS1340" s="83"/>
      <c r="AT1340" s="83"/>
    </row>
    <row r="1341" spans="36:46" x14ac:dyDescent="0.3">
      <c r="AJ1341" s="83"/>
      <c r="AK1341" s="83"/>
      <c r="AL1341" s="83"/>
      <c r="AM1341" s="83"/>
      <c r="AN1341" s="83"/>
      <c r="AO1341" s="83"/>
      <c r="AP1341" s="83"/>
      <c r="AQ1341" s="83"/>
      <c r="AR1341" s="83"/>
      <c r="AS1341" s="83"/>
      <c r="AT1341" s="83"/>
    </row>
    <row r="1342" spans="36:46" x14ac:dyDescent="0.3">
      <c r="AJ1342" s="83"/>
      <c r="AK1342" s="83"/>
      <c r="AL1342" s="83"/>
      <c r="AM1342" s="83"/>
      <c r="AN1342" s="83"/>
      <c r="AO1342" s="83"/>
      <c r="AP1342" s="83"/>
      <c r="AQ1342" s="83"/>
      <c r="AR1342" s="83"/>
      <c r="AS1342" s="83"/>
      <c r="AT1342" s="83"/>
    </row>
    <row r="1343" spans="36:46" x14ac:dyDescent="0.3">
      <c r="AJ1343" s="83"/>
      <c r="AK1343" s="83"/>
      <c r="AL1343" s="83"/>
      <c r="AM1343" s="83"/>
      <c r="AN1343" s="83"/>
      <c r="AO1343" s="83"/>
      <c r="AP1343" s="83"/>
      <c r="AQ1343" s="83"/>
      <c r="AR1343" s="83"/>
      <c r="AS1343" s="83"/>
      <c r="AT1343" s="83"/>
    </row>
    <row r="1344" spans="36:46" x14ac:dyDescent="0.3">
      <c r="AJ1344" s="83"/>
      <c r="AK1344" s="83"/>
      <c r="AL1344" s="83"/>
      <c r="AM1344" s="83"/>
      <c r="AN1344" s="83"/>
      <c r="AO1344" s="83"/>
      <c r="AP1344" s="83"/>
      <c r="AQ1344" s="83"/>
      <c r="AR1344" s="83"/>
      <c r="AS1344" s="83"/>
      <c r="AT1344" s="83"/>
    </row>
    <row r="1345" spans="36:46" x14ac:dyDescent="0.3">
      <c r="AJ1345" s="83"/>
      <c r="AK1345" s="83"/>
      <c r="AL1345" s="83"/>
      <c r="AM1345" s="83"/>
      <c r="AN1345" s="83"/>
      <c r="AO1345" s="83"/>
      <c r="AP1345" s="83"/>
      <c r="AQ1345" s="83"/>
      <c r="AR1345" s="83"/>
      <c r="AS1345" s="83"/>
      <c r="AT1345" s="83"/>
    </row>
    <row r="1346" spans="36:46" x14ac:dyDescent="0.3">
      <c r="AJ1346" s="83"/>
      <c r="AK1346" s="83"/>
      <c r="AL1346" s="83"/>
      <c r="AM1346" s="83"/>
      <c r="AN1346" s="83"/>
      <c r="AO1346" s="83"/>
      <c r="AP1346" s="83"/>
      <c r="AQ1346" s="83"/>
      <c r="AR1346" s="83"/>
      <c r="AS1346" s="83"/>
      <c r="AT1346" s="83"/>
    </row>
    <row r="1347" spans="36:46" x14ac:dyDescent="0.3">
      <c r="AJ1347" s="83"/>
      <c r="AK1347" s="83"/>
      <c r="AL1347" s="83"/>
      <c r="AM1347" s="83"/>
      <c r="AN1347" s="83"/>
      <c r="AO1347" s="83"/>
      <c r="AP1347" s="83"/>
      <c r="AQ1347" s="83"/>
      <c r="AR1347" s="83"/>
      <c r="AS1347" s="83"/>
      <c r="AT1347" s="83"/>
    </row>
    <row r="1348" spans="36:46" x14ac:dyDescent="0.3">
      <c r="AJ1348" s="83"/>
      <c r="AK1348" s="83"/>
      <c r="AL1348" s="83"/>
      <c r="AM1348" s="83"/>
      <c r="AN1348" s="83"/>
      <c r="AO1348" s="83"/>
      <c r="AP1348" s="83"/>
      <c r="AQ1348" s="83"/>
      <c r="AR1348" s="83"/>
      <c r="AS1348" s="83"/>
      <c r="AT1348" s="83"/>
    </row>
    <row r="1349" spans="36:46" x14ac:dyDescent="0.3">
      <c r="AJ1349" s="83"/>
      <c r="AK1349" s="83"/>
      <c r="AL1349" s="83"/>
      <c r="AM1349" s="83"/>
      <c r="AN1349" s="83"/>
      <c r="AO1349" s="83"/>
      <c r="AP1349" s="83"/>
      <c r="AQ1349" s="83"/>
      <c r="AR1349" s="83"/>
      <c r="AS1349" s="83"/>
      <c r="AT1349" s="83"/>
    </row>
    <row r="1350" spans="36:46" x14ac:dyDescent="0.3">
      <c r="AJ1350" s="83"/>
      <c r="AK1350" s="83"/>
      <c r="AL1350" s="83"/>
      <c r="AM1350" s="83"/>
      <c r="AN1350" s="83"/>
      <c r="AO1350" s="83"/>
      <c r="AP1350" s="83"/>
      <c r="AQ1350" s="83"/>
      <c r="AR1350" s="83"/>
      <c r="AS1350" s="83"/>
      <c r="AT1350" s="83"/>
    </row>
    <row r="1351" spans="36:46" x14ac:dyDescent="0.3">
      <c r="AJ1351" s="83"/>
      <c r="AK1351" s="83"/>
      <c r="AL1351" s="83"/>
      <c r="AM1351" s="83"/>
      <c r="AN1351" s="83"/>
      <c r="AO1351" s="83"/>
      <c r="AP1351" s="83"/>
      <c r="AQ1351" s="83"/>
      <c r="AR1351" s="83"/>
      <c r="AS1351" s="83"/>
      <c r="AT1351" s="83"/>
    </row>
    <row r="1352" spans="36:46" x14ac:dyDescent="0.3">
      <c r="AJ1352" s="83"/>
      <c r="AK1352" s="83"/>
      <c r="AL1352" s="83"/>
      <c r="AM1352" s="83"/>
      <c r="AN1352" s="83"/>
      <c r="AO1352" s="83"/>
      <c r="AP1352" s="83"/>
      <c r="AQ1352" s="83"/>
      <c r="AR1352" s="83"/>
      <c r="AS1352" s="83"/>
      <c r="AT1352" s="83"/>
    </row>
    <row r="1353" spans="36:46" x14ac:dyDescent="0.3">
      <c r="AJ1353" s="83"/>
      <c r="AK1353" s="83"/>
      <c r="AL1353" s="83"/>
      <c r="AM1353" s="83"/>
      <c r="AN1353" s="83"/>
      <c r="AO1353" s="83"/>
      <c r="AP1353" s="83"/>
      <c r="AQ1353" s="83"/>
      <c r="AR1353" s="83"/>
      <c r="AS1353" s="83"/>
      <c r="AT1353" s="83"/>
    </row>
    <row r="1354" spans="36:46" x14ac:dyDescent="0.3">
      <c r="AJ1354" s="83"/>
      <c r="AK1354" s="83"/>
      <c r="AL1354" s="83"/>
      <c r="AM1354" s="83"/>
      <c r="AN1354" s="83"/>
      <c r="AO1354" s="83"/>
      <c r="AP1354" s="83"/>
      <c r="AQ1354" s="83"/>
      <c r="AR1354" s="83"/>
      <c r="AS1354" s="83"/>
      <c r="AT1354" s="83"/>
    </row>
    <row r="1355" spans="36:46" x14ac:dyDescent="0.3">
      <c r="AJ1355" s="83"/>
      <c r="AK1355" s="83"/>
      <c r="AL1355" s="83"/>
      <c r="AM1355" s="83"/>
      <c r="AN1355" s="83"/>
      <c r="AO1355" s="83"/>
      <c r="AP1355" s="83"/>
      <c r="AQ1355" s="83"/>
      <c r="AR1355" s="83"/>
      <c r="AS1355" s="83"/>
      <c r="AT1355" s="83"/>
    </row>
    <row r="1356" spans="36:46" x14ac:dyDescent="0.3">
      <c r="AJ1356" s="83"/>
      <c r="AK1356" s="83"/>
      <c r="AL1356" s="83"/>
      <c r="AM1356" s="83"/>
      <c r="AN1356" s="83"/>
      <c r="AO1356" s="83"/>
      <c r="AP1356" s="83"/>
      <c r="AQ1356" s="83"/>
      <c r="AR1356" s="83"/>
      <c r="AS1356" s="83"/>
      <c r="AT1356" s="83"/>
    </row>
    <row r="1357" spans="36:46" x14ac:dyDescent="0.3">
      <c r="AJ1357" s="83"/>
      <c r="AK1357" s="83"/>
      <c r="AL1357" s="83"/>
      <c r="AM1357" s="83"/>
      <c r="AN1357" s="83"/>
      <c r="AO1357" s="83"/>
      <c r="AP1357" s="83"/>
      <c r="AQ1357" s="83"/>
      <c r="AR1357" s="83"/>
      <c r="AS1357" s="83"/>
      <c r="AT1357" s="83"/>
    </row>
    <row r="1358" spans="36:46" x14ac:dyDescent="0.3">
      <c r="AJ1358" s="83"/>
      <c r="AK1358" s="83"/>
      <c r="AL1358" s="83"/>
      <c r="AM1358" s="83"/>
      <c r="AN1358" s="83"/>
      <c r="AO1358" s="83"/>
      <c r="AP1358" s="83"/>
      <c r="AQ1358" s="83"/>
      <c r="AR1358" s="83"/>
      <c r="AS1358" s="83"/>
      <c r="AT1358" s="83"/>
    </row>
    <row r="1359" spans="36:46" x14ac:dyDescent="0.3">
      <c r="AJ1359" s="83"/>
      <c r="AK1359" s="83"/>
      <c r="AL1359" s="83"/>
      <c r="AM1359" s="83"/>
      <c r="AN1359" s="83"/>
      <c r="AO1359" s="83"/>
      <c r="AP1359" s="83"/>
      <c r="AQ1359" s="83"/>
      <c r="AR1359" s="83"/>
      <c r="AS1359" s="83"/>
      <c r="AT1359" s="83"/>
    </row>
    <row r="1360" spans="36:46" x14ac:dyDescent="0.3">
      <c r="AJ1360" s="83"/>
      <c r="AK1360" s="83"/>
      <c r="AL1360" s="83"/>
      <c r="AM1360" s="83"/>
      <c r="AN1360" s="83"/>
      <c r="AO1360" s="83"/>
      <c r="AP1360" s="83"/>
      <c r="AQ1360" s="83"/>
      <c r="AR1360" s="83"/>
      <c r="AS1360" s="83"/>
      <c r="AT1360" s="83"/>
    </row>
    <row r="1361" spans="36:46" x14ac:dyDescent="0.3">
      <c r="AJ1361" s="83"/>
      <c r="AK1361" s="83"/>
      <c r="AL1361" s="83"/>
      <c r="AM1361" s="83"/>
      <c r="AN1361" s="83"/>
      <c r="AO1361" s="83"/>
      <c r="AP1361" s="83"/>
      <c r="AQ1361" s="83"/>
      <c r="AR1361" s="83"/>
      <c r="AS1361" s="83"/>
      <c r="AT1361" s="83"/>
    </row>
    <row r="1362" spans="36:46" x14ac:dyDescent="0.3">
      <c r="AJ1362" s="83"/>
      <c r="AK1362" s="83"/>
      <c r="AL1362" s="83"/>
      <c r="AM1362" s="83"/>
      <c r="AN1362" s="83"/>
      <c r="AO1362" s="83"/>
      <c r="AP1362" s="83"/>
      <c r="AQ1362" s="83"/>
      <c r="AR1362" s="83"/>
      <c r="AS1362" s="83"/>
      <c r="AT1362" s="83"/>
    </row>
    <row r="1363" spans="36:46" x14ac:dyDescent="0.3">
      <c r="AJ1363" s="83"/>
      <c r="AK1363" s="83"/>
      <c r="AL1363" s="83"/>
      <c r="AM1363" s="83"/>
      <c r="AN1363" s="83"/>
      <c r="AO1363" s="83"/>
      <c r="AP1363" s="83"/>
      <c r="AQ1363" s="83"/>
      <c r="AR1363" s="83"/>
      <c r="AS1363" s="83"/>
      <c r="AT1363" s="83"/>
    </row>
    <row r="1364" spans="36:46" x14ac:dyDescent="0.3">
      <c r="AJ1364" s="83"/>
      <c r="AK1364" s="83"/>
      <c r="AL1364" s="83"/>
      <c r="AM1364" s="83"/>
      <c r="AN1364" s="83"/>
      <c r="AO1364" s="83"/>
      <c r="AP1364" s="83"/>
      <c r="AQ1364" s="83"/>
      <c r="AR1364" s="83"/>
      <c r="AS1364" s="83"/>
      <c r="AT1364" s="83"/>
    </row>
    <row r="1365" spans="36:46" x14ac:dyDescent="0.3">
      <c r="AJ1365" s="83"/>
      <c r="AK1365" s="83"/>
      <c r="AL1365" s="83"/>
      <c r="AM1365" s="83"/>
      <c r="AN1365" s="83"/>
      <c r="AO1365" s="83"/>
      <c r="AP1365" s="83"/>
      <c r="AQ1365" s="83"/>
      <c r="AR1365" s="83"/>
      <c r="AS1365" s="83"/>
      <c r="AT1365" s="83"/>
    </row>
    <row r="1366" spans="36:46" x14ac:dyDescent="0.3">
      <c r="AJ1366" s="83"/>
      <c r="AK1366" s="83"/>
      <c r="AL1366" s="83"/>
      <c r="AM1366" s="83"/>
      <c r="AN1366" s="83"/>
      <c r="AO1366" s="83"/>
      <c r="AP1366" s="83"/>
      <c r="AQ1366" s="83"/>
      <c r="AR1366" s="83"/>
      <c r="AS1366" s="83"/>
      <c r="AT1366" s="83"/>
    </row>
    <row r="1367" spans="36:46" x14ac:dyDescent="0.3">
      <c r="AJ1367" s="83"/>
      <c r="AK1367" s="83"/>
      <c r="AL1367" s="83"/>
      <c r="AM1367" s="83"/>
      <c r="AN1367" s="83"/>
      <c r="AO1367" s="83"/>
      <c r="AP1367" s="83"/>
      <c r="AQ1367" s="83"/>
      <c r="AR1367" s="83"/>
      <c r="AS1367" s="83"/>
      <c r="AT1367" s="83"/>
    </row>
    <row r="1368" spans="36:46" x14ac:dyDescent="0.3">
      <c r="AJ1368" s="83"/>
      <c r="AK1368" s="83"/>
      <c r="AL1368" s="83"/>
      <c r="AM1368" s="83"/>
      <c r="AN1368" s="83"/>
      <c r="AO1368" s="83"/>
      <c r="AP1368" s="83"/>
      <c r="AQ1368" s="83"/>
      <c r="AR1368" s="83"/>
      <c r="AS1368" s="83"/>
      <c r="AT1368" s="83"/>
    </row>
    <row r="1369" spans="36:46" x14ac:dyDescent="0.3">
      <c r="AJ1369" s="83"/>
      <c r="AK1369" s="83"/>
      <c r="AL1369" s="83"/>
      <c r="AM1369" s="83"/>
      <c r="AN1369" s="83"/>
      <c r="AO1369" s="83"/>
      <c r="AP1369" s="83"/>
      <c r="AQ1369" s="83"/>
      <c r="AR1369" s="83"/>
      <c r="AS1369" s="83"/>
      <c r="AT1369" s="83"/>
    </row>
    <row r="1370" spans="36:46" x14ac:dyDescent="0.3">
      <c r="AJ1370" s="83"/>
      <c r="AK1370" s="83"/>
      <c r="AL1370" s="83"/>
      <c r="AM1370" s="83"/>
      <c r="AN1370" s="83"/>
      <c r="AO1370" s="83"/>
      <c r="AP1370" s="83"/>
      <c r="AQ1370" s="83"/>
      <c r="AR1370" s="83"/>
      <c r="AS1370" s="83"/>
      <c r="AT1370" s="83"/>
    </row>
    <row r="1371" spans="36:46" x14ac:dyDescent="0.3">
      <c r="AJ1371" s="83"/>
      <c r="AK1371" s="83"/>
      <c r="AL1371" s="83"/>
      <c r="AM1371" s="83"/>
      <c r="AN1371" s="83"/>
      <c r="AO1371" s="83"/>
      <c r="AP1371" s="83"/>
      <c r="AQ1371" s="83"/>
      <c r="AR1371" s="83"/>
      <c r="AS1371" s="83"/>
      <c r="AT1371" s="83"/>
    </row>
    <row r="1372" spans="36:46" x14ac:dyDescent="0.3">
      <c r="AJ1372" s="83"/>
      <c r="AK1372" s="83"/>
      <c r="AL1372" s="83"/>
      <c r="AM1372" s="83"/>
      <c r="AN1372" s="83"/>
      <c r="AO1372" s="83"/>
      <c r="AP1372" s="83"/>
      <c r="AQ1372" s="83"/>
      <c r="AR1372" s="83"/>
      <c r="AS1372" s="83"/>
      <c r="AT1372" s="83"/>
    </row>
    <row r="1373" spans="36:46" x14ac:dyDescent="0.3">
      <c r="AJ1373" s="83"/>
      <c r="AK1373" s="83"/>
      <c r="AL1373" s="83"/>
      <c r="AM1373" s="83"/>
      <c r="AN1373" s="83"/>
      <c r="AO1373" s="83"/>
      <c r="AP1373" s="83"/>
      <c r="AQ1373" s="83"/>
      <c r="AR1373" s="83"/>
      <c r="AS1373" s="83"/>
      <c r="AT1373" s="83"/>
    </row>
    <row r="1374" spans="36:46" x14ac:dyDescent="0.3">
      <c r="AJ1374" s="83"/>
      <c r="AK1374" s="83"/>
      <c r="AL1374" s="83"/>
      <c r="AM1374" s="83"/>
      <c r="AN1374" s="83"/>
      <c r="AO1374" s="83"/>
      <c r="AP1374" s="83"/>
      <c r="AQ1374" s="83"/>
      <c r="AR1374" s="83"/>
      <c r="AS1374" s="83"/>
      <c r="AT1374" s="83"/>
    </row>
    <row r="1375" spans="36:46" x14ac:dyDescent="0.3">
      <c r="AJ1375" s="83"/>
      <c r="AK1375" s="83"/>
      <c r="AL1375" s="83"/>
      <c r="AM1375" s="83"/>
      <c r="AN1375" s="83"/>
      <c r="AO1375" s="83"/>
      <c r="AP1375" s="83"/>
      <c r="AQ1375" s="83"/>
      <c r="AR1375" s="83"/>
      <c r="AS1375" s="83"/>
      <c r="AT1375" s="83"/>
    </row>
    <row r="1376" spans="36:46" x14ac:dyDescent="0.3">
      <c r="AJ1376" s="83"/>
      <c r="AK1376" s="83"/>
      <c r="AL1376" s="83"/>
      <c r="AM1376" s="83"/>
      <c r="AN1376" s="83"/>
      <c r="AO1376" s="83"/>
      <c r="AP1376" s="83"/>
      <c r="AQ1376" s="83"/>
      <c r="AR1376" s="83"/>
      <c r="AS1376" s="83"/>
      <c r="AT1376" s="83"/>
    </row>
    <row r="1377" spans="36:46" x14ac:dyDescent="0.3">
      <c r="AJ1377" s="83"/>
      <c r="AK1377" s="83"/>
      <c r="AL1377" s="83"/>
      <c r="AM1377" s="83"/>
      <c r="AN1377" s="83"/>
      <c r="AO1377" s="83"/>
      <c r="AP1377" s="83"/>
      <c r="AQ1377" s="83"/>
      <c r="AR1377" s="83"/>
      <c r="AS1377" s="83"/>
      <c r="AT1377" s="83"/>
    </row>
    <row r="1378" spans="36:46" x14ac:dyDescent="0.3">
      <c r="AJ1378" s="83"/>
      <c r="AK1378" s="83"/>
      <c r="AL1378" s="83"/>
      <c r="AM1378" s="83"/>
      <c r="AN1378" s="83"/>
      <c r="AO1378" s="83"/>
      <c r="AP1378" s="83"/>
      <c r="AQ1378" s="83"/>
      <c r="AR1378" s="83"/>
      <c r="AS1378" s="83"/>
      <c r="AT1378" s="83"/>
    </row>
    <row r="1379" spans="36:46" x14ac:dyDescent="0.3">
      <c r="AJ1379" s="83"/>
      <c r="AK1379" s="83"/>
      <c r="AL1379" s="83"/>
      <c r="AM1379" s="83"/>
      <c r="AN1379" s="83"/>
      <c r="AO1379" s="83"/>
      <c r="AP1379" s="83"/>
      <c r="AQ1379" s="83"/>
      <c r="AR1379" s="83"/>
      <c r="AS1379" s="83"/>
      <c r="AT1379" s="83"/>
    </row>
    <row r="1380" spans="36:46" x14ac:dyDescent="0.3">
      <c r="AJ1380" s="83"/>
      <c r="AK1380" s="83"/>
      <c r="AL1380" s="83"/>
      <c r="AM1380" s="83"/>
      <c r="AN1380" s="83"/>
      <c r="AO1380" s="83"/>
      <c r="AP1380" s="83"/>
      <c r="AQ1380" s="83"/>
      <c r="AR1380" s="83"/>
      <c r="AS1380" s="83"/>
      <c r="AT1380" s="83"/>
    </row>
    <row r="1381" spans="36:46" x14ac:dyDescent="0.3">
      <c r="AJ1381" s="83"/>
      <c r="AK1381" s="83"/>
      <c r="AL1381" s="83"/>
      <c r="AM1381" s="83"/>
      <c r="AN1381" s="83"/>
      <c r="AO1381" s="83"/>
      <c r="AP1381" s="83"/>
      <c r="AQ1381" s="83"/>
      <c r="AR1381" s="83"/>
      <c r="AS1381" s="83"/>
      <c r="AT1381" s="83"/>
    </row>
    <row r="1382" spans="36:46" x14ac:dyDescent="0.3">
      <c r="AJ1382" s="83"/>
      <c r="AK1382" s="83"/>
      <c r="AL1382" s="83"/>
      <c r="AM1382" s="83"/>
      <c r="AN1382" s="83"/>
      <c r="AO1382" s="83"/>
      <c r="AP1382" s="83"/>
      <c r="AQ1382" s="83"/>
      <c r="AR1382" s="83"/>
      <c r="AS1382" s="83"/>
      <c r="AT1382" s="83"/>
    </row>
    <row r="1383" spans="36:46" x14ac:dyDescent="0.3">
      <c r="AJ1383" s="83"/>
      <c r="AK1383" s="83"/>
      <c r="AL1383" s="83"/>
      <c r="AM1383" s="83"/>
      <c r="AN1383" s="83"/>
      <c r="AO1383" s="83"/>
      <c r="AP1383" s="83"/>
      <c r="AQ1383" s="83"/>
      <c r="AR1383" s="83"/>
      <c r="AS1383" s="83"/>
      <c r="AT1383" s="83"/>
    </row>
    <row r="1384" spans="36:46" x14ac:dyDescent="0.3">
      <c r="AJ1384" s="83"/>
      <c r="AK1384" s="83"/>
      <c r="AL1384" s="83"/>
      <c r="AM1384" s="83"/>
      <c r="AN1384" s="83"/>
      <c r="AO1384" s="83"/>
      <c r="AP1384" s="83"/>
      <c r="AQ1384" s="83"/>
      <c r="AR1384" s="83"/>
      <c r="AS1384" s="83"/>
      <c r="AT1384" s="83"/>
    </row>
    <row r="1385" spans="36:46" x14ac:dyDescent="0.3">
      <c r="AJ1385" s="83"/>
      <c r="AK1385" s="83"/>
      <c r="AL1385" s="83"/>
      <c r="AM1385" s="83"/>
      <c r="AN1385" s="83"/>
      <c r="AO1385" s="83"/>
      <c r="AP1385" s="83"/>
      <c r="AQ1385" s="83"/>
      <c r="AR1385" s="83"/>
      <c r="AS1385" s="83"/>
      <c r="AT1385" s="83"/>
    </row>
    <row r="1386" spans="36:46" x14ac:dyDescent="0.3">
      <c r="AJ1386" s="83"/>
      <c r="AK1386" s="83"/>
      <c r="AL1386" s="83"/>
      <c r="AM1386" s="83"/>
      <c r="AN1386" s="83"/>
      <c r="AO1386" s="83"/>
      <c r="AP1386" s="83"/>
      <c r="AQ1386" s="83"/>
      <c r="AR1386" s="83"/>
      <c r="AS1386" s="83"/>
      <c r="AT1386" s="83"/>
    </row>
    <row r="1387" spans="36:46" x14ac:dyDescent="0.3">
      <c r="AJ1387" s="83"/>
      <c r="AK1387" s="83"/>
      <c r="AL1387" s="83"/>
      <c r="AM1387" s="83"/>
      <c r="AN1387" s="83"/>
      <c r="AO1387" s="83"/>
      <c r="AP1387" s="83"/>
      <c r="AQ1387" s="83"/>
      <c r="AR1387" s="83"/>
      <c r="AS1387" s="83"/>
      <c r="AT1387" s="83"/>
    </row>
    <row r="1388" spans="36:46" x14ac:dyDescent="0.3">
      <c r="AJ1388" s="83"/>
      <c r="AK1388" s="83"/>
      <c r="AL1388" s="83"/>
      <c r="AM1388" s="83"/>
      <c r="AN1388" s="83"/>
      <c r="AO1388" s="83"/>
      <c r="AP1388" s="83"/>
      <c r="AQ1388" s="83"/>
      <c r="AR1388" s="83"/>
      <c r="AS1388" s="83"/>
      <c r="AT1388" s="83"/>
    </row>
    <row r="1389" spans="36:46" x14ac:dyDescent="0.3">
      <c r="AJ1389" s="83"/>
      <c r="AK1389" s="83"/>
      <c r="AL1389" s="83"/>
      <c r="AM1389" s="83"/>
      <c r="AN1389" s="83"/>
      <c r="AO1389" s="83"/>
      <c r="AP1389" s="83"/>
      <c r="AQ1389" s="83"/>
      <c r="AR1389" s="83"/>
      <c r="AS1389" s="83"/>
      <c r="AT1389" s="83"/>
    </row>
    <row r="1390" spans="36:46" x14ac:dyDescent="0.3">
      <c r="AJ1390" s="83"/>
      <c r="AK1390" s="83"/>
      <c r="AL1390" s="83"/>
      <c r="AM1390" s="83"/>
      <c r="AN1390" s="83"/>
      <c r="AO1390" s="83"/>
      <c r="AP1390" s="83"/>
      <c r="AQ1390" s="83"/>
      <c r="AR1390" s="83"/>
      <c r="AS1390" s="83"/>
      <c r="AT1390" s="83"/>
    </row>
    <row r="1391" spans="36:46" x14ac:dyDescent="0.3">
      <c r="AJ1391" s="83"/>
      <c r="AK1391" s="83"/>
      <c r="AL1391" s="83"/>
      <c r="AM1391" s="83"/>
      <c r="AN1391" s="83"/>
      <c r="AO1391" s="83"/>
      <c r="AP1391" s="83"/>
      <c r="AQ1391" s="83"/>
      <c r="AR1391" s="83"/>
      <c r="AS1391" s="83"/>
      <c r="AT1391" s="83"/>
    </row>
    <row r="1392" spans="36:46" x14ac:dyDescent="0.3">
      <c r="AJ1392" s="83"/>
      <c r="AK1392" s="83"/>
      <c r="AL1392" s="83"/>
      <c r="AM1392" s="83"/>
      <c r="AN1392" s="83"/>
      <c r="AO1392" s="83"/>
      <c r="AP1392" s="83"/>
      <c r="AQ1392" s="83"/>
      <c r="AR1392" s="83"/>
      <c r="AS1392" s="83"/>
      <c r="AT1392" s="83"/>
    </row>
    <row r="1393" spans="36:46" x14ac:dyDescent="0.3">
      <c r="AJ1393" s="83"/>
      <c r="AK1393" s="83"/>
      <c r="AL1393" s="83"/>
      <c r="AM1393" s="83"/>
      <c r="AN1393" s="83"/>
      <c r="AO1393" s="83"/>
      <c r="AP1393" s="83"/>
      <c r="AQ1393" s="83"/>
      <c r="AR1393" s="83"/>
      <c r="AS1393" s="83"/>
      <c r="AT1393" s="83"/>
    </row>
    <row r="1394" spans="36:46" x14ac:dyDescent="0.3">
      <c r="AJ1394" s="83"/>
      <c r="AK1394" s="83"/>
      <c r="AL1394" s="83"/>
      <c r="AM1394" s="83"/>
      <c r="AN1394" s="83"/>
      <c r="AO1394" s="83"/>
      <c r="AP1394" s="83"/>
      <c r="AQ1394" s="83"/>
      <c r="AR1394" s="83"/>
      <c r="AS1394" s="83"/>
      <c r="AT1394" s="83"/>
    </row>
    <row r="1395" spans="36:46" x14ac:dyDescent="0.3">
      <c r="AJ1395" s="83"/>
      <c r="AK1395" s="83"/>
      <c r="AL1395" s="83"/>
      <c r="AM1395" s="83"/>
      <c r="AN1395" s="83"/>
      <c r="AO1395" s="83"/>
      <c r="AP1395" s="83"/>
      <c r="AQ1395" s="83"/>
      <c r="AR1395" s="83"/>
      <c r="AS1395" s="83"/>
      <c r="AT1395" s="83"/>
    </row>
    <row r="1396" spans="36:46" x14ac:dyDescent="0.3">
      <c r="AJ1396" s="83"/>
      <c r="AK1396" s="83"/>
      <c r="AL1396" s="83"/>
      <c r="AM1396" s="83"/>
      <c r="AN1396" s="83"/>
      <c r="AO1396" s="83"/>
      <c r="AP1396" s="83"/>
      <c r="AQ1396" s="83"/>
      <c r="AR1396" s="83"/>
      <c r="AS1396" s="83"/>
      <c r="AT1396" s="83"/>
    </row>
    <row r="1397" spans="36:46" x14ac:dyDescent="0.3">
      <c r="AJ1397" s="83"/>
      <c r="AK1397" s="83"/>
      <c r="AL1397" s="83"/>
      <c r="AM1397" s="83"/>
      <c r="AN1397" s="83"/>
      <c r="AO1397" s="83"/>
      <c r="AP1397" s="83"/>
      <c r="AQ1397" s="83"/>
      <c r="AR1397" s="83"/>
      <c r="AS1397" s="83"/>
      <c r="AT1397" s="83"/>
    </row>
    <row r="1398" spans="36:46" x14ac:dyDescent="0.3">
      <c r="AJ1398" s="83"/>
      <c r="AK1398" s="83"/>
      <c r="AL1398" s="83"/>
      <c r="AM1398" s="83"/>
      <c r="AN1398" s="83"/>
      <c r="AO1398" s="83"/>
      <c r="AP1398" s="83"/>
      <c r="AQ1398" s="83"/>
      <c r="AR1398" s="83"/>
      <c r="AS1398" s="83"/>
      <c r="AT1398" s="83"/>
    </row>
    <row r="1399" spans="36:46" x14ac:dyDescent="0.3">
      <c r="AJ1399" s="83"/>
      <c r="AK1399" s="83"/>
      <c r="AL1399" s="83"/>
      <c r="AM1399" s="83"/>
      <c r="AN1399" s="83"/>
      <c r="AO1399" s="83"/>
      <c r="AP1399" s="83"/>
      <c r="AQ1399" s="83"/>
      <c r="AR1399" s="83"/>
      <c r="AS1399" s="83"/>
      <c r="AT1399" s="83"/>
    </row>
    <row r="1400" spans="36:46" x14ac:dyDescent="0.3">
      <c r="AJ1400" s="83"/>
      <c r="AK1400" s="83"/>
      <c r="AL1400" s="83"/>
      <c r="AM1400" s="83"/>
      <c r="AN1400" s="83"/>
      <c r="AO1400" s="83"/>
      <c r="AP1400" s="83"/>
      <c r="AQ1400" s="83"/>
      <c r="AR1400" s="83"/>
      <c r="AS1400" s="83"/>
      <c r="AT1400" s="83"/>
    </row>
    <row r="1401" spans="36:46" x14ac:dyDescent="0.3">
      <c r="AJ1401" s="83"/>
      <c r="AK1401" s="83"/>
      <c r="AL1401" s="83"/>
      <c r="AM1401" s="83"/>
      <c r="AN1401" s="83"/>
      <c r="AO1401" s="83"/>
      <c r="AP1401" s="83"/>
      <c r="AQ1401" s="83"/>
      <c r="AR1401" s="83"/>
      <c r="AS1401" s="83"/>
      <c r="AT1401" s="83"/>
    </row>
    <row r="1402" spans="36:46" x14ac:dyDescent="0.3">
      <c r="AJ1402" s="83"/>
      <c r="AK1402" s="83"/>
      <c r="AL1402" s="83"/>
      <c r="AM1402" s="83"/>
      <c r="AN1402" s="83"/>
      <c r="AO1402" s="83"/>
      <c r="AP1402" s="83"/>
      <c r="AQ1402" s="83"/>
      <c r="AR1402" s="83"/>
      <c r="AS1402" s="83"/>
      <c r="AT1402" s="83"/>
    </row>
    <row r="1403" spans="36:46" x14ac:dyDescent="0.3">
      <c r="AJ1403" s="83"/>
      <c r="AK1403" s="83"/>
      <c r="AL1403" s="83"/>
      <c r="AM1403" s="83"/>
      <c r="AN1403" s="83"/>
      <c r="AO1403" s="83"/>
      <c r="AP1403" s="83"/>
      <c r="AQ1403" s="83"/>
      <c r="AR1403" s="83"/>
      <c r="AS1403" s="83"/>
      <c r="AT1403" s="83"/>
    </row>
    <row r="1404" spans="36:46" x14ac:dyDescent="0.3">
      <c r="AJ1404" s="83"/>
      <c r="AK1404" s="83"/>
      <c r="AL1404" s="83"/>
      <c r="AM1404" s="83"/>
      <c r="AN1404" s="83"/>
      <c r="AO1404" s="83"/>
      <c r="AP1404" s="83"/>
      <c r="AQ1404" s="83"/>
      <c r="AR1404" s="83"/>
      <c r="AS1404" s="83"/>
      <c r="AT1404" s="83"/>
    </row>
    <row r="1405" spans="36:46" x14ac:dyDescent="0.3">
      <c r="AJ1405" s="83"/>
      <c r="AK1405" s="83"/>
      <c r="AL1405" s="83"/>
      <c r="AM1405" s="83"/>
      <c r="AN1405" s="83"/>
      <c r="AO1405" s="83"/>
      <c r="AP1405" s="83"/>
      <c r="AQ1405" s="83"/>
      <c r="AR1405" s="83"/>
      <c r="AS1405" s="83"/>
      <c r="AT1405" s="83"/>
    </row>
    <row r="1406" spans="36:46" x14ac:dyDescent="0.3">
      <c r="AJ1406" s="83"/>
      <c r="AK1406" s="83"/>
      <c r="AL1406" s="83"/>
      <c r="AM1406" s="83"/>
      <c r="AN1406" s="83"/>
      <c r="AO1406" s="83"/>
      <c r="AP1406" s="83"/>
      <c r="AQ1406" s="83"/>
      <c r="AR1406" s="83"/>
      <c r="AS1406" s="83"/>
      <c r="AT1406" s="83"/>
    </row>
    <row r="1407" spans="36:46" x14ac:dyDescent="0.3">
      <c r="AJ1407" s="83"/>
      <c r="AK1407" s="83"/>
      <c r="AL1407" s="83"/>
      <c r="AM1407" s="83"/>
      <c r="AN1407" s="83"/>
      <c r="AO1407" s="83"/>
      <c r="AP1407" s="83"/>
      <c r="AQ1407" s="83"/>
      <c r="AR1407" s="83"/>
      <c r="AS1407" s="83"/>
      <c r="AT1407" s="83"/>
    </row>
    <row r="1408" spans="36:46" x14ac:dyDescent="0.3">
      <c r="AJ1408" s="83"/>
      <c r="AK1408" s="83"/>
      <c r="AL1408" s="83"/>
      <c r="AM1408" s="83"/>
      <c r="AN1408" s="83"/>
      <c r="AO1408" s="83"/>
      <c r="AP1408" s="83"/>
      <c r="AQ1408" s="83"/>
      <c r="AR1408" s="83"/>
      <c r="AS1408" s="83"/>
      <c r="AT1408" s="83"/>
    </row>
    <row r="1409" spans="36:46" x14ac:dyDescent="0.3">
      <c r="AJ1409" s="83"/>
      <c r="AK1409" s="83"/>
      <c r="AL1409" s="83"/>
      <c r="AM1409" s="83"/>
      <c r="AN1409" s="83"/>
      <c r="AO1409" s="83"/>
      <c r="AP1409" s="83"/>
      <c r="AQ1409" s="83"/>
      <c r="AR1409" s="83"/>
      <c r="AS1409" s="83"/>
      <c r="AT1409" s="83"/>
    </row>
    <row r="1410" spans="36:46" x14ac:dyDescent="0.3">
      <c r="AJ1410" s="83"/>
      <c r="AK1410" s="83"/>
      <c r="AL1410" s="83"/>
      <c r="AM1410" s="83"/>
      <c r="AN1410" s="83"/>
      <c r="AO1410" s="83"/>
      <c r="AP1410" s="83"/>
      <c r="AQ1410" s="83"/>
      <c r="AR1410" s="83"/>
      <c r="AS1410" s="83"/>
      <c r="AT1410" s="83"/>
    </row>
    <row r="1411" spans="36:46" x14ac:dyDescent="0.3">
      <c r="AJ1411" s="83"/>
      <c r="AK1411" s="83"/>
      <c r="AL1411" s="83"/>
      <c r="AM1411" s="83"/>
      <c r="AN1411" s="83"/>
      <c r="AO1411" s="83"/>
      <c r="AP1411" s="83"/>
      <c r="AQ1411" s="83"/>
      <c r="AR1411" s="83"/>
      <c r="AS1411" s="83"/>
      <c r="AT1411" s="83"/>
    </row>
    <row r="1412" spans="36:46" x14ac:dyDescent="0.3">
      <c r="AJ1412" s="83"/>
      <c r="AK1412" s="83"/>
      <c r="AL1412" s="83"/>
      <c r="AM1412" s="83"/>
      <c r="AN1412" s="83"/>
      <c r="AO1412" s="83"/>
      <c r="AP1412" s="83"/>
      <c r="AQ1412" s="83"/>
      <c r="AR1412" s="83"/>
      <c r="AS1412" s="83"/>
      <c r="AT1412" s="83"/>
    </row>
    <row r="1413" spans="36:46" x14ac:dyDescent="0.3">
      <c r="AJ1413" s="83"/>
      <c r="AK1413" s="83"/>
      <c r="AL1413" s="83"/>
      <c r="AM1413" s="83"/>
      <c r="AN1413" s="83"/>
      <c r="AO1413" s="83"/>
      <c r="AP1413" s="83"/>
      <c r="AQ1413" s="83"/>
      <c r="AR1413" s="83"/>
      <c r="AS1413" s="83"/>
      <c r="AT1413" s="83"/>
    </row>
    <row r="1414" spans="36:46" x14ac:dyDescent="0.3">
      <c r="AJ1414" s="83"/>
      <c r="AK1414" s="83"/>
      <c r="AL1414" s="83"/>
      <c r="AM1414" s="83"/>
      <c r="AN1414" s="83"/>
      <c r="AO1414" s="83"/>
      <c r="AP1414" s="83"/>
      <c r="AQ1414" s="83"/>
      <c r="AR1414" s="83"/>
      <c r="AS1414" s="83"/>
      <c r="AT1414" s="83"/>
    </row>
    <row r="1415" spans="36:46" x14ac:dyDescent="0.3">
      <c r="AJ1415" s="83"/>
      <c r="AK1415" s="83"/>
      <c r="AL1415" s="83"/>
      <c r="AM1415" s="83"/>
      <c r="AN1415" s="83"/>
      <c r="AO1415" s="83"/>
      <c r="AP1415" s="83"/>
      <c r="AQ1415" s="83"/>
      <c r="AR1415" s="83"/>
      <c r="AS1415" s="83"/>
      <c r="AT1415" s="83"/>
    </row>
    <row r="1416" spans="36:46" x14ac:dyDescent="0.3">
      <c r="AJ1416" s="83"/>
      <c r="AK1416" s="83"/>
      <c r="AL1416" s="83"/>
      <c r="AM1416" s="83"/>
      <c r="AN1416" s="83"/>
      <c r="AO1416" s="83"/>
      <c r="AP1416" s="83"/>
      <c r="AQ1416" s="83"/>
      <c r="AR1416" s="83"/>
      <c r="AS1416" s="83"/>
      <c r="AT1416" s="83"/>
    </row>
    <row r="1417" spans="36:46" x14ac:dyDescent="0.3">
      <c r="AJ1417" s="83"/>
      <c r="AK1417" s="83"/>
      <c r="AL1417" s="83"/>
      <c r="AM1417" s="83"/>
      <c r="AN1417" s="83"/>
      <c r="AO1417" s="83"/>
      <c r="AP1417" s="83"/>
      <c r="AQ1417" s="83"/>
      <c r="AR1417" s="83"/>
      <c r="AS1417" s="83"/>
      <c r="AT1417" s="83"/>
    </row>
    <row r="1418" spans="36:46" x14ac:dyDescent="0.3">
      <c r="AJ1418" s="83"/>
      <c r="AK1418" s="83"/>
      <c r="AL1418" s="83"/>
      <c r="AM1418" s="83"/>
      <c r="AN1418" s="83"/>
      <c r="AO1418" s="83"/>
      <c r="AP1418" s="83"/>
      <c r="AQ1418" s="83"/>
      <c r="AR1418" s="83"/>
      <c r="AS1418" s="83"/>
      <c r="AT1418" s="83"/>
    </row>
    <row r="1419" spans="36:46" x14ac:dyDescent="0.3">
      <c r="AJ1419" s="83"/>
      <c r="AK1419" s="83"/>
      <c r="AL1419" s="83"/>
      <c r="AM1419" s="83"/>
      <c r="AN1419" s="83"/>
      <c r="AO1419" s="83"/>
      <c r="AP1419" s="83"/>
      <c r="AQ1419" s="83"/>
      <c r="AR1419" s="83"/>
      <c r="AS1419" s="83"/>
      <c r="AT1419" s="83"/>
    </row>
    <row r="1420" spans="36:46" x14ac:dyDescent="0.3">
      <c r="AJ1420" s="83"/>
      <c r="AK1420" s="83"/>
      <c r="AL1420" s="83"/>
      <c r="AM1420" s="83"/>
      <c r="AN1420" s="83"/>
      <c r="AO1420" s="83"/>
      <c r="AP1420" s="83"/>
      <c r="AQ1420" s="83"/>
      <c r="AR1420" s="83"/>
      <c r="AS1420" s="83"/>
      <c r="AT1420" s="83"/>
    </row>
    <row r="1421" spans="36:46" x14ac:dyDescent="0.3">
      <c r="AJ1421" s="83"/>
      <c r="AK1421" s="83"/>
      <c r="AL1421" s="83"/>
      <c r="AM1421" s="83"/>
      <c r="AN1421" s="83"/>
      <c r="AO1421" s="83"/>
      <c r="AP1421" s="83"/>
      <c r="AQ1421" s="83"/>
      <c r="AR1421" s="83"/>
      <c r="AS1421" s="83"/>
      <c r="AT1421" s="83"/>
    </row>
    <row r="1422" spans="36:46" x14ac:dyDescent="0.3">
      <c r="AJ1422" s="83"/>
      <c r="AK1422" s="83"/>
      <c r="AL1422" s="83"/>
      <c r="AM1422" s="83"/>
      <c r="AN1422" s="83"/>
      <c r="AO1422" s="83"/>
      <c r="AP1422" s="83"/>
      <c r="AQ1422" s="83"/>
      <c r="AR1422" s="83"/>
      <c r="AS1422" s="83"/>
      <c r="AT1422" s="83"/>
    </row>
    <row r="1423" spans="36:46" x14ac:dyDescent="0.3">
      <c r="AJ1423" s="83"/>
      <c r="AK1423" s="83"/>
      <c r="AL1423" s="83"/>
      <c r="AM1423" s="83"/>
      <c r="AN1423" s="83"/>
      <c r="AO1423" s="83"/>
      <c r="AP1423" s="83"/>
      <c r="AQ1423" s="83"/>
      <c r="AR1423" s="83"/>
      <c r="AS1423" s="83"/>
      <c r="AT1423" s="83"/>
    </row>
    <row r="1424" spans="36:46" x14ac:dyDescent="0.3">
      <c r="AJ1424" s="83"/>
      <c r="AK1424" s="83"/>
      <c r="AL1424" s="83"/>
      <c r="AM1424" s="83"/>
      <c r="AN1424" s="83"/>
      <c r="AO1424" s="83"/>
      <c r="AP1424" s="83"/>
      <c r="AQ1424" s="83"/>
      <c r="AR1424" s="83"/>
      <c r="AS1424" s="83"/>
      <c r="AT1424" s="83"/>
    </row>
    <row r="1425" spans="36:46" x14ac:dyDescent="0.3">
      <c r="AJ1425" s="83"/>
      <c r="AK1425" s="83"/>
      <c r="AL1425" s="83"/>
      <c r="AM1425" s="83"/>
      <c r="AN1425" s="83"/>
      <c r="AO1425" s="83"/>
      <c r="AP1425" s="83"/>
      <c r="AQ1425" s="83"/>
      <c r="AR1425" s="83"/>
      <c r="AS1425" s="83"/>
      <c r="AT1425" s="83"/>
    </row>
    <row r="1426" spans="36:46" x14ac:dyDescent="0.3">
      <c r="AJ1426" s="83"/>
      <c r="AK1426" s="83"/>
      <c r="AL1426" s="83"/>
      <c r="AM1426" s="83"/>
      <c r="AN1426" s="83"/>
      <c r="AO1426" s="83"/>
      <c r="AP1426" s="83"/>
      <c r="AQ1426" s="83"/>
      <c r="AR1426" s="83"/>
      <c r="AS1426" s="83"/>
      <c r="AT1426" s="83"/>
    </row>
    <row r="1427" spans="36:46" x14ac:dyDescent="0.3">
      <c r="AJ1427" s="83"/>
      <c r="AK1427" s="83"/>
      <c r="AL1427" s="83"/>
      <c r="AM1427" s="83"/>
      <c r="AN1427" s="83"/>
      <c r="AO1427" s="83"/>
      <c r="AP1427" s="83"/>
      <c r="AQ1427" s="83"/>
      <c r="AR1427" s="83"/>
      <c r="AS1427" s="83"/>
      <c r="AT1427" s="83"/>
    </row>
    <row r="1428" spans="36:46" x14ac:dyDescent="0.3">
      <c r="AJ1428" s="83"/>
      <c r="AK1428" s="83"/>
      <c r="AL1428" s="83"/>
      <c r="AM1428" s="83"/>
      <c r="AN1428" s="83"/>
      <c r="AO1428" s="83"/>
      <c r="AP1428" s="83"/>
      <c r="AQ1428" s="83"/>
      <c r="AR1428" s="83"/>
      <c r="AS1428" s="83"/>
      <c r="AT1428" s="83"/>
    </row>
    <row r="1429" spans="36:46" x14ac:dyDescent="0.3">
      <c r="AJ1429" s="83"/>
      <c r="AK1429" s="83"/>
      <c r="AL1429" s="83"/>
      <c r="AM1429" s="83"/>
      <c r="AN1429" s="83"/>
      <c r="AO1429" s="83"/>
      <c r="AP1429" s="83"/>
      <c r="AQ1429" s="83"/>
      <c r="AR1429" s="83"/>
      <c r="AS1429" s="83"/>
      <c r="AT1429" s="83"/>
    </row>
    <row r="1430" spans="36:46" x14ac:dyDescent="0.3">
      <c r="AJ1430" s="83"/>
      <c r="AK1430" s="83"/>
      <c r="AL1430" s="83"/>
      <c r="AM1430" s="83"/>
      <c r="AN1430" s="83"/>
      <c r="AO1430" s="83"/>
      <c r="AP1430" s="83"/>
      <c r="AQ1430" s="83"/>
      <c r="AR1430" s="83"/>
      <c r="AS1430" s="83"/>
      <c r="AT1430" s="83"/>
    </row>
    <row r="1431" spans="36:46" x14ac:dyDescent="0.3">
      <c r="AJ1431" s="83"/>
      <c r="AK1431" s="83"/>
      <c r="AL1431" s="83"/>
      <c r="AM1431" s="83"/>
      <c r="AN1431" s="83"/>
      <c r="AO1431" s="83"/>
      <c r="AP1431" s="83"/>
      <c r="AQ1431" s="83"/>
      <c r="AR1431" s="83"/>
      <c r="AS1431" s="83"/>
      <c r="AT1431" s="83"/>
    </row>
    <row r="1432" spans="36:46" x14ac:dyDescent="0.3">
      <c r="AJ1432" s="83"/>
      <c r="AK1432" s="83"/>
      <c r="AL1432" s="83"/>
      <c r="AM1432" s="83"/>
      <c r="AN1432" s="83"/>
      <c r="AO1432" s="83"/>
      <c r="AP1432" s="83"/>
      <c r="AQ1432" s="83"/>
      <c r="AR1432" s="83"/>
      <c r="AS1432" s="83"/>
      <c r="AT1432" s="83"/>
    </row>
    <row r="1433" spans="36:46" x14ac:dyDescent="0.3">
      <c r="AJ1433" s="83"/>
      <c r="AK1433" s="83"/>
      <c r="AL1433" s="83"/>
      <c r="AM1433" s="83"/>
      <c r="AN1433" s="83"/>
      <c r="AO1433" s="83"/>
      <c r="AP1433" s="83"/>
      <c r="AQ1433" s="83"/>
      <c r="AR1433" s="83"/>
      <c r="AS1433" s="83"/>
      <c r="AT1433" s="83"/>
    </row>
    <row r="1434" spans="36:46" x14ac:dyDescent="0.3">
      <c r="AJ1434" s="83"/>
      <c r="AK1434" s="83"/>
      <c r="AL1434" s="83"/>
      <c r="AM1434" s="83"/>
      <c r="AN1434" s="83"/>
      <c r="AO1434" s="83"/>
      <c r="AP1434" s="83"/>
      <c r="AQ1434" s="83"/>
      <c r="AR1434" s="83"/>
      <c r="AS1434" s="83"/>
      <c r="AT1434" s="83"/>
    </row>
    <row r="1435" spans="36:46" x14ac:dyDescent="0.3">
      <c r="AJ1435" s="83"/>
      <c r="AK1435" s="83"/>
      <c r="AL1435" s="83"/>
      <c r="AM1435" s="83"/>
      <c r="AN1435" s="83"/>
      <c r="AO1435" s="83"/>
      <c r="AP1435" s="83"/>
      <c r="AQ1435" s="83"/>
      <c r="AR1435" s="83"/>
      <c r="AS1435" s="83"/>
      <c r="AT1435" s="83"/>
    </row>
    <row r="1436" spans="36:46" x14ac:dyDescent="0.3">
      <c r="AJ1436" s="83"/>
      <c r="AK1436" s="83"/>
      <c r="AL1436" s="83"/>
      <c r="AM1436" s="83"/>
      <c r="AN1436" s="83"/>
      <c r="AO1436" s="83"/>
      <c r="AP1436" s="83"/>
      <c r="AQ1436" s="83"/>
      <c r="AR1436" s="83"/>
      <c r="AS1436" s="83"/>
      <c r="AT1436" s="83"/>
    </row>
    <row r="1437" spans="36:46" x14ac:dyDescent="0.3">
      <c r="AJ1437" s="83"/>
      <c r="AK1437" s="83"/>
      <c r="AL1437" s="83"/>
      <c r="AM1437" s="83"/>
      <c r="AN1437" s="83"/>
      <c r="AO1437" s="83"/>
      <c r="AP1437" s="83"/>
      <c r="AQ1437" s="83"/>
      <c r="AR1437" s="83"/>
      <c r="AS1437" s="83"/>
      <c r="AT1437" s="83"/>
    </row>
    <row r="1438" spans="36:46" x14ac:dyDescent="0.3">
      <c r="AJ1438" s="83"/>
      <c r="AK1438" s="83"/>
      <c r="AL1438" s="83"/>
      <c r="AM1438" s="83"/>
      <c r="AN1438" s="83"/>
      <c r="AO1438" s="83"/>
      <c r="AP1438" s="83"/>
      <c r="AQ1438" s="83"/>
      <c r="AR1438" s="83"/>
      <c r="AS1438" s="83"/>
      <c r="AT1438" s="83"/>
    </row>
    <row r="1439" spans="36:46" x14ac:dyDescent="0.3">
      <c r="AJ1439" s="83"/>
      <c r="AK1439" s="83"/>
      <c r="AL1439" s="83"/>
      <c r="AM1439" s="83"/>
      <c r="AN1439" s="83"/>
      <c r="AO1439" s="83"/>
      <c r="AP1439" s="83"/>
      <c r="AQ1439" s="83"/>
      <c r="AR1439" s="83"/>
      <c r="AS1439" s="83"/>
      <c r="AT1439" s="83"/>
    </row>
    <row r="1440" spans="36:46" x14ac:dyDescent="0.3">
      <c r="AJ1440" s="83"/>
      <c r="AK1440" s="83"/>
      <c r="AL1440" s="83"/>
      <c r="AM1440" s="83"/>
      <c r="AN1440" s="83"/>
      <c r="AO1440" s="83"/>
      <c r="AP1440" s="83"/>
      <c r="AQ1440" s="83"/>
      <c r="AR1440" s="83"/>
      <c r="AS1440" s="83"/>
      <c r="AT1440" s="83"/>
    </row>
    <row r="1441" spans="36:46" x14ac:dyDescent="0.3">
      <c r="AJ1441" s="83"/>
      <c r="AK1441" s="83"/>
      <c r="AL1441" s="83"/>
      <c r="AM1441" s="83"/>
      <c r="AN1441" s="83"/>
      <c r="AO1441" s="83"/>
      <c r="AP1441" s="83"/>
      <c r="AQ1441" s="83"/>
      <c r="AR1441" s="83"/>
      <c r="AS1441" s="83"/>
      <c r="AT1441" s="83"/>
    </row>
    <row r="1442" spans="36:46" x14ac:dyDescent="0.3">
      <c r="AJ1442" s="83"/>
      <c r="AK1442" s="83"/>
      <c r="AL1442" s="83"/>
      <c r="AM1442" s="83"/>
      <c r="AN1442" s="83"/>
      <c r="AO1442" s="83"/>
      <c r="AP1442" s="83"/>
      <c r="AQ1442" s="83"/>
      <c r="AR1442" s="83"/>
      <c r="AS1442" s="83"/>
      <c r="AT1442" s="83"/>
    </row>
    <row r="1443" spans="36:46" x14ac:dyDescent="0.3">
      <c r="AJ1443" s="83"/>
      <c r="AK1443" s="83"/>
      <c r="AL1443" s="83"/>
      <c r="AM1443" s="83"/>
      <c r="AN1443" s="83"/>
      <c r="AO1443" s="83"/>
      <c r="AP1443" s="83"/>
      <c r="AQ1443" s="83"/>
      <c r="AR1443" s="83"/>
      <c r="AS1443" s="83"/>
      <c r="AT1443" s="83"/>
    </row>
    <row r="1444" spans="36:46" x14ac:dyDescent="0.3">
      <c r="AJ1444" s="83"/>
      <c r="AK1444" s="83"/>
      <c r="AL1444" s="83"/>
      <c r="AM1444" s="83"/>
      <c r="AN1444" s="83"/>
      <c r="AO1444" s="83"/>
      <c r="AP1444" s="83"/>
      <c r="AQ1444" s="83"/>
      <c r="AR1444" s="83"/>
      <c r="AS1444" s="83"/>
      <c r="AT1444" s="83"/>
    </row>
    <row r="1445" spans="36:46" x14ac:dyDescent="0.3">
      <c r="AJ1445" s="83"/>
      <c r="AK1445" s="83"/>
      <c r="AL1445" s="83"/>
      <c r="AM1445" s="83"/>
      <c r="AN1445" s="83"/>
      <c r="AO1445" s="83"/>
      <c r="AP1445" s="83"/>
      <c r="AQ1445" s="83"/>
      <c r="AR1445" s="83"/>
      <c r="AS1445" s="83"/>
      <c r="AT1445" s="83"/>
    </row>
    <row r="1446" spans="36:46" x14ac:dyDescent="0.3">
      <c r="AJ1446" s="83"/>
      <c r="AK1446" s="83"/>
      <c r="AL1446" s="83"/>
      <c r="AM1446" s="83"/>
      <c r="AN1446" s="83"/>
      <c r="AO1446" s="83"/>
      <c r="AP1446" s="83"/>
      <c r="AQ1446" s="83"/>
      <c r="AR1446" s="83"/>
      <c r="AS1446" s="83"/>
      <c r="AT1446" s="83"/>
    </row>
    <row r="1447" spans="36:46" x14ac:dyDescent="0.3">
      <c r="AJ1447" s="83"/>
      <c r="AK1447" s="83"/>
      <c r="AL1447" s="83"/>
      <c r="AM1447" s="83"/>
      <c r="AN1447" s="83"/>
      <c r="AO1447" s="83"/>
      <c r="AP1447" s="83"/>
      <c r="AQ1447" s="83"/>
      <c r="AR1447" s="83"/>
      <c r="AS1447" s="83"/>
      <c r="AT1447" s="83"/>
    </row>
    <row r="1448" spans="36:46" x14ac:dyDescent="0.3">
      <c r="AJ1448" s="83"/>
      <c r="AK1448" s="83"/>
      <c r="AL1448" s="83"/>
      <c r="AM1448" s="83"/>
      <c r="AN1448" s="83"/>
      <c r="AO1448" s="83"/>
      <c r="AP1448" s="83"/>
      <c r="AQ1448" s="83"/>
      <c r="AR1448" s="83"/>
      <c r="AS1448" s="83"/>
      <c r="AT1448" s="83"/>
    </row>
    <row r="1449" spans="36:46" x14ac:dyDescent="0.3">
      <c r="AJ1449" s="83"/>
      <c r="AK1449" s="83"/>
      <c r="AL1449" s="83"/>
      <c r="AM1449" s="83"/>
      <c r="AN1449" s="83"/>
      <c r="AO1449" s="83"/>
      <c r="AP1449" s="83"/>
      <c r="AQ1449" s="83"/>
      <c r="AR1449" s="83"/>
      <c r="AS1449" s="83"/>
      <c r="AT1449" s="83"/>
    </row>
    <row r="1450" spans="36:46" x14ac:dyDescent="0.3">
      <c r="AJ1450" s="83"/>
      <c r="AK1450" s="83"/>
      <c r="AL1450" s="83"/>
      <c r="AM1450" s="83"/>
      <c r="AN1450" s="83"/>
      <c r="AO1450" s="83"/>
      <c r="AP1450" s="83"/>
      <c r="AQ1450" s="83"/>
      <c r="AR1450" s="83"/>
      <c r="AS1450" s="83"/>
      <c r="AT1450" s="83"/>
    </row>
    <row r="1451" spans="36:46" x14ac:dyDescent="0.3">
      <c r="AJ1451" s="83"/>
      <c r="AK1451" s="83"/>
      <c r="AL1451" s="83"/>
      <c r="AM1451" s="83"/>
      <c r="AN1451" s="83"/>
      <c r="AO1451" s="83"/>
      <c r="AP1451" s="83"/>
      <c r="AQ1451" s="83"/>
      <c r="AR1451" s="83"/>
      <c r="AS1451" s="83"/>
      <c r="AT1451" s="83"/>
    </row>
    <row r="1452" spans="36:46" x14ac:dyDescent="0.3">
      <c r="AJ1452" s="83"/>
      <c r="AK1452" s="83"/>
      <c r="AL1452" s="83"/>
      <c r="AM1452" s="83"/>
      <c r="AN1452" s="83"/>
      <c r="AO1452" s="83"/>
      <c r="AP1452" s="83"/>
      <c r="AQ1452" s="83"/>
      <c r="AR1452" s="83"/>
      <c r="AS1452" s="83"/>
      <c r="AT1452" s="83"/>
    </row>
    <row r="1453" spans="36:46" x14ac:dyDescent="0.3">
      <c r="AJ1453" s="83"/>
      <c r="AK1453" s="83"/>
      <c r="AL1453" s="83"/>
      <c r="AM1453" s="83"/>
      <c r="AN1453" s="83"/>
      <c r="AO1453" s="83"/>
      <c r="AP1453" s="83"/>
      <c r="AQ1453" s="83"/>
      <c r="AR1453" s="83"/>
      <c r="AS1453" s="83"/>
      <c r="AT1453" s="83"/>
    </row>
    <row r="1454" spans="36:46" x14ac:dyDescent="0.3">
      <c r="AJ1454" s="83"/>
      <c r="AK1454" s="83"/>
      <c r="AL1454" s="83"/>
      <c r="AM1454" s="83"/>
      <c r="AN1454" s="83"/>
      <c r="AO1454" s="83"/>
      <c r="AP1454" s="83"/>
      <c r="AQ1454" s="83"/>
      <c r="AR1454" s="83"/>
      <c r="AS1454" s="83"/>
      <c r="AT1454" s="83"/>
    </row>
    <row r="1455" spans="36:46" x14ac:dyDescent="0.3">
      <c r="AJ1455" s="83"/>
      <c r="AK1455" s="83"/>
      <c r="AL1455" s="83"/>
      <c r="AM1455" s="83"/>
      <c r="AN1455" s="83"/>
      <c r="AO1455" s="83"/>
      <c r="AP1455" s="83"/>
      <c r="AQ1455" s="83"/>
      <c r="AR1455" s="83"/>
      <c r="AS1455" s="83"/>
      <c r="AT1455" s="83"/>
    </row>
    <row r="1456" spans="36:46" x14ac:dyDescent="0.3">
      <c r="AJ1456" s="83"/>
      <c r="AK1456" s="83"/>
      <c r="AL1456" s="83"/>
      <c r="AM1456" s="83"/>
      <c r="AN1456" s="83"/>
      <c r="AO1456" s="83"/>
      <c r="AP1456" s="83"/>
      <c r="AQ1456" s="83"/>
      <c r="AR1456" s="83"/>
      <c r="AS1456" s="83"/>
      <c r="AT1456" s="83"/>
    </row>
    <row r="1457" spans="36:46" x14ac:dyDescent="0.3">
      <c r="AJ1457" s="83"/>
      <c r="AK1457" s="83"/>
      <c r="AL1457" s="83"/>
      <c r="AM1457" s="83"/>
      <c r="AN1457" s="83"/>
      <c r="AO1457" s="83"/>
      <c r="AP1457" s="83"/>
      <c r="AQ1457" s="83"/>
      <c r="AR1457" s="83"/>
      <c r="AS1457" s="83"/>
      <c r="AT1457" s="83"/>
    </row>
    <row r="1458" spans="36:46" x14ac:dyDescent="0.3">
      <c r="AJ1458" s="83"/>
      <c r="AK1458" s="83"/>
      <c r="AL1458" s="83"/>
      <c r="AM1458" s="83"/>
      <c r="AN1458" s="83"/>
      <c r="AO1458" s="83"/>
      <c r="AP1458" s="83"/>
      <c r="AQ1458" s="83"/>
      <c r="AR1458" s="83"/>
      <c r="AS1458" s="83"/>
      <c r="AT1458" s="83"/>
    </row>
    <row r="1459" spans="36:46" x14ac:dyDescent="0.3">
      <c r="AJ1459" s="83"/>
      <c r="AK1459" s="83"/>
      <c r="AL1459" s="83"/>
      <c r="AM1459" s="83"/>
      <c r="AN1459" s="83"/>
      <c r="AO1459" s="83"/>
      <c r="AP1459" s="83"/>
      <c r="AQ1459" s="83"/>
      <c r="AR1459" s="83"/>
      <c r="AS1459" s="83"/>
      <c r="AT1459" s="83"/>
    </row>
    <row r="1460" spans="36:46" x14ac:dyDescent="0.3">
      <c r="AJ1460" s="83"/>
      <c r="AK1460" s="83"/>
      <c r="AL1460" s="83"/>
      <c r="AM1460" s="83"/>
      <c r="AN1460" s="83"/>
      <c r="AO1460" s="83"/>
      <c r="AP1460" s="83"/>
      <c r="AQ1460" s="83"/>
      <c r="AR1460" s="83"/>
      <c r="AS1460" s="83"/>
      <c r="AT1460" s="83"/>
    </row>
    <row r="1461" spans="36:46" x14ac:dyDescent="0.3">
      <c r="AJ1461" s="83"/>
      <c r="AK1461" s="83"/>
      <c r="AL1461" s="83"/>
      <c r="AM1461" s="83"/>
      <c r="AN1461" s="83"/>
      <c r="AO1461" s="83"/>
      <c r="AP1461" s="83"/>
      <c r="AQ1461" s="83"/>
      <c r="AR1461" s="83"/>
      <c r="AS1461" s="83"/>
      <c r="AT1461" s="83"/>
    </row>
    <row r="1462" spans="36:46" x14ac:dyDescent="0.3">
      <c r="AJ1462" s="83"/>
      <c r="AK1462" s="83"/>
      <c r="AL1462" s="83"/>
      <c r="AM1462" s="83"/>
      <c r="AN1462" s="83"/>
      <c r="AO1462" s="83"/>
      <c r="AP1462" s="83"/>
      <c r="AQ1462" s="83"/>
      <c r="AR1462" s="83"/>
      <c r="AS1462" s="83"/>
      <c r="AT1462" s="83"/>
    </row>
    <row r="1463" spans="36:46" x14ac:dyDescent="0.3">
      <c r="AJ1463" s="83"/>
      <c r="AK1463" s="83"/>
      <c r="AL1463" s="83"/>
      <c r="AM1463" s="83"/>
      <c r="AN1463" s="83"/>
      <c r="AO1463" s="83"/>
      <c r="AP1463" s="83"/>
      <c r="AQ1463" s="83"/>
      <c r="AR1463" s="83"/>
      <c r="AS1463" s="83"/>
      <c r="AT1463" s="83"/>
    </row>
    <row r="1464" spans="36:46" x14ac:dyDescent="0.3">
      <c r="AJ1464" s="83"/>
      <c r="AK1464" s="83"/>
      <c r="AL1464" s="83"/>
      <c r="AM1464" s="83"/>
      <c r="AN1464" s="83"/>
      <c r="AO1464" s="83"/>
      <c r="AP1464" s="83"/>
      <c r="AQ1464" s="83"/>
      <c r="AR1464" s="83"/>
      <c r="AS1464" s="83"/>
      <c r="AT1464" s="83"/>
    </row>
    <row r="1465" spans="36:46" x14ac:dyDescent="0.3">
      <c r="AJ1465" s="83"/>
      <c r="AK1465" s="83"/>
      <c r="AL1465" s="83"/>
      <c r="AM1465" s="83"/>
      <c r="AN1465" s="83"/>
      <c r="AO1465" s="83"/>
      <c r="AP1465" s="83"/>
      <c r="AQ1465" s="83"/>
      <c r="AR1465" s="83"/>
      <c r="AS1465" s="83"/>
      <c r="AT1465" s="83"/>
    </row>
    <row r="1466" spans="36:46" x14ac:dyDescent="0.3">
      <c r="AJ1466" s="83"/>
      <c r="AK1466" s="83"/>
      <c r="AL1466" s="83"/>
      <c r="AM1466" s="83"/>
      <c r="AN1466" s="83"/>
      <c r="AO1466" s="83"/>
      <c r="AP1466" s="83"/>
      <c r="AQ1466" s="83"/>
      <c r="AR1466" s="83"/>
      <c r="AS1466" s="83"/>
      <c r="AT1466" s="83"/>
    </row>
    <row r="1467" spans="36:46" x14ac:dyDescent="0.3">
      <c r="AJ1467" s="83"/>
      <c r="AK1467" s="83"/>
      <c r="AL1467" s="83"/>
      <c r="AM1467" s="83"/>
      <c r="AN1467" s="83"/>
      <c r="AO1467" s="83"/>
      <c r="AP1467" s="83"/>
      <c r="AQ1467" s="83"/>
      <c r="AR1467" s="83"/>
      <c r="AS1467" s="83"/>
      <c r="AT1467" s="83"/>
    </row>
    <row r="1468" spans="36:46" x14ac:dyDescent="0.3">
      <c r="AJ1468" s="83"/>
      <c r="AK1468" s="83"/>
      <c r="AL1468" s="83"/>
      <c r="AM1468" s="83"/>
      <c r="AN1468" s="83"/>
      <c r="AO1468" s="83"/>
      <c r="AP1468" s="83"/>
      <c r="AQ1468" s="83"/>
      <c r="AR1468" s="83"/>
      <c r="AS1468" s="83"/>
      <c r="AT1468" s="83"/>
    </row>
    <row r="1469" spans="36:46" x14ac:dyDescent="0.3">
      <c r="AJ1469" s="83"/>
      <c r="AK1469" s="83"/>
      <c r="AL1469" s="83"/>
      <c r="AM1469" s="83"/>
      <c r="AN1469" s="83"/>
      <c r="AO1469" s="83"/>
      <c r="AP1469" s="83"/>
      <c r="AQ1469" s="83"/>
      <c r="AR1469" s="83"/>
      <c r="AS1469" s="83"/>
      <c r="AT1469" s="83"/>
    </row>
    <row r="1470" spans="36:46" x14ac:dyDescent="0.3">
      <c r="AJ1470" s="83"/>
      <c r="AK1470" s="83"/>
      <c r="AL1470" s="83"/>
      <c r="AM1470" s="83"/>
      <c r="AN1470" s="83"/>
      <c r="AO1470" s="83"/>
      <c r="AP1470" s="83"/>
      <c r="AQ1470" s="83"/>
      <c r="AR1470" s="83"/>
      <c r="AS1470" s="83"/>
      <c r="AT1470" s="83"/>
    </row>
    <row r="1471" spans="36:46" x14ac:dyDescent="0.3">
      <c r="AJ1471" s="83"/>
      <c r="AK1471" s="83"/>
      <c r="AL1471" s="83"/>
      <c r="AM1471" s="83"/>
      <c r="AN1471" s="83"/>
      <c r="AO1471" s="83"/>
      <c r="AP1471" s="83"/>
      <c r="AQ1471" s="83"/>
      <c r="AR1471" s="83"/>
      <c r="AS1471" s="83"/>
      <c r="AT1471" s="83"/>
    </row>
    <row r="1472" spans="36:46" x14ac:dyDescent="0.3">
      <c r="AJ1472" s="83"/>
      <c r="AK1472" s="83"/>
      <c r="AL1472" s="83"/>
      <c r="AM1472" s="83"/>
      <c r="AN1472" s="83"/>
      <c r="AO1472" s="83"/>
      <c r="AP1472" s="83"/>
      <c r="AQ1472" s="83"/>
      <c r="AR1472" s="83"/>
      <c r="AS1472" s="83"/>
      <c r="AT1472" s="83"/>
    </row>
    <row r="1473" spans="36:46" x14ac:dyDescent="0.3">
      <c r="AJ1473" s="83"/>
      <c r="AK1473" s="83"/>
      <c r="AL1473" s="83"/>
      <c r="AM1473" s="83"/>
      <c r="AN1473" s="83"/>
      <c r="AO1473" s="83"/>
      <c r="AP1473" s="83"/>
      <c r="AQ1473" s="83"/>
      <c r="AR1473" s="83"/>
      <c r="AS1473" s="83"/>
      <c r="AT1473" s="83"/>
    </row>
    <row r="1474" spans="36:46" x14ac:dyDescent="0.3">
      <c r="AJ1474" s="83"/>
      <c r="AK1474" s="83"/>
      <c r="AL1474" s="83"/>
      <c r="AM1474" s="83"/>
      <c r="AN1474" s="83"/>
      <c r="AO1474" s="83"/>
      <c r="AP1474" s="83"/>
      <c r="AQ1474" s="83"/>
      <c r="AR1474" s="83"/>
      <c r="AS1474" s="83"/>
      <c r="AT1474" s="83"/>
    </row>
    <row r="1475" spans="36:46" x14ac:dyDescent="0.3">
      <c r="AJ1475" s="83"/>
      <c r="AK1475" s="83"/>
      <c r="AL1475" s="83"/>
      <c r="AM1475" s="83"/>
      <c r="AN1475" s="83"/>
      <c r="AO1475" s="83"/>
      <c r="AP1475" s="83"/>
      <c r="AQ1475" s="83"/>
      <c r="AR1475" s="83"/>
      <c r="AS1475" s="83"/>
      <c r="AT1475" s="83"/>
    </row>
    <row r="1476" spans="36:46" x14ac:dyDescent="0.3">
      <c r="AJ1476" s="83"/>
      <c r="AK1476" s="83"/>
      <c r="AL1476" s="83"/>
      <c r="AM1476" s="83"/>
      <c r="AN1476" s="83"/>
      <c r="AO1476" s="83"/>
      <c r="AP1476" s="83"/>
      <c r="AQ1476" s="83"/>
      <c r="AR1476" s="83"/>
      <c r="AS1476" s="83"/>
      <c r="AT1476" s="83"/>
    </row>
    <row r="1477" spans="36:46" x14ac:dyDescent="0.3">
      <c r="AJ1477" s="83"/>
      <c r="AK1477" s="83"/>
      <c r="AL1477" s="83"/>
      <c r="AM1477" s="83"/>
      <c r="AN1477" s="83"/>
      <c r="AO1477" s="83"/>
      <c r="AP1477" s="83"/>
      <c r="AQ1477" s="83"/>
      <c r="AR1477" s="83"/>
      <c r="AS1477" s="83"/>
      <c r="AT1477" s="83"/>
    </row>
    <row r="1478" spans="36:46" x14ac:dyDescent="0.3">
      <c r="AJ1478" s="83"/>
      <c r="AK1478" s="83"/>
      <c r="AL1478" s="83"/>
      <c r="AM1478" s="83"/>
      <c r="AN1478" s="83"/>
      <c r="AO1478" s="83"/>
      <c r="AP1478" s="83"/>
      <c r="AQ1478" s="83"/>
      <c r="AR1478" s="83"/>
      <c r="AS1478" s="83"/>
      <c r="AT1478" s="83"/>
    </row>
    <row r="1479" spans="36:46" x14ac:dyDescent="0.3">
      <c r="AJ1479" s="83"/>
      <c r="AK1479" s="83"/>
      <c r="AL1479" s="83"/>
      <c r="AM1479" s="83"/>
      <c r="AN1479" s="83"/>
      <c r="AO1479" s="83"/>
      <c r="AP1479" s="83"/>
      <c r="AQ1479" s="83"/>
      <c r="AR1479" s="83"/>
      <c r="AS1479" s="83"/>
      <c r="AT1479" s="83"/>
    </row>
    <row r="1480" spans="36:46" x14ac:dyDescent="0.3">
      <c r="AJ1480" s="83"/>
      <c r="AK1480" s="83"/>
      <c r="AL1480" s="83"/>
      <c r="AM1480" s="83"/>
      <c r="AN1480" s="83"/>
      <c r="AO1480" s="83"/>
      <c r="AP1480" s="83"/>
      <c r="AQ1480" s="83"/>
      <c r="AR1480" s="83"/>
      <c r="AS1480" s="83"/>
      <c r="AT1480" s="83"/>
    </row>
    <row r="1481" spans="36:46" x14ac:dyDescent="0.3">
      <c r="AJ1481" s="83"/>
      <c r="AK1481" s="83"/>
      <c r="AL1481" s="83"/>
      <c r="AM1481" s="83"/>
      <c r="AN1481" s="83"/>
      <c r="AO1481" s="83"/>
      <c r="AP1481" s="83"/>
      <c r="AQ1481" s="83"/>
      <c r="AR1481" s="83"/>
      <c r="AS1481" s="83"/>
      <c r="AT1481" s="83"/>
    </row>
    <row r="1482" spans="36:46" x14ac:dyDescent="0.3">
      <c r="AJ1482" s="83"/>
      <c r="AK1482" s="83"/>
      <c r="AL1482" s="83"/>
      <c r="AM1482" s="83"/>
      <c r="AN1482" s="83"/>
      <c r="AO1482" s="83"/>
      <c r="AP1482" s="83"/>
      <c r="AQ1482" s="83"/>
      <c r="AR1482" s="83"/>
      <c r="AS1482" s="83"/>
      <c r="AT1482" s="83"/>
    </row>
    <row r="1483" spans="36:46" x14ac:dyDescent="0.3">
      <c r="AJ1483" s="83"/>
      <c r="AK1483" s="83"/>
      <c r="AL1483" s="83"/>
      <c r="AM1483" s="83"/>
      <c r="AN1483" s="83"/>
      <c r="AO1483" s="83"/>
      <c r="AP1483" s="83"/>
      <c r="AQ1483" s="83"/>
      <c r="AR1483" s="83"/>
      <c r="AS1483" s="83"/>
      <c r="AT1483" s="83"/>
    </row>
    <row r="1484" spans="36:46" x14ac:dyDescent="0.3">
      <c r="AJ1484" s="83"/>
      <c r="AK1484" s="83"/>
      <c r="AL1484" s="83"/>
      <c r="AM1484" s="83"/>
      <c r="AN1484" s="83"/>
      <c r="AO1484" s="83"/>
      <c r="AP1484" s="83"/>
      <c r="AQ1484" s="83"/>
      <c r="AR1484" s="83"/>
      <c r="AS1484" s="83"/>
      <c r="AT1484" s="83"/>
    </row>
    <row r="1485" spans="36:46" x14ac:dyDescent="0.3">
      <c r="AJ1485" s="83"/>
      <c r="AK1485" s="83"/>
      <c r="AL1485" s="83"/>
      <c r="AM1485" s="83"/>
      <c r="AN1485" s="83"/>
      <c r="AO1485" s="83"/>
      <c r="AP1485" s="83"/>
      <c r="AQ1485" s="83"/>
      <c r="AR1485" s="83"/>
      <c r="AS1485" s="83"/>
      <c r="AT1485" s="83"/>
    </row>
    <row r="1486" spans="36:46" x14ac:dyDescent="0.3">
      <c r="AJ1486" s="83"/>
      <c r="AK1486" s="83"/>
      <c r="AL1486" s="83"/>
      <c r="AM1486" s="83"/>
      <c r="AN1486" s="83"/>
      <c r="AO1486" s="83"/>
      <c r="AP1486" s="83"/>
      <c r="AQ1486" s="83"/>
      <c r="AR1486" s="83"/>
      <c r="AS1486" s="83"/>
      <c r="AT1486" s="83"/>
    </row>
    <row r="1487" spans="36:46" x14ac:dyDescent="0.3">
      <c r="AJ1487" s="83"/>
      <c r="AK1487" s="83"/>
      <c r="AL1487" s="83"/>
      <c r="AM1487" s="83"/>
      <c r="AN1487" s="83"/>
      <c r="AO1487" s="83"/>
      <c r="AP1487" s="83"/>
      <c r="AQ1487" s="83"/>
      <c r="AR1487" s="83"/>
      <c r="AS1487" s="83"/>
      <c r="AT1487" s="83"/>
    </row>
    <row r="1488" spans="36:46" x14ac:dyDescent="0.3">
      <c r="AJ1488" s="83"/>
      <c r="AK1488" s="83"/>
      <c r="AL1488" s="83"/>
      <c r="AM1488" s="83"/>
      <c r="AN1488" s="83"/>
      <c r="AO1488" s="83"/>
      <c r="AP1488" s="83"/>
      <c r="AQ1488" s="83"/>
      <c r="AR1488" s="83"/>
      <c r="AS1488" s="83"/>
      <c r="AT1488" s="83"/>
    </row>
    <row r="1489" spans="36:46" x14ac:dyDescent="0.3">
      <c r="AJ1489" s="83"/>
      <c r="AK1489" s="83"/>
      <c r="AL1489" s="83"/>
      <c r="AM1489" s="83"/>
      <c r="AN1489" s="83"/>
      <c r="AO1489" s="83"/>
      <c r="AP1489" s="83"/>
      <c r="AQ1489" s="83"/>
      <c r="AR1489" s="83"/>
      <c r="AS1489" s="83"/>
      <c r="AT1489" s="83"/>
    </row>
    <row r="1490" spans="36:46" x14ac:dyDescent="0.3">
      <c r="AJ1490" s="83"/>
      <c r="AK1490" s="83"/>
      <c r="AL1490" s="83"/>
      <c r="AM1490" s="83"/>
      <c r="AN1490" s="83"/>
      <c r="AO1490" s="83"/>
      <c r="AP1490" s="83"/>
      <c r="AQ1490" s="83"/>
      <c r="AR1490" s="83"/>
      <c r="AS1490" s="83"/>
      <c r="AT1490" s="83"/>
    </row>
    <row r="1491" spans="36:46" x14ac:dyDescent="0.3">
      <c r="AJ1491" s="83"/>
      <c r="AK1491" s="83"/>
      <c r="AL1491" s="83"/>
      <c r="AM1491" s="83"/>
      <c r="AN1491" s="83"/>
      <c r="AO1491" s="83"/>
      <c r="AP1491" s="83"/>
      <c r="AQ1491" s="83"/>
      <c r="AR1491" s="83"/>
      <c r="AS1491" s="83"/>
      <c r="AT1491" s="83"/>
    </row>
    <row r="1492" spans="36:46" x14ac:dyDescent="0.3">
      <c r="AJ1492" s="83"/>
      <c r="AK1492" s="83"/>
      <c r="AL1492" s="83"/>
      <c r="AM1492" s="83"/>
      <c r="AN1492" s="83"/>
      <c r="AO1492" s="83"/>
      <c r="AP1492" s="83"/>
      <c r="AQ1492" s="83"/>
      <c r="AR1492" s="83"/>
      <c r="AS1492" s="83"/>
      <c r="AT1492" s="83"/>
    </row>
    <row r="1493" spans="36:46" x14ac:dyDescent="0.3">
      <c r="AJ1493" s="83"/>
      <c r="AK1493" s="83"/>
      <c r="AL1493" s="83"/>
      <c r="AM1493" s="83"/>
      <c r="AN1493" s="83"/>
      <c r="AO1493" s="83"/>
      <c r="AP1493" s="83"/>
      <c r="AQ1493" s="83"/>
      <c r="AR1493" s="83"/>
      <c r="AS1493" s="83"/>
      <c r="AT1493" s="83"/>
    </row>
    <row r="1494" spans="36:46" x14ac:dyDescent="0.3">
      <c r="AJ1494" s="83"/>
      <c r="AK1494" s="83"/>
      <c r="AL1494" s="83"/>
      <c r="AM1494" s="83"/>
      <c r="AN1494" s="83"/>
      <c r="AO1494" s="83"/>
      <c r="AP1494" s="83"/>
      <c r="AQ1494" s="83"/>
      <c r="AR1494" s="83"/>
      <c r="AS1494" s="83"/>
      <c r="AT1494" s="83"/>
    </row>
    <row r="1495" spans="36:46" x14ac:dyDescent="0.3">
      <c r="AJ1495" s="83"/>
      <c r="AK1495" s="83"/>
      <c r="AL1495" s="83"/>
      <c r="AM1495" s="83"/>
      <c r="AN1495" s="83"/>
      <c r="AO1495" s="83"/>
      <c r="AP1495" s="83"/>
      <c r="AQ1495" s="83"/>
      <c r="AR1495" s="83"/>
      <c r="AS1495" s="83"/>
      <c r="AT1495" s="83"/>
    </row>
    <row r="1496" spans="36:46" x14ac:dyDescent="0.3">
      <c r="AJ1496" s="83"/>
      <c r="AK1496" s="83"/>
      <c r="AL1496" s="83"/>
      <c r="AM1496" s="83"/>
      <c r="AN1496" s="83"/>
      <c r="AO1496" s="83"/>
      <c r="AP1496" s="83"/>
      <c r="AQ1496" s="83"/>
      <c r="AR1496" s="83"/>
      <c r="AS1496" s="83"/>
      <c r="AT1496" s="83"/>
    </row>
    <row r="1497" spans="36:46" x14ac:dyDescent="0.3">
      <c r="AJ1497" s="83"/>
      <c r="AK1497" s="83"/>
      <c r="AL1497" s="83"/>
      <c r="AM1497" s="83"/>
      <c r="AN1497" s="83"/>
      <c r="AO1497" s="83"/>
      <c r="AP1497" s="83"/>
      <c r="AQ1497" s="83"/>
      <c r="AR1497" s="83"/>
      <c r="AS1497" s="83"/>
      <c r="AT1497" s="83"/>
    </row>
    <row r="1498" spans="36:46" x14ac:dyDescent="0.3">
      <c r="AJ1498" s="83"/>
      <c r="AK1498" s="83"/>
      <c r="AL1498" s="83"/>
      <c r="AM1498" s="83"/>
      <c r="AN1498" s="83"/>
      <c r="AO1498" s="83"/>
      <c r="AP1498" s="83"/>
      <c r="AQ1498" s="83"/>
      <c r="AR1498" s="83"/>
      <c r="AS1498" s="83"/>
      <c r="AT1498" s="83"/>
    </row>
    <row r="1499" spans="36:46" x14ac:dyDescent="0.3">
      <c r="AJ1499" s="83"/>
      <c r="AK1499" s="83"/>
      <c r="AL1499" s="83"/>
      <c r="AM1499" s="83"/>
      <c r="AN1499" s="83"/>
      <c r="AO1499" s="83"/>
      <c r="AP1499" s="83"/>
      <c r="AQ1499" s="83"/>
      <c r="AR1499" s="83"/>
      <c r="AS1499" s="83"/>
      <c r="AT1499" s="83"/>
    </row>
    <row r="1500" spans="36:46" x14ac:dyDescent="0.3">
      <c r="AJ1500" s="83"/>
      <c r="AK1500" s="83"/>
      <c r="AL1500" s="83"/>
      <c r="AM1500" s="83"/>
      <c r="AN1500" s="83"/>
      <c r="AO1500" s="83"/>
      <c r="AP1500" s="83"/>
      <c r="AQ1500" s="83"/>
      <c r="AR1500" s="83"/>
      <c r="AS1500" s="83"/>
      <c r="AT1500" s="83"/>
    </row>
    <row r="1501" spans="36:46" x14ac:dyDescent="0.3">
      <c r="AJ1501" s="83"/>
      <c r="AK1501" s="83"/>
      <c r="AL1501" s="83"/>
      <c r="AM1501" s="83"/>
      <c r="AN1501" s="83"/>
      <c r="AO1501" s="83"/>
      <c r="AP1501" s="83"/>
      <c r="AQ1501" s="83"/>
      <c r="AR1501" s="83"/>
      <c r="AS1501" s="83"/>
      <c r="AT1501" s="83"/>
    </row>
    <row r="1502" spans="36:46" x14ac:dyDescent="0.3">
      <c r="AJ1502" s="83"/>
      <c r="AK1502" s="83"/>
      <c r="AL1502" s="83"/>
      <c r="AM1502" s="83"/>
      <c r="AN1502" s="83"/>
      <c r="AO1502" s="83"/>
      <c r="AP1502" s="83"/>
      <c r="AQ1502" s="83"/>
      <c r="AR1502" s="83"/>
      <c r="AS1502" s="83"/>
      <c r="AT1502" s="83"/>
    </row>
    <row r="1503" spans="36:46" x14ac:dyDescent="0.3">
      <c r="AJ1503" s="83"/>
      <c r="AK1503" s="83"/>
      <c r="AL1503" s="83"/>
      <c r="AM1503" s="83"/>
      <c r="AN1503" s="83"/>
      <c r="AO1503" s="83"/>
      <c r="AP1503" s="83"/>
      <c r="AQ1503" s="83"/>
      <c r="AR1503" s="83"/>
      <c r="AS1503" s="83"/>
      <c r="AT1503" s="83"/>
    </row>
    <row r="1504" spans="36:46" x14ac:dyDescent="0.3">
      <c r="AJ1504" s="83"/>
      <c r="AK1504" s="83"/>
      <c r="AL1504" s="83"/>
      <c r="AM1504" s="83"/>
      <c r="AN1504" s="83"/>
      <c r="AO1504" s="83"/>
      <c r="AP1504" s="83"/>
      <c r="AQ1504" s="83"/>
      <c r="AR1504" s="83"/>
      <c r="AS1504" s="83"/>
      <c r="AT1504" s="83"/>
    </row>
    <row r="1505" spans="36:46" x14ac:dyDescent="0.3">
      <c r="AJ1505" s="83"/>
      <c r="AK1505" s="83"/>
      <c r="AL1505" s="83"/>
      <c r="AM1505" s="83"/>
      <c r="AN1505" s="83"/>
      <c r="AO1505" s="83"/>
      <c r="AP1505" s="83"/>
      <c r="AQ1505" s="83"/>
      <c r="AR1505" s="83"/>
      <c r="AS1505" s="83"/>
      <c r="AT1505" s="83"/>
    </row>
    <row r="1506" spans="36:46" x14ac:dyDescent="0.3">
      <c r="AJ1506" s="83"/>
      <c r="AK1506" s="83"/>
      <c r="AL1506" s="83"/>
      <c r="AM1506" s="83"/>
      <c r="AN1506" s="83"/>
      <c r="AO1506" s="83"/>
      <c r="AP1506" s="83"/>
      <c r="AQ1506" s="83"/>
      <c r="AR1506" s="83"/>
      <c r="AS1506" s="83"/>
      <c r="AT1506" s="83"/>
    </row>
    <row r="1507" spans="36:46" x14ac:dyDescent="0.3">
      <c r="AJ1507" s="83"/>
      <c r="AK1507" s="83"/>
      <c r="AL1507" s="83"/>
      <c r="AM1507" s="83"/>
      <c r="AN1507" s="83"/>
      <c r="AO1507" s="83"/>
      <c r="AP1507" s="83"/>
      <c r="AQ1507" s="83"/>
      <c r="AR1507" s="83"/>
      <c r="AS1507" s="83"/>
      <c r="AT1507" s="83"/>
    </row>
    <row r="1508" spans="36:46" x14ac:dyDescent="0.3">
      <c r="AJ1508" s="83"/>
      <c r="AK1508" s="83"/>
      <c r="AL1508" s="83"/>
      <c r="AM1508" s="83"/>
      <c r="AN1508" s="83"/>
      <c r="AO1508" s="83"/>
      <c r="AP1508" s="83"/>
      <c r="AQ1508" s="83"/>
      <c r="AR1508" s="83"/>
      <c r="AS1508" s="83"/>
      <c r="AT1508" s="83"/>
    </row>
    <row r="1509" spans="36:46" x14ac:dyDescent="0.3">
      <c r="AJ1509" s="83"/>
      <c r="AK1509" s="83"/>
      <c r="AL1509" s="83"/>
      <c r="AM1509" s="83"/>
      <c r="AN1509" s="83"/>
      <c r="AO1509" s="83"/>
      <c r="AP1509" s="83"/>
      <c r="AQ1509" s="83"/>
      <c r="AR1509" s="83"/>
      <c r="AS1509" s="83"/>
      <c r="AT1509" s="83"/>
    </row>
    <row r="1510" spans="36:46" x14ac:dyDescent="0.3">
      <c r="AJ1510" s="83"/>
      <c r="AK1510" s="83"/>
      <c r="AL1510" s="83"/>
      <c r="AM1510" s="83"/>
      <c r="AN1510" s="83"/>
      <c r="AO1510" s="83"/>
      <c r="AP1510" s="83"/>
      <c r="AQ1510" s="83"/>
      <c r="AR1510" s="83"/>
      <c r="AS1510" s="83"/>
      <c r="AT1510" s="83"/>
    </row>
    <row r="1511" spans="36:46" x14ac:dyDescent="0.3">
      <c r="AJ1511" s="83"/>
      <c r="AK1511" s="83"/>
      <c r="AL1511" s="83"/>
      <c r="AM1511" s="83"/>
      <c r="AN1511" s="83"/>
      <c r="AO1511" s="83"/>
      <c r="AP1511" s="83"/>
      <c r="AQ1511" s="83"/>
      <c r="AR1511" s="83"/>
      <c r="AS1511" s="83"/>
      <c r="AT1511" s="83"/>
    </row>
    <row r="1512" spans="36:46" x14ac:dyDescent="0.3">
      <c r="AJ1512" s="83"/>
      <c r="AK1512" s="83"/>
      <c r="AL1512" s="83"/>
      <c r="AM1512" s="83"/>
      <c r="AN1512" s="83"/>
      <c r="AO1512" s="83"/>
      <c r="AP1512" s="83"/>
      <c r="AQ1512" s="83"/>
      <c r="AR1512" s="83"/>
      <c r="AS1512" s="83"/>
      <c r="AT1512" s="83"/>
    </row>
    <row r="1513" spans="36:46" x14ac:dyDescent="0.3">
      <c r="AJ1513" s="83"/>
      <c r="AK1513" s="83"/>
      <c r="AL1513" s="83"/>
      <c r="AM1513" s="83"/>
      <c r="AN1513" s="83"/>
      <c r="AO1513" s="83"/>
      <c r="AP1513" s="83"/>
      <c r="AQ1513" s="83"/>
      <c r="AR1513" s="83"/>
      <c r="AS1513" s="83"/>
      <c r="AT1513" s="83"/>
    </row>
    <row r="1514" spans="36:46" x14ac:dyDescent="0.3">
      <c r="AJ1514" s="83"/>
      <c r="AK1514" s="83"/>
      <c r="AL1514" s="83"/>
      <c r="AM1514" s="83"/>
      <c r="AN1514" s="83"/>
      <c r="AO1514" s="83"/>
      <c r="AP1514" s="83"/>
      <c r="AQ1514" s="83"/>
      <c r="AR1514" s="83"/>
      <c r="AS1514" s="83"/>
      <c r="AT1514" s="83"/>
    </row>
    <row r="1515" spans="36:46" x14ac:dyDescent="0.3">
      <c r="AJ1515" s="83"/>
      <c r="AK1515" s="83"/>
      <c r="AL1515" s="83"/>
      <c r="AM1515" s="83"/>
      <c r="AN1515" s="83"/>
      <c r="AO1515" s="83"/>
      <c r="AP1515" s="83"/>
      <c r="AQ1515" s="83"/>
      <c r="AR1515" s="83"/>
      <c r="AS1515" s="83"/>
      <c r="AT1515" s="83"/>
    </row>
    <row r="1516" spans="36:46" x14ac:dyDescent="0.3">
      <c r="AJ1516" s="83"/>
      <c r="AK1516" s="83"/>
      <c r="AL1516" s="83"/>
      <c r="AM1516" s="83"/>
      <c r="AN1516" s="83"/>
      <c r="AO1516" s="83"/>
      <c r="AP1516" s="83"/>
      <c r="AQ1516" s="83"/>
      <c r="AR1516" s="83"/>
      <c r="AS1516" s="83"/>
      <c r="AT1516" s="83"/>
    </row>
    <row r="1517" spans="36:46" x14ac:dyDescent="0.3">
      <c r="AJ1517" s="83"/>
      <c r="AK1517" s="83"/>
      <c r="AL1517" s="83"/>
      <c r="AM1517" s="83"/>
      <c r="AN1517" s="83"/>
      <c r="AO1517" s="83"/>
      <c r="AP1517" s="83"/>
      <c r="AQ1517" s="83"/>
      <c r="AR1517" s="83"/>
      <c r="AS1517" s="83"/>
      <c r="AT1517" s="83"/>
    </row>
    <row r="1518" spans="36:46" x14ac:dyDescent="0.3">
      <c r="AJ1518" s="83"/>
      <c r="AK1518" s="83"/>
      <c r="AL1518" s="83"/>
      <c r="AM1518" s="83"/>
      <c r="AN1518" s="83"/>
      <c r="AO1518" s="83"/>
      <c r="AP1518" s="83"/>
      <c r="AQ1518" s="83"/>
      <c r="AR1518" s="83"/>
      <c r="AS1518" s="83"/>
      <c r="AT1518" s="83"/>
    </row>
    <row r="1519" spans="36:46" x14ac:dyDescent="0.3">
      <c r="AJ1519" s="83"/>
      <c r="AK1519" s="83"/>
      <c r="AL1519" s="83"/>
      <c r="AM1519" s="83"/>
      <c r="AN1519" s="83"/>
      <c r="AO1519" s="83"/>
      <c r="AP1519" s="83"/>
      <c r="AQ1519" s="83"/>
      <c r="AR1519" s="83"/>
      <c r="AS1519" s="83"/>
      <c r="AT1519" s="83"/>
    </row>
    <row r="1520" spans="36:46" x14ac:dyDescent="0.3">
      <c r="AJ1520" s="83"/>
      <c r="AK1520" s="83"/>
      <c r="AL1520" s="83"/>
      <c r="AM1520" s="83"/>
      <c r="AN1520" s="83"/>
      <c r="AO1520" s="83"/>
      <c r="AP1520" s="83"/>
      <c r="AQ1520" s="83"/>
      <c r="AR1520" s="83"/>
      <c r="AS1520" s="83"/>
      <c r="AT1520" s="83"/>
    </row>
    <row r="1521" spans="36:46" x14ac:dyDescent="0.3">
      <c r="AJ1521" s="83"/>
      <c r="AK1521" s="83"/>
      <c r="AL1521" s="83"/>
      <c r="AM1521" s="83"/>
      <c r="AN1521" s="83"/>
      <c r="AO1521" s="83"/>
      <c r="AP1521" s="83"/>
      <c r="AQ1521" s="83"/>
      <c r="AR1521" s="83"/>
      <c r="AS1521" s="83"/>
      <c r="AT1521" s="83"/>
    </row>
    <row r="1522" spans="36:46" x14ac:dyDescent="0.3">
      <c r="AJ1522" s="83"/>
      <c r="AK1522" s="83"/>
      <c r="AL1522" s="83"/>
      <c r="AM1522" s="83"/>
      <c r="AN1522" s="83"/>
      <c r="AO1522" s="83"/>
      <c r="AP1522" s="83"/>
      <c r="AQ1522" s="83"/>
      <c r="AR1522" s="83"/>
      <c r="AS1522" s="83"/>
      <c r="AT1522" s="83"/>
    </row>
    <row r="1523" spans="36:46" x14ac:dyDescent="0.3">
      <c r="AJ1523" s="83"/>
      <c r="AK1523" s="83"/>
      <c r="AL1523" s="83"/>
      <c r="AM1523" s="83"/>
      <c r="AN1523" s="83"/>
      <c r="AO1523" s="83"/>
      <c r="AP1523" s="83"/>
      <c r="AQ1523" s="83"/>
      <c r="AR1523" s="83"/>
      <c r="AS1523" s="83"/>
      <c r="AT1523" s="83"/>
    </row>
    <row r="1524" spans="36:46" x14ac:dyDescent="0.3">
      <c r="AJ1524" s="83"/>
      <c r="AK1524" s="83"/>
      <c r="AL1524" s="83"/>
      <c r="AM1524" s="83"/>
      <c r="AN1524" s="83"/>
      <c r="AO1524" s="83"/>
      <c r="AP1524" s="83"/>
      <c r="AQ1524" s="83"/>
      <c r="AR1524" s="83"/>
      <c r="AS1524" s="83"/>
      <c r="AT1524" s="83"/>
    </row>
    <row r="1525" spans="36:46" x14ac:dyDescent="0.3">
      <c r="AJ1525" s="83"/>
      <c r="AK1525" s="83"/>
      <c r="AL1525" s="83"/>
      <c r="AM1525" s="83"/>
      <c r="AN1525" s="83"/>
      <c r="AO1525" s="83"/>
      <c r="AP1525" s="83"/>
      <c r="AQ1525" s="83"/>
      <c r="AR1525" s="83"/>
      <c r="AS1525" s="83"/>
      <c r="AT1525" s="83"/>
    </row>
    <row r="1526" spans="36:46" x14ac:dyDescent="0.3">
      <c r="AJ1526" s="83"/>
      <c r="AK1526" s="83"/>
      <c r="AL1526" s="83"/>
      <c r="AM1526" s="83"/>
      <c r="AN1526" s="83"/>
      <c r="AO1526" s="83"/>
      <c r="AP1526" s="83"/>
      <c r="AQ1526" s="83"/>
      <c r="AR1526" s="83"/>
      <c r="AS1526" s="83"/>
      <c r="AT1526" s="83"/>
    </row>
    <row r="1527" spans="36:46" x14ac:dyDescent="0.3">
      <c r="AJ1527" s="83"/>
      <c r="AK1527" s="83"/>
      <c r="AL1527" s="83"/>
      <c r="AM1527" s="83"/>
      <c r="AN1527" s="83"/>
      <c r="AO1527" s="83"/>
      <c r="AP1527" s="83"/>
      <c r="AQ1527" s="83"/>
      <c r="AR1527" s="83"/>
      <c r="AS1527" s="83"/>
      <c r="AT1527" s="83"/>
    </row>
    <row r="1528" spans="36:46" x14ac:dyDescent="0.3">
      <c r="AJ1528" s="83"/>
      <c r="AK1528" s="83"/>
      <c r="AL1528" s="83"/>
      <c r="AM1528" s="83"/>
      <c r="AN1528" s="83"/>
      <c r="AO1528" s="83"/>
      <c r="AP1528" s="83"/>
      <c r="AQ1528" s="83"/>
      <c r="AR1528" s="83"/>
      <c r="AS1528" s="83"/>
      <c r="AT1528" s="83"/>
    </row>
    <row r="1529" spans="36:46" x14ac:dyDescent="0.3">
      <c r="AJ1529" s="83"/>
      <c r="AK1529" s="83"/>
      <c r="AL1529" s="83"/>
      <c r="AM1529" s="83"/>
      <c r="AN1529" s="83"/>
      <c r="AO1529" s="83"/>
      <c r="AP1529" s="83"/>
      <c r="AQ1529" s="83"/>
      <c r="AR1529" s="83"/>
      <c r="AS1529" s="83"/>
      <c r="AT1529" s="83"/>
    </row>
    <row r="1530" spans="36:46" x14ac:dyDescent="0.3">
      <c r="AJ1530" s="83"/>
      <c r="AK1530" s="83"/>
      <c r="AL1530" s="83"/>
      <c r="AM1530" s="83"/>
      <c r="AN1530" s="83"/>
      <c r="AO1530" s="83"/>
      <c r="AP1530" s="83"/>
      <c r="AQ1530" s="83"/>
      <c r="AR1530" s="83"/>
      <c r="AS1530" s="83"/>
      <c r="AT1530" s="83"/>
    </row>
    <row r="1531" spans="36:46" x14ac:dyDescent="0.3">
      <c r="AJ1531" s="83"/>
      <c r="AK1531" s="83"/>
      <c r="AL1531" s="83"/>
      <c r="AM1531" s="83"/>
      <c r="AN1531" s="83"/>
      <c r="AO1531" s="83"/>
      <c r="AP1531" s="83"/>
      <c r="AQ1531" s="83"/>
      <c r="AR1531" s="83"/>
      <c r="AS1531" s="83"/>
      <c r="AT1531" s="83"/>
    </row>
    <row r="1532" spans="36:46" x14ac:dyDescent="0.3">
      <c r="AJ1532" s="83"/>
      <c r="AK1532" s="83"/>
      <c r="AL1532" s="83"/>
      <c r="AM1532" s="83"/>
      <c r="AN1532" s="83"/>
      <c r="AO1532" s="83"/>
      <c r="AP1532" s="83"/>
      <c r="AQ1532" s="83"/>
      <c r="AR1532" s="83"/>
      <c r="AS1532" s="83"/>
      <c r="AT1532" s="83"/>
    </row>
    <row r="1533" spans="36:46" x14ac:dyDescent="0.3">
      <c r="AJ1533" s="83"/>
      <c r="AK1533" s="83"/>
      <c r="AL1533" s="83"/>
      <c r="AM1533" s="83"/>
      <c r="AN1533" s="83"/>
      <c r="AO1533" s="83"/>
      <c r="AP1533" s="83"/>
      <c r="AQ1533" s="83"/>
      <c r="AR1533" s="83"/>
      <c r="AS1533" s="83"/>
      <c r="AT1533" s="83"/>
    </row>
    <row r="1534" spans="36:46" x14ac:dyDescent="0.3">
      <c r="AJ1534" s="83"/>
      <c r="AK1534" s="83"/>
      <c r="AL1534" s="83"/>
      <c r="AM1534" s="83"/>
      <c r="AN1534" s="83"/>
      <c r="AO1534" s="83"/>
      <c r="AP1534" s="83"/>
      <c r="AQ1534" s="83"/>
      <c r="AR1534" s="83"/>
      <c r="AS1534" s="83"/>
      <c r="AT1534" s="83"/>
    </row>
    <row r="1535" spans="36:46" x14ac:dyDescent="0.3">
      <c r="AJ1535" s="83"/>
      <c r="AK1535" s="83"/>
      <c r="AL1535" s="83"/>
      <c r="AM1535" s="83"/>
      <c r="AN1535" s="83"/>
      <c r="AO1535" s="83"/>
      <c r="AP1535" s="83"/>
      <c r="AQ1535" s="83"/>
      <c r="AR1535" s="83"/>
      <c r="AS1535" s="83"/>
      <c r="AT1535" s="83"/>
    </row>
    <row r="1536" spans="36:46" x14ac:dyDescent="0.3">
      <c r="AJ1536" s="83"/>
      <c r="AK1536" s="83"/>
      <c r="AL1536" s="83"/>
      <c r="AM1536" s="83"/>
      <c r="AN1536" s="83"/>
      <c r="AO1536" s="83"/>
      <c r="AP1536" s="83"/>
      <c r="AQ1536" s="83"/>
      <c r="AR1536" s="83"/>
      <c r="AS1536" s="83"/>
      <c r="AT1536" s="83"/>
    </row>
    <row r="1537" spans="36:46" x14ac:dyDescent="0.3">
      <c r="AJ1537" s="83"/>
      <c r="AK1537" s="83"/>
      <c r="AL1537" s="83"/>
      <c r="AM1537" s="83"/>
      <c r="AN1537" s="83"/>
      <c r="AO1537" s="83"/>
      <c r="AP1537" s="83"/>
      <c r="AQ1537" s="83"/>
      <c r="AR1537" s="83"/>
      <c r="AS1537" s="83"/>
      <c r="AT1537" s="83"/>
    </row>
    <row r="1538" spans="36:46" x14ac:dyDescent="0.3">
      <c r="AJ1538" s="83"/>
      <c r="AK1538" s="83"/>
      <c r="AL1538" s="83"/>
      <c r="AM1538" s="83"/>
      <c r="AN1538" s="83"/>
      <c r="AO1538" s="83"/>
      <c r="AP1538" s="83"/>
      <c r="AQ1538" s="83"/>
      <c r="AR1538" s="83"/>
      <c r="AS1538" s="83"/>
      <c r="AT1538" s="83"/>
    </row>
    <row r="1539" spans="36:46" x14ac:dyDescent="0.3">
      <c r="AJ1539" s="83"/>
      <c r="AK1539" s="83"/>
      <c r="AL1539" s="83"/>
      <c r="AM1539" s="83"/>
      <c r="AN1539" s="83"/>
      <c r="AO1539" s="83"/>
      <c r="AP1539" s="83"/>
      <c r="AQ1539" s="83"/>
      <c r="AR1539" s="83"/>
      <c r="AS1539" s="83"/>
      <c r="AT1539" s="83"/>
    </row>
    <row r="1540" spans="36:46" x14ac:dyDescent="0.3">
      <c r="AJ1540" s="83"/>
      <c r="AK1540" s="83"/>
      <c r="AL1540" s="83"/>
      <c r="AM1540" s="83"/>
      <c r="AN1540" s="83"/>
      <c r="AO1540" s="83"/>
      <c r="AP1540" s="83"/>
      <c r="AQ1540" s="83"/>
      <c r="AR1540" s="83"/>
      <c r="AS1540" s="83"/>
      <c r="AT1540" s="83"/>
    </row>
    <row r="1541" spans="36:46" x14ac:dyDescent="0.3">
      <c r="AJ1541" s="83"/>
      <c r="AK1541" s="83"/>
      <c r="AL1541" s="83"/>
      <c r="AM1541" s="83"/>
      <c r="AN1541" s="83"/>
      <c r="AO1541" s="83"/>
      <c r="AP1541" s="83"/>
      <c r="AQ1541" s="83"/>
      <c r="AR1541" s="83"/>
      <c r="AS1541" s="83"/>
      <c r="AT1541" s="83"/>
    </row>
    <row r="1542" spans="36:46" x14ac:dyDescent="0.3">
      <c r="AJ1542" s="83"/>
      <c r="AK1542" s="83"/>
      <c r="AL1542" s="83"/>
      <c r="AM1542" s="83"/>
      <c r="AN1542" s="83"/>
      <c r="AO1542" s="83"/>
      <c r="AP1542" s="83"/>
      <c r="AQ1542" s="83"/>
      <c r="AR1542" s="83"/>
      <c r="AS1542" s="83"/>
      <c r="AT1542" s="83"/>
    </row>
    <row r="1543" spans="36:46" x14ac:dyDescent="0.3">
      <c r="AJ1543" s="83"/>
      <c r="AK1543" s="83"/>
      <c r="AL1543" s="83"/>
      <c r="AM1543" s="83"/>
      <c r="AN1543" s="83"/>
      <c r="AO1543" s="83"/>
      <c r="AP1543" s="83"/>
      <c r="AQ1543" s="83"/>
      <c r="AR1543" s="83"/>
      <c r="AS1543" s="83"/>
      <c r="AT1543" s="83"/>
    </row>
    <row r="1544" spans="36:46" x14ac:dyDescent="0.3">
      <c r="AJ1544" s="83"/>
      <c r="AK1544" s="83"/>
      <c r="AL1544" s="83"/>
      <c r="AM1544" s="83"/>
      <c r="AN1544" s="83"/>
      <c r="AO1544" s="83"/>
      <c r="AP1544" s="83"/>
      <c r="AQ1544" s="83"/>
      <c r="AR1544" s="83"/>
      <c r="AS1544" s="83"/>
      <c r="AT1544" s="83"/>
    </row>
    <row r="1545" spans="36:46" x14ac:dyDescent="0.3">
      <c r="AJ1545" s="83"/>
      <c r="AK1545" s="83"/>
      <c r="AL1545" s="83"/>
      <c r="AM1545" s="83"/>
      <c r="AN1545" s="83"/>
      <c r="AO1545" s="83"/>
      <c r="AP1545" s="83"/>
      <c r="AQ1545" s="83"/>
      <c r="AR1545" s="83"/>
      <c r="AS1545" s="83"/>
      <c r="AT1545" s="83"/>
    </row>
    <row r="1546" spans="36:46" x14ac:dyDescent="0.3">
      <c r="AJ1546" s="83"/>
      <c r="AK1546" s="83"/>
      <c r="AL1546" s="83"/>
      <c r="AM1546" s="83"/>
      <c r="AN1546" s="83"/>
      <c r="AO1546" s="83"/>
      <c r="AP1546" s="83"/>
      <c r="AQ1546" s="83"/>
      <c r="AR1546" s="83"/>
      <c r="AS1546" s="83"/>
      <c r="AT1546" s="83"/>
    </row>
    <row r="1547" spans="36:46" x14ac:dyDescent="0.3">
      <c r="AJ1547" s="83"/>
      <c r="AK1547" s="83"/>
      <c r="AL1547" s="83"/>
      <c r="AM1547" s="83"/>
      <c r="AN1547" s="83"/>
      <c r="AO1547" s="83"/>
      <c r="AP1547" s="83"/>
      <c r="AQ1547" s="83"/>
      <c r="AR1547" s="83"/>
      <c r="AS1547" s="83"/>
      <c r="AT1547" s="83"/>
    </row>
    <row r="1548" spans="36:46" x14ac:dyDescent="0.3">
      <c r="AJ1548" s="83"/>
      <c r="AK1548" s="83"/>
      <c r="AL1548" s="83"/>
      <c r="AM1548" s="83"/>
      <c r="AN1548" s="83"/>
      <c r="AO1548" s="83"/>
      <c r="AP1548" s="83"/>
      <c r="AQ1548" s="83"/>
      <c r="AR1548" s="83"/>
      <c r="AS1548" s="83"/>
      <c r="AT1548" s="83"/>
    </row>
    <row r="1549" spans="36:46" x14ac:dyDescent="0.3">
      <c r="AJ1549" s="83"/>
      <c r="AK1549" s="83"/>
      <c r="AL1549" s="83"/>
      <c r="AM1549" s="83"/>
      <c r="AN1549" s="83"/>
      <c r="AO1549" s="83"/>
      <c r="AP1549" s="83"/>
      <c r="AQ1549" s="83"/>
      <c r="AR1549" s="83"/>
      <c r="AS1549" s="83"/>
      <c r="AT1549" s="83"/>
    </row>
    <row r="1550" spans="36:46" x14ac:dyDescent="0.3">
      <c r="AJ1550" s="83"/>
      <c r="AK1550" s="83"/>
      <c r="AL1550" s="83"/>
      <c r="AM1550" s="83"/>
      <c r="AN1550" s="83"/>
      <c r="AO1550" s="83"/>
      <c r="AP1550" s="83"/>
      <c r="AQ1550" s="83"/>
      <c r="AR1550" s="83"/>
      <c r="AS1550" s="83"/>
      <c r="AT1550" s="83"/>
    </row>
    <row r="1551" spans="36:46" x14ac:dyDescent="0.3">
      <c r="AJ1551" s="83"/>
      <c r="AK1551" s="83"/>
      <c r="AL1551" s="83"/>
      <c r="AM1551" s="83"/>
      <c r="AN1551" s="83"/>
      <c r="AO1551" s="83"/>
      <c r="AP1551" s="83"/>
      <c r="AQ1551" s="83"/>
      <c r="AR1551" s="83"/>
      <c r="AS1551" s="83"/>
      <c r="AT1551" s="83"/>
    </row>
    <row r="1552" spans="36:46" x14ac:dyDescent="0.3">
      <c r="AJ1552" s="83"/>
      <c r="AK1552" s="83"/>
      <c r="AL1552" s="83"/>
      <c r="AM1552" s="83"/>
      <c r="AN1552" s="83"/>
      <c r="AO1552" s="83"/>
      <c r="AP1552" s="83"/>
      <c r="AQ1552" s="83"/>
      <c r="AR1552" s="83"/>
      <c r="AS1552" s="83"/>
      <c r="AT1552" s="83"/>
    </row>
    <row r="1553" spans="36:46" x14ac:dyDescent="0.3">
      <c r="AJ1553" s="83"/>
      <c r="AK1553" s="83"/>
      <c r="AL1553" s="83"/>
      <c r="AM1553" s="83"/>
      <c r="AN1553" s="83"/>
      <c r="AO1553" s="83"/>
      <c r="AP1553" s="83"/>
      <c r="AQ1553" s="83"/>
      <c r="AR1553" s="83"/>
      <c r="AS1553" s="83"/>
      <c r="AT1553" s="83"/>
    </row>
    <row r="1554" spans="36:46" x14ac:dyDescent="0.3">
      <c r="AJ1554" s="83"/>
      <c r="AK1554" s="83"/>
      <c r="AL1554" s="83"/>
      <c r="AM1554" s="83"/>
      <c r="AN1554" s="83"/>
      <c r="AO1554" s="83"/>
      <c r="AP1554" s="83"/>
      <c r="AQ1554" s="83"/>
      <c r="AR1554" s="83"/>
      <c r="AS1554" s="83"/>
      <c r="AT1554" s="83"/>
    </row>
    <row r="1555" spans="36:46" x14ac:dyDescent="0.3">
      <c r="AJ1555" s="83"/>
      <c r="AK1555" s="83"/>
      <c r="AL1555" s="83"/>
      <c r="AM1555" s="83"/>
      <c r="AN1555" s="83"/>
      <c r="AO1555" s="83"/>
      <c r="AP1555" s="83"/>
      <c r="AQ1555" s="83"/>
      <c r="AR1555" s="83"/>
      <c r="AS1555" s="83"/>
      <c r="AT1555" s="83"/>
    </row>
    <row r="1556" spans="36:46" x14ac:dyDescent="0.3">
      <c r="AJ1556" s="83"/>
      <c r="AK1556" s="83"/>
      <c r="AL1556" s="83"/>
      <c r="AM1556" s="83"/>
      <c r="AN1556" s="83"/>
      <c r="AO1556" s="83"/>
      <c r="AP1556" s="83"/>
      <c r="AQ1556" s="83"/>
      <c r="AR1556" s="83"/>
      <c r="AS1556" s="83"/>
      <c r="AT1556" s="83"/>
    </row>
    <row r="1557" spans="36:46" x14ac:dyDescent="0.3">
      <c r="AJ1557" s="83"/>
      <c r="AK1557" s="83"/>
      <c r="AL1557" s="83"/>
      <c r="AM1557" s="83"/>
      <c r="AN1557" s="83"/>
      <c r="AO1557" s="83"/>
      <c r="AP1557" s="83"/>
      <c r="AQ1557" s="83"/>
      <c r="AR1557" s="83"/>
      <c r="AS1557" s="83"/>
      <c r="AT1557" s="83"/>
    </row>
    <row r="1558" spans="36:46" x14ac:dyDescent="0.3">
      <c r="AJ1558" s="83"/>
      <c r="AK1558" s="83"/>
      <c r="AL1558" s="83"/>
      <c r="AM1558" s="83"/>
      <c r="AN1558" s="83"/>
      <c r="AO1558" s="83"/>
      <c r="AP1558" s="83"/>
      <c r="AQ1558" s="83"/>
      <c r="AR1558" s="83"/>
      <c r="AS1558" s="83"/>
      <c r="AT1558" s="83"/>
    </row>
    <row r="1559" spans="36:46" x14ac:dyDescent="0.3">
      <c r="AJ1559" s="83"/>
      <c r="AK1559" s="83"/>
      <c r="AL1559" s="83"/>
      <c r="AM1559" s="83"/>
      <c r="AN1559" s="83"/>
      <c r="AO1559" s="83"/>
      <c r="AP1559" s="83"/>
      <c r="AQ1559" s="83"/>
      <c r="AR1559" s="83"/>
      <c r="AS1559" s="83"/>
      <c r="AT1559" s="83"/>
    </row>
    <row r="1560" spans="36:46" x14ac:dyDescent="0.3">
      <c r="AJ1560" s="83"/>
      <c r="AK1560" s="83"/>
      <c r="AL1560" s="83"/>
      <c r="AM1560" s="83"/>
      <c r="AN1560" s="83"/>
      <c r="AO1560" s="83"/>
      <c r="AP1560" s="83"/>
      <c r="AQ1560" s="83"/>
      <c r="AR1560" s="83"/>
      <c r="AS1560" s="83"/>
      <c r="AT1560" s="83"/>
    </row>
    <row r="1561" spans="36:46" x14ac:dyDescent="0.3">
      <c r="AJ1561" s="83"/>
      <c r="AK1561" s="83"/>
      <c r="AL1561" s="83"/>
      <c r="AM1561" s="83"/>
      <c r="AN1561" s="83"/>
      <c r="AO1561" s="83"/>
      <c r="AP1561" s="83"/>
      <c r="AQ1561" s="83"/>
      <c r="AR1561" s="83"/>
      <c r="AS1561" s="83"/>
      <c r="AT1561" s="83"/>
    </row>
    <row r="1562" spans="36:46" x14ac:dyDescent="0.3">
      <c r="AJ1562" s="83"/>
      <c r="AK1562" s="83"/>
      <c r="AL1562" s="83"/>
      <c r="AM1562" s="83"/>
      <c r="AN1562" s="83"/>
      <c r="AO1562" s="83"/>
      <c r="AP1562" s="83"/>
      <c r="AQ1562" s="83"/>
      <c r="AR1562" s="83"/>
      <c r="AS1562" s="83"/>
      <c r="AT1562" s="83"/>
    </row>
    <row r="1563" spans="36:46" x14ac:dyDescent="0.3">
      <c r="AJ1563" s="83"/>
      <c r="AK1563" s="83"/>
      <c r="AL1563" s="83"/>
      <c r="AM1563" s="83"/>
      <c r="AN1563" s="83"/>
      <c r="AO1563" s="83"/>
      <c r="AP1563" s="83"/>
      <c r="AQ1563" s="83"/>
      <c r="AR1563" s="83"/>
      <c r="AS1563" s="83"/>
      <c r="AT1563" s="83"/>
    </row>
    <row r="1564" spans="36:46" x14ac:dyDescent="0.3">
      <c r="AJ1564" s="83"/>
      <c r="AK1564" s="83"/>
      <c r="AL1564" s="83"/>
      <c r="AM1564" s="83"/>
      <c r="AN1564" s="83"/>
      <c r="AO1564" s="83"/>
      <c r="AP1564" s="83"/>
      <c r="AQ1564" s="83"/>
      <c r="AR1564" s="83"/>
      <c r="AS1564" s="83"/>
      <c r="AT1564" s="83"/>
    </row>
    <row r="1565" spans="36:46" x14ac:dyDescent="0.3">
      <c r="AJ1565" s="83"/>
      <c r="AK1565" s="83"/>
      <c r="AL1565" s="83"/>
      <c r="AM1565" s="83"/>
      <c r="AN1565" s="83"/>
      <c r="AO1565" s="83"/>
      <c r="AP1565" s="83"/>
      <c r="AQ1565" s="83"/>
      <c r="AR1565" s="83"/>
      <c r="AS1565" s="83"/>
      <c r="AT1565" s="83"/>
    </row>
    <row r="1566" spans="36:46" x14ac:dyDescent="0.3">
      <c r="AJ1566" s="83"/>
      <c r="AK1566" s="83"/>
      <c r="AL1566" s="83"/>
      <c r="AM1566" s="83"/>
      <c r="AN1566" s="83"/>
      <c r="AO1566" s="83"/>
      <c r="AP1566" s="83"/>
      <c r="AQ1566" s="83"/>
      <c r="AR1566" s="83"/>
      <c r="AS1566" s="83"/>
      <c r="AT1566" s="83"/>
    </row>
    <row r="1567" spans="36:46" x14ac:dyDescent="0.3">
      <c r="AJ1567" s="83"/>
      <c r="AK1567" s="83"/>
      <c r="AL1567" s="83"/>
      <c r="AM1567" s="83"/>
      <c r="AN1567" s="83"/>
      <c r="AO1567" s="83"/>
      <c r="AP1567" s="83"/>
      <c r="AQ1567" s="83"/>
      <c r="AR1567" s="83"/>
      <c r="AS1567" s="83"/>
      <c r="AT1567" s="83"/>
    </row>
    <row r="1568" spans="36:46" x14ac:dyDescent="0.3">
      <c r="AJ1568" s="83"/>
      <c r="AK1568" s="83"/>
      <c r="AL1568" s="83"/>
      <c r="AM1568" s="83"/>
      <c r="AN1568" s="83"/>
      <c r="AO1568" s="83"/>
      <c r="AP1568" s="83"/>
      <c r="AQ1568" s="83"/>
      <c r="AR1568" s="83"/>
      <c r="AS1568" s="83"/>
      <c r="AT1568" s="83"/>
    </row>
    <row r="1569" spans="36:46" x14ac:dyDescent="0.3">
      <c r="AJ1569" s="83"/>
      <c r="AK1569" s="83"/>
      <c r="AL1569" s="83"/>
      <c r="AM1569" s="83"/>
      <c r="AN1569" s="83"/>
      <c r="AO1569" s="83"/>
      <c r="AP1569" s="83"/>
      <c r="AQ1569" s="83"/>
      <c r="AR1569" s="83"/>
      <c r="AS1569" s="83"/>
      <c r="AT1569" s="83"/>
    </row>
    <row r="1570" spans="36:46" x14ac:dyDescent="0.3">
      <c r="AJ1570" s="83"/>
      <c r="AK1570" s="83"/>
      <c r="AL1570" s="83"/>
      <c r="AM1570" s="83"/>
      <c r="AN1570" s="83"/>
      <c r="AO1570" s="83"/>
      <c r="AP1570" s="83"/>
      <c r="AQ1570" s="83"/>
      <c r="AR1570" s="83"/>
      <c r="AS1570" s="83"/>
      <c r="AT1570" s="83"/>
    </row>
    <row r="1571" spans="36:46" x14ac:dyDescent="0.3">
      <c r="AJ1571" s="83"/>
      <c r="AK1571" s="83"/>
      <c r="AL1571" s="83"/>
      <c r="AM1571" s="83"/>
      <c r="AN1571" s="83"/>
      <c r="AO1571" s="83"/>
      <c r="AP1571" s="83"/>
      <c r="AQ1571" s="83"/>
      <c r="AR1571" s="83"/>
      <c r="AS1571" s="83"/>
      <c r="AT1571" s="83"/>
    </row>
    <row r="1572" spans="36:46" x14ac:dyDescent="0.3">
      <c r="AJ1572" s="83"/>
      <c r="AK1572" s="83"/>
      <c r="AL1572" s="83"/>
      <c r="AM1572" s="83"/>
      <c r="AN1572" s="83"/>
      <c r="AO1572" s="83"/>
      <c r="AP1572" s="83"/>
      <c r="AQ1572" s="83"/>
      <c r="AR1572" s="83"/>
      <c r="AS1572" s="83"/>
      <c r="AT1572" s="83"/>
    </row>
    <row r="1573" spans="36:46" x14ac:dyDescent="0.3">
      <c r="AJ1573" s="83"/>
      <c r="AK1573" s="83"/>
      <c r="AL1573" s="83"/>
      <c r="AM1573" s="83"/>
      <c r="AN1573" s="83"/>
      <c r="AO1573" s="83"/>
      <c r="AP1573" s="83"/>
      <c r="AQ1573" s="83"/>
      <c r="AR1573" s="83"/>
      <c r="AS1573" s="83"/>
      <c r="AT1573" s="83"/>
    </row>
    <row r="1574" spans="36:46" x14ac:dyDescent="0.3">
      <c r="AJ1574" s="83"/>
      <c r="AK1574" s="83"/>
      <c r="AL1574" s="83"/>
      <c r="AM1574" s="83"/>
      <c r="AN1574" s="83"/>
      <c r="AO1574" s="83"/>
      <c r="AP1574" s="83"/>
      <c r="AQ1574" s="83"/>
      <c r="AR1574" s="83"/>
      <c r="AS1574" s="83"/>
      <c r="AT1574" s="83"/>
    </row>
    <row r="1575" spans="36:46" x14ac:dyDescent="0.3">
      <c r="AJ1575" s="83"/>
      <c r="AK1575" s="83"/>
      <c r="AL1575" s="83"/>
      <c r="AM1575" s="83"/>
      <c r="AN1575" s="83"/>
      <c r="AO1575" s="83"/>
      <c r="AP1575" s="83"/>
      <c r="AQ1575" s="83"/>
      <c r="AR1575" s="83"/>
      <c r="AS1575" s="83"/>
      <c r="AT1575" s="83"/>
    </row>
    <row r="1576" spans="36:46" x14ac:dyDescent="0.3">
      <c r="AJ1576" s="83"/>
      <c r="AK1576" s="83"/>
      <c r="AL1576" s="83"/>
      <c r="AM1576" s="83"/>
      <c r="AN1576" s="83"/>
      <c r="AO1576" s="83"/>
      <c r="AP1576" s="83"/>
      <c r="AQ1576" s="83"/>
      <c r="AR1576" s="83"/>
      <c r="AS1576" s="83"/>
      <c r="AT1576" s="83"/>
    </row>
    <row r="1577" spans="36:46" x14ac:dyDescent="0.3">
      <c r="AJ1577" s="83"/>
      <c r="AK1577" s="83"/>
      <c r="AL1577" s="83"/>
      <c r="AM1577" s="83"/>
      <c r="AN1577" s="83"/>
      <c r="AO1577" s="83"/>
      <c r="AP1577" s="83"/>
      <c r="AQ1577" s="83"/>
      <c r="AR1577" s="83"/>
      <c r="AS1577" s="83"/>
      <c r="AT1577" s="83"/>
    </row>
    <row r="1578" spans="36:46" x14ac:dyDescent="0.3">
      <c r="AJ1578" s="83"/>
      <c r="AK1578" s="83"/>
      <c r="AL1578" s="83"/>
      <c r="AM1578" s="83"/>
      <c r="AN1578" s="83"/>
      <c r="AO1578" s="83"/>
      <c r="AP1578" s="83"/>
      <c r="AQ1578" s="83"/>
      <c r="AR1578" s="83"/>
      <c r="AS1578" s="83"/>
      <c r="AT1578" s="83"/>
    </row>
    <row r="1579" spans="36:46" x14ac:dyDescent="0.3">
      <c r="AJ1579" s="83"/>
      <c r="AK1579" s="83"/>
      <c r="AL1579" s="83"/>
      <c r="AM1579" s="83"/>
      <c r="AN1579" s="83"/>
      <c r="AO1579" s="83"/>
      <c r="AP1579" s="83"/>
      <c r="AQ1579" s="83"/>
      <c r="AR1579" s="83"/>
      <c r="AS1579" s="83"/>
      <c r="AT1579" s="83"/>
    </row>
    <row r="1580" spans="36:46" x14ac:dyDescent="0.3">
      <c r="AJ1580" s="83"/>
      <c r="AK1580" s="83"/>
      <c r="AL1580" s="83"/>
      <c r="AM1580" s="83"/>
      <c r="AN1580" s="83"/>
      <c r="AO1580" s="83"/>
      <c r="AP1580" s="83"/>
      <c r="AQ1580" s="83"/>
      <c r="AR1580" s="83"/>
      <c r="AS1580" s="83"/>
      <c r="AT1580" s="83"/>
    </row>
    <row r="1581" spans="36:46" x14ac:dyDescent="0.3">
      <c r="AJ1581" s="83"/>
      <c r="AK1581" s="83"/>
      <c r="AL1581" s="83"/>
      <c r="AM1581" s="83"/>
      <c r="AN1581" s="83"/>
      <c r="AO1581" s="83"/>
      <c r="AP1581" s="83"/>
      <c r="AQ1581" s="83"/>
      <c r="AR1581" s="83"/>
      <c r="AS1581" s="83"/>
      <c r="AT1581" s="83"/>
    </row>
    <row r="1582" spans="36:46" x14ac:dyDescent="0.3">
      <c r="AJ1582" s="83"/>
      <c r="AK1582" s="83"/>
      <c r="AL1582" s="83"/>
      <c r="AM1582" s="83"/>
      <c r="AN1582" s="83"/>
      <c r="AO1582" s="83"/>
      <c r="AP1582" s="83"/>
      <c r="AQ1582" s="83"/>
      <c r="AR1582" s="83"/>
      <c r="AS1582" s="83"/>
      <c r="AT1582" s="83"/>
    </row>
    <row r="1583" spans="36:46" x14ac:dyDescent="0.3">
      <c r="AJ1583" s="83"/>
      <c r="AK1583" s="83"/>
      <c r="AL1583" s="83"/>
      <c r="AM1583" s="83"/>
      <c r="AN1583" s="83"/>
      <c r="AO1583" s="83"/>
      <c r="AP1583" s="83"/>
      <c r="AQ1583" s="83"/>
      <c r="AR1583" s="83"/>
      <c r="AS1583" s="83"/>
      <c r="AT1583" s="83"/>
    </row>
    <row r="1584" spans="36:46" x14ac:dyDescent="0.3">
      <c r="AJ1584" s="83"/>
      <c r="AK1584" s="83"/>
      <c r="AL1584" s="83"/>
      <c r="AM1584" s="83"/>
      <c r="AN1584" s="83"/>
      <c r="AO1584" s="83"/>
      <c r="AP1584" s="83"/>
      <c r="AQ1584" s="83"/>
      <c r="AR1584" s="83"/>
      <c r="AS1584" s="83"/>
      <c r="AT1584" s="83"/>
    </row>
    <row r="1585" spans="36:46" x14ac:dyDescent="0.3">
      <c r="AJ1585" s="83"/>
      <c r="AK1585" s="83"/>
      <c r="AL1585" s="83"/>
      <c r="AM1585" s="83"/>
      <c r="AN1585" s="83"/>
      <c r="AO1585" s="83"/>
      <c r="AP1585" s="83"/>
      <c r="AQ1585" s="83"/>
      <c r="AR1585" s="83"/>
      <c r="AS1585" s="83"/>
      <c r="AT1585" s="83"/>
    </row>
    <row r="1586" spans="36:46" x14ac:dyDescent="0.3">
      <c r="AJ1586" s="83"/>
      <c r="AK1586" s="83"/>
      <c r="AL1586" s="83"/>
      <c r="AM1586" s="83"/>
      <c r="AN1586" s="83"/>
      <c r="AO1586" s="83"/>
      <c r="AP1586" s="83"/>
      <c r="AQ1586" s="83"/>
      <c r="AR1586" s="83"/>
      <c r="AS1586" s="83"/>
      <c r="AT1586" s="83"/>
    </row>
    <row r="1587" spans="36:46" x14ac:dyDescent="0.3">
      <c r="AJ1587" s="83"/>
      <c r="AK1587" s="83"/>
      <c r="AL1587" s="83"/>
      <c r="AM1587" s="83"/>
      <c r="AN1587" s="83"/>
      <c r="AO1587" s="83"/>
      <c r="AP1587" s="83"/>
      <c r="AQ1587" s="83"/>
      <c r="AR1587" s="83"/>
      <c r="AS1587" s="83"/>
      <c r="AT1587" s="83"/>
    </row>
    <row r="1588" spans="36:46" x14ac:dyDescent="0.3">
      <c r="AJ1588" s="83"/>
      <c r="AK1588" s="83"/>
      <c r="AL1588" s="83"/>
      <c r="AM1588" s="83"/>
      <c r="AN1588" s="83"/>
      <c r="AO1588" s="83"/>
      <c r="AP1588" s="83"/>
      <c r="AQ1588" s="83"/>
      <c r="AR1588" s="83"/>
      <c r="AS1588" s="83"/>
      <c r="AT1588" s="83"/>
    </row>
    <row r="1589" spans="36:46" x14ac:dyDescent="0.3">
      <c r="AJ1589" s="83"/>
      <c r="AK1589" s="83"/>
      <c r="AL1589" s="83"/>
      <c r="AM1589" s="83"/>
      <c r="AN1589" s="83"/>
      <c r="AO1589" s="83"/>
      <c r="AP1589" s="83"/>
      <c r="AQ1589" s="83"/>
      <c r="AR1589" s="83"/>
      <c r="AS1589" s="83"/>
      <c r="AT1589" s="83"/>
    </row>
    <row r="1590" spans="36:46" x14ac:dyDescent="0.3">
      <c r="AJ1590" s="83"/>
      <c r="AK1590" s="83"/>
      <c r="AL1590" s="83"/>
      <c r="AM1590" s="83"/>
      <c r="AN1590" s="83"/>
      <c r="AO1590" s="83"/>
      <c r="AP1590" s="83"/>
      <c r="AQ1590" s="83"/>
      <c r="AR1590" s="83"/>
      <c r="AS1590" s="83"/>
      <c r="AT1590" s="83"/>
    </row>
    <row r="1591" spans="36:46" x14ac:dyDescent="0.3">
      <c r="AJ1591" s="83"/>
      <c r="AK1591" s="83"/>
      <c r="AL1591" s="83"/>
      <c r="AM1591" s="83"/>
      <c r="AN1591" s="83"/>
      <c r="AO1591" s="83"/>
      <c r="AP1591" s="83"/>
      <c r="AQ1591" s="83"/>
      <c r="AR1591" s="83"/>
      <c r="AS1591" s="83"/>
      <c r="AT1591" s="83"/>
    </row>
    <row r="1592" spans="36:46" x14ac:dyDescent="0.3">
      <c r="AJ1592" s="83"/>
      <c r="AK1592" s="83"/>
      <c r="AL1592" s="83"/>
      <c r="AM1592" s="83"/>
      <c r="AN1592" s="83"/>
      <c r="AO1592" s="83"/>
      <c r="AP1592" s="83"/>
      <c r="AQ1592" s="83"/>
      <c r="AR1592" s="83"/>
      <c r="AS1592" s="83"/>
      <c r="AT1592" s="83"/>
    </row>
    <row r="1593" spans="36:46" x14ac:dyDescent="0.3">
      <c r="AJ1593" s="83"/>
      <c r="AK1593" s="83"/>
      <c r="AL1593" s="83"/>
      <c r="AM1593" s="83"/>
      <c r="AN1593" s="83"/>
      <c r="AO1593" s="83"/>
      <c r="AP1593" s="83"/>
      <c r="AQ1593" s="83"/>
      <c r="AR1593" s="83"/>
      <c r="AS1593" s="83"/>
      <c r="AT1593" s="83"/>
    </row>
    <row r="1594" spans="36:46" x14ac:dyDescent="0.3">
      <c r="AJ1594" s="83"/>
      <c r="AK1594" s="83"/>
      <c r="AL1594" s="83"/>
      <c r="AM1594" s="83"/>
      <c r="AN1594" s="83"/>
      <c r="AO1594" s="83"/>
      <c r="AP1594" s="83"/>
      <c r="AQ1594" s="83"/>
      <c r="AR1594" s="83"/>
      <c r="AS1594" s="83"/>
      <c r="AT1594" s="83"/>
    </row>
    <row r="1595" spans="36:46" x14ac:dyDescent="0.3">
      <c r="AJ1595" s="83"/>
      <c r="AK1595" s="83"/>
      <c r="AL1595" s="83"/>
      <c r="AM1595" s="83"/>
      <c r="AN1595" s="83"/>
      <c r="AO1595" s="83"/>
      <c r="AP1595" s="83"/>
      <c r="AQ1595" s="83"/>
      <c r="AR1595" s="83"/>
      <c r="AS1595" s="83"/>
      <c r="AT1595" s="83"/>
    </row>
    <row r="1596" spans="36:46" x14ac:dyDescent="0.3">
      <c r="AJ1596" s="83"/>
      <c r="AK1596" s="83"/>
      <c r="AL1596" s="83"/>
      <c r="AM1596" s="83"/>
      <c r="AN1596" s="83"/>
      <c r="AO1596" s="83"/>
      <c r="AP1596" s="83"/>
      <c r="AQ1596" s="83"/>
      <c r="AR1596" s="83"/>
      <c r="AS1596" s="83"/>
      <c r="AT1596" s="83"/>
    </row>
    <row r="1597" spans="36:46" x14ac:dyDescent="0.3">
      <c r="AJ1597" s="83"/>
      <c r="AK1597" s="83"/>
      <c r="AL1597" s="83"/>
      <c r="AM1597" s="83"/>
      <c r="AN1597" s="83"/>
      <c r="AO1597" s="83"/>
      <c r="AP1597" s="83"/>
      <c r="AQ1597" s="83"/>
      <c r="AR1597" s="83"/>
      <c r="AS1597" s="83"/>
      <c r="AT1597" s="83"/>
    </row>
    <row r="1598" spans="36:46" x14ac:dyDescent="0.3">
      <c r="AJ1598" s="83"/>
      <c r="AK1598" s="83"/>
      <c r="AL1598" s="83"/>
      <c r="AM1598" s="83"/>
      <c r="AN1598" s="83"/>
      <c r="AO1598" s="83"/>
      <c r="AP1598" s="83"/>
      <c r="AQ1598" s="83"/>
      <c r="AR1598" s="83"/>
      <c r="AS1598" s="83"/>
      <c r="AT1598" s="83"/>
    </row>
    <row r="1599" spans="36:46" x14ac:dyDescent="0.3">
      <c r="AJ1599" s="83"/>
      <c r="AK1599" s="83"/>
      <c r="AL1599" s="83"/>
      <c r="AM1599" s="83"/>
      <c r="AN1599" s="83"/>
      <c r="AO1599" s="83"/>
      <c r="AP1599" s="83"/>
      <c r="AQ1599" s="83"/>
      <c r="AR1599" s="83"/>
      <c r="AS1599" s="83"/>
      <c r="AT1599" s="83"/>
    </row>
    <row r="1600" spans="36:46" x14ac:dyDescent="0.3">
      <c r="AJ1600" s="83"/>
      <c r="AK1600" s="83"/>
      <c r="AL1600" s="83"/>
      <c r="AM1600" s="83"/>
      <c r="AN1600" s="83"/>
      <c r="AO1600" s="83"/>
      <c r="AP1600" s="83"/>
      <c r="AQ1600" s="83"/>
      <c r="AR1600" s="83"/>
      <c r="AS1600" s="83"/>
      <c r="AT1600" s="83"/>
    </row>
    <row r="1601" spans="36:46" x14ac:dyDescent="0.3">
      <c r="AJ1601" s="83"/>
      <c r="AK1601" s="83"/>
      <c r="AL1601" s="83"/>
      <c r="AM1601" s="83"/>
      <c r="AN1601" s="83"/>
      <c r="AO1601" s="83"/>
      <c r="AP1601" s="83"/>
      <c r="AQ1601" s="83"/>
      <c r="AR1601" s="83"/>
      <c r="AS1601" s="83"/>
      <c r="AT1601" s="83"/>
    </row>
    <row r="1602" spans="36:46" x14ac:dyDescent="0.3">
      <c r="AJ1602" s="83"/>
      <c r="AK1602" s="83"/>
      <c r="AL1602" s="83"/>
      <c r="AM1602" s="83"/>
      <c r="AN1602" s="83"/>
      <c r="AO1602" s="83"/>
      <c r="AP1602" s="83"/>
      <c r="AQ1602" s="83"/>
      <c r="AR1602" s="83"/>
      <c r="AS1602" s="83"/>
      <c r="AT1602" s="83"/>
    </row>
    <row r="1603" spans="36:46" x14ac:dyDescent="0.3">
      <c r="AJ1603" s="83"/>
      <c r="AK1603" s="83"/>
      <c r="AL1603" s="83"/>
      <c r="AM1603" s="83"/>
      <c r="AN1603" s="83"/>
      <c r="AO1603" s="83"/>
      <c r="AP1603" s="83"/>
      <c r="AQ1603" s="83"/>
      <c r="AR1603" s="83"/>
      <c r="AS1603" s="83"/>
      <c r="AT1603" s="83"/>
    </row>
    <row r="1604" spans="36:46" x14ac:dyDescent="0.3">
      <c r="AJ1604" s="83"/>
      <c r="AK1604" s="83"/>
      <c r="AL1604" s="83"/>
      <c r="AM1604" s="83"/>
      <c r="AN1604" s="83"/>
      <c r="AO1604" s="83"/>
      <c r="AP1604" s="83"/>
      <c r="AQ1604" s="83"/>
      <c r="AR1604" s="83"/>
      <c r="AS1604" s="83"/>
      <c r="AT1604" s="83"/>
    </row>
    <row r="1605" spans="36:46" x14ac:dyDescent="0.3">
      <c r="AJ1605" s="83"/>
      <c r="AK1605" s="83"/>
      <c r="AL1605" s="83"/>
      <c r="AM1605" s="83"/>
      <c r="AN1605" s="83"/>
      <c r="AO1605" s="83"/>
      <c r="AP1605" s="83"/>
      <c r="AQ1605" s="83"/>
      <c r="AR1605" s="83"/>
      <c r="AS1605" s="83"/>
      <c r="AT1605" s="83"/>
    </row>
    <row r="1606" spans="36:46" x14ac:dyDescent="0.3">
      <c r="AJ1606" s="83"/>
      <c r="AK1606" s="83"/>
      <c r="AL1606" s="83"/>
      <c r="AM1606" s="83"/>
      <c r="AN1606" s="83"/>
      <c r="AO1606" s="83"/>
      <c r="AP1606" s="83"/>
      <c r="AQ1606" s="83"/>
      <c r="AR1606" s="83"/>
      <c r="AS1606" s="83"/>
      <c r="AT1606" s="83"/>
    </row>
    <row r="1607" spans="36:46" x14ac:dyDescent="0.3">
      <c r="AJ1607" s="83"/>
      <c r="AK1607" s="83"/>
      <c r="AL1607" s="83"/>
      <c r="AM1607" s="83"/>
      <c r="AN1607" s="83"/>
      <c r="AO1607" s="83"/>
      <c r="AP1607" s="83"/>
      <c r="AQ1607" s="83"/>
      <c r="AR1607" s="83"/>
      <c r="AS1607" s="83"/>
      <c r="AT1607" s="83"/>
    </row>
    <row r="1608" spans="36:46" x14ac:dyDescent="0.3">
      <c r="AJ1608" s="83"/>
      <c r="AK1608" s="83"/>
      <c r="AL1608" s="83"/>
      <c r="AM1608" s="83"/>
      <c r="AN1608" s="83"/>
      <c r="AO1608" s="83"/>
      <c r="AP1608" s="83"/>
      <c r="AQ1608" s="83"/>
      <c r="AR1608" s="83"/>
      <c r="AS1608" s="83"/>
      <c r="AT1608" s="83"/>
    </row>
    <row r="1609" spans="36:46" x14ac:dyDescent="0.3">
      <c r="AJ1609" s="83"/>
      <c r="AK1609" s="83"/>
      <c r="AL1609" s="83"/>
      <c r="AM1609" s="83"/>
      <c r="AN1609" s="83"/>
      <c r="AO1609" s="83"/>
      <c r="AP1609" s="83"/>
      <c r="AQ1609" s="83"/>
      <c r="AR1609" s="83"/>
      <c r="AS1609" s="83"/>
      <c r="AT1609" s="83"/>
    </row>
    <row r="1610" spans="36:46" x14ac:dyDescent="0.3">
      <c r="AJ1610" s="83"/>
      <c r="AK1610" s="83"/>
      <c r="AL1610" s="83"/>
      <c r="AM1610" s="83"/>
      <c r="AN1610" s="83"/>
      <c r="AO1610" s="83"/>
      <c r="AP1610" s="83"/>
      <c r="AQ1610" s="83"/>
      <c r="AR1610" s="83"/>
      <c r="AS1610" s="83"/>
      <c r="AT1610" s="83"/>
    </row>
    <row r="1611" spans="36:46" x14ac:dyDescent="0.3">
      <c r="AJ1611" s="83"/>
      <c r="AK1611" s="83"/>
      <c r="AL1611" s="83"/>
      <c r="AM1611" s="83"/>
      <c r="AN1611" s="83"/>
      <c r="AO1611" s="83"/>
      <c r="AP1611" s="83"/>
      <c r="AQ1611" s="83"/>
      <c r="AR1611" s="83"/>
      <c r="AS1611" s="83"/>
      <c r="AT1611" s="83"/>
    </row>
    <row r="1612" spans="36:46" x14ac:dyDescent="0.3">
      <c r="AJ1612" s="83"/>
      <c r="AK1612" s="83"/>
      <c r="AL1612" s="83"/>
      <c r="AM1612" s="83"/>
      <c r="AN1612" s="83"/>
      <c r="AO1612" s="83"/>
      <c r="AP1612" s="83"/>
      <c r="AQ1612" s="83"/>
      <c r="AR1612" s="83"/>
      <c r="AS1612" s="83"/>
      <c r="AT1612" s="83"/>
    </row>
    <row r="1613" spans="36:46" x14ac:dyDescent="0.3">
      <c r="AJ1613" s="83"/>
      <c r="AK1613" s="83"/>
      <c r="AL1613" s="83"/>
      <c r="AM1613" s="83"/>
      <c r="AN1613" s="83"/>
      <c r="AO1613" s="83"/>
      <c r="AP1613" s="83"/>
      <c r="AQ1613" s="83"/>
      <c r="AR1613" s="83"/>
      <c r="AS1613" s="83"/>
      <c r="AT1613" s="83"/>
    </row>
    <row r="1614" spans="36:46" x14ac:dyDescent="0.3">
      <c r="AJ1614" s="83"/>
      <c r="AK1614" s="83"/>
      <c r="AL1614" s="83"/>
      <c r="AM1614" s="83"/>
      <c r="AN1614" s="83"/>
      <c r="AO1614" s="83"/>
      <c r="AP1614" s="83"/>
      <c r="AQ1614" s="83"/>
      <c r="AR1614" s="83"/>
      <c r="AS1614" s="83"/>
      <c r="AT1614" s="83"/>
    </row>
    <row r="1615" spans="36:46" x14ac:dyDescent="0.3">
      <c r="AJ1615" s="83"/>
      <c r="AK1615" s="83"/>
      <c r="AL1615" s="83"/>
      <c r="AM1615" s="83"/>
      <c r="AN1615" s="83"/>
      <c r="AO1615" s="83"/>
      <c r="AP1615" s="83"/>
      <c r="AQ1615" s="83"/>
      <c r="AR1615" s="83"/>
      <c r="AS1615" s="83"/>
      <c r="AT1615" s="83"/>
    </row>
    <row r="1616" spans="36:46" x14ac:dyDescent="0.3">
      <c r="AJ1616" s="83"/>
      <c r="AK1616" s="83"/>
      <c r="AL1616" s="83"/>
      <c r="AM1616" s="83"/>
      <c r="AN1616" s="83"/>
      <c r="AO1616" s="83"/>
      <c r="AP1616" s="83"/>
      <c r="AQ1616" s="83"/>
      <c r="AR1616" s="83"/>
      <c r="AS1616" s="83"/>
      <c r="AT1616" s="83"/>
    </row>
    <row r="1617" spans="36:46" x14ac:dyDescent="0.3">
      <c r="AJ1617" s="83"/>
      <c r="AK1617" s="83"/>
      <c r="AL1617" s="83"/>
      <c r="AM1617" s="83"/>
      <c r="AN1617" s="83"/>
      <c r="AO1617" s="83"/>
      <c r="AP1617" s="83"/>
      <c r="AQ1617" s="83"/>
      <c r="AR1617" s="83"/>
      <c r="AS1617" s="83"/>
      <c r="AT1617" s="83"/>
    </row>
    <row r="1618" spans="36:46" x14ac:dyDescent="0.3">
      <c r="AJ1618" s="83"/>
      <c r="AK1618" s="83"/>
      <c r="AL1618" s="83"/>
      <c r="AM1618" s="83"/>
      <c r="AN1618" s="83"/>
      <c r="AO1618" s="83"/>
      <c r="AP1618" s="83"/>
      <c r="AQ1618" s="83"/>
      <c r="AR1618" s="83"/>
      <c r="AS1618" s="83"/>
      <c r="AT1618" s="83"/>
    </row>
    <row r="1619" spans="36:46" x14ac:dyDescent="0.3">
      <c r="AJ1619" s="83"/>
      <c r="AK1619" s="83"/>
      <c r="AL1619" s="83"/>
      <c r="AM1619" s="83"/>
      <c r="AN1619" s="83"/>
      <c r="AO1619" s="83"/>
      <c r="AP1619" s="83"/>
      <c r="AQ1619" s="83"/>
      <c r="AR1619" s="83"/>
      <c r="AS1619" s="83"/>
      <c r="AT1619" s="83"/>
    </row>
    <row r="1620" spans="36:46" x14ac:dyDescent="0.3">
      <c r="AJ1620" s="83"/>
      <c r="AK1620" s="83"/>
      <c r="AL1620" s="83"/>
      <c r="AM1620" s="83"/>
      <c r="AN1620" s="83"/>
      <c r="AO1620" s="83"/>
      <c r="AP1620" s="83"/>
      <c r="AQ1620" s="83"/>
      <c r="AR1620" s="83"/>
      <c r="AS1620" s="83"/>
      <c r="AT1620" s="83"/>
    </row>
    <row r="1621" spans="36:46" x14ac:dyDescent="0.3">
      <c r="AJ1621" s="83"/>
      <c r="AK1621" s="83"/>
      <c r="AL1621" s="83"/>
      <c r="AM1621" s="83"/>
      <c r="AN1621" s="83"/>
      <c r="AO1621" s="83"/>
      <c r="AP1621" s="83"/>
      <c r="AQ1621" s="83"/>
      <c r="AR1621" s="83"/>
      <c r="AS1621" s="83"/>
      <c r="AT1621" s="83"/>
    </row>
    <row r="1622" spans="36:46" x14ac:dyDescent="0.3">
      <c r="AJ1622" s="83"/>
      <c r="AK1622" s="83"/>
      <c r="AL1622" s="83"/>
      <c r="AM1622" s="83"/>
      <c r="AN1622" s="83"/>
      <c r="AO1622" s="83"/>
      <c r="AP1622" s="83"/>
      <c r="AQ1622" s="83"/>
      <c r="AR1622" s="83"/>
      <c r="AS1622" s="83"/>
      <c r="AT1622" s="83"/>
    </row>
    <row r="1623" spans="36:46" x14ac:dyDescent="0.3">
      <c r="AJ1623" s="83"/>
      <c r="AK1623" s="83"/>
      <c r="AL1623" s="83"/>
      <c r="AM1623" s="83"/>
      <c r="AN1623" s="83"/>
      <c r="AO1623" s="83"/>
      <c r="AP1623" s="83"/>
      <c r="AQ1623" s="83"/>
      <c r="AR1623" s="83"/>
      <c r="AS1623" s="83"/>
      <c r="AT1623" s="83"/>
    </row>
    <row r="1624" spans="36:46" x14ac:dyDescent="0.3">
      <c r="AJ1624" s="83"/>
      <c r="AK1624" s="83"/>
      <c r="AL1624" s="83"/>
      <c r="AM1624" s="83"/>
      <c r="AN1624" s="83"/>
      <c r="AO1624" s="83"/>
      <c r="AP1624" s="83"/>
      <c r="AQ1624" s="83"/>
      <c r="AR1624" s="83"/>
      <c r="AS1624" s="83"/>
      <c r="AT1624" s="83"/>
    </row>
    <row r="1625" spans="36:46" x14ac:dyDescent="0.3">
      <c r="AJ1625" s="83"/>
      <c r="AK1625" s="83"/>
      <c r="AL1625" s="83"/>
      <c r="AM1625" s="83"/>
      <c r="AN1625" s="83"/>
      <c r="AO1625" s="83"/>
      <c r="AP1625" s="83"/>
      <c r="AQ1625" s="83"/>
      <c r="AR1625" s="83"/>
      <c r="AS1625" s="83"/>
      <c r="AT1625" s="83"/>
    </row>
    <row r="1626" spans="36:46" x14ac:dyDescent="0.3">
      <c r="AJ1626" s="83"/>
      <c r="AK1626" s="83"/>
      <c r="AL1626" s="83"/>
      <c r="AM1626" s="83"/>
      <c r="AN1626" s="83"/>
      <c r="AO1626" s="83"/>
      <c r="AP1626" s="83"/>
      <c r="AQ1626" s="83"/>
      <c r="AR1626" s="83"/>
      <c r="AS1626" s="83"/>
      <c r="AT1626" s="83"/>
    </row>
    <row r="1627" spans="36:46" x14ac:dyDescent="0.3">
      <c r="AJ1627" s="83"/>
      <c r="AK1627" s="83"/>
      <c r="AL1627" s="83"/>
      <c r="AM1627" s="83"/>
      <c r="AN1627" s="83"/>
      <c r="AO1627" s="83"/>
      <c r="AP1627" s="83"/>
      <c r="AQ1627" s="83"/>
      <c r="AR1627" s="83"/>
      <c r="AS1627" s="83"/>
      <c r="AT1627" s="83"/>
    </row>
    <row r="1628" spans="36:46" x14ac:dyDescent="0.3">
      <c r="AJ1628" s="83"/>
      <c r="AK1628" s="83"/>
      <c r="AL1628" s="83"/>
      <c r="AM1628" s="83"/>
      <c r="AN1628" s="83"/>
      <c r="AO1628" s="83"/>
      <c r="AP1628" s="83"/>
      <c r="AQ1628" s="83"/>
      <c r="AR1628" s="83"/>
      <c r="AS1628" s="83"/>
      <c r="AT1628" s="83"/>
    </row>
    <row r="1629" spans="36:46" x14ac:dyDescent="0.3">
      <c r="AJ1629" s="83"/>
      <c r="AK1629" s="83"/>
      <c r="AL1629" s="83"/>
      <c r="AM1629" s="83"/>
      <c r="AN1629" s="83"/>
      <c r="AO1629" s="83"/>
      <c r="AP1629" s="83"/>
      <c r="AQ1629" s="83"/>
      <c r="AR1629" s="83"/>
      <c r="AS1629" s="83"/>
      <c r="AT1629" s="83"/>
    </row>
    <row r="1630" spans="36:46" x14ac:dyDescent="0.3">
      <c r="AJ1630" s="83"/>
      <c r="AK1630" s="83"/>
      <c r="AL1630" s="83"/>
      <c r="AM1630" s="83"/>
      <c r="AN1630" s="83"/>
      <c r="AO1630" s="83"/>
      <c r="AP1630" s="83"/>
      <c r="AQ1630" s="83"/>
      <c r="AR1630" s="83"/>
      <c r="AS1630" s="83"/>
      <c r="AT1630" s="83"/>
    </row>
    <row r="1631" spans="36:46" x14ac:dyDescent="0.3">
      <c r="AJ1631" s="83"/>
      <c r="AK1631" s="83"/>
      <c r="AL1631" s="83"/>
      <c r="AM1631" s="83"/>
      <c r="AN1631" s="83"/>
      <c r="AO1631" s="83"/>
      <c r="AP1631" s="83"/>
      <c r="AQ1631" s="83"/>
      <c r="AR1631" s="83"/>
      <c r="AS1631" s="83"/>
      <c r="AT1631" s="83"/>
    </row>
    <row r="1632" spans="36:46" x14ac:dyDescent="0.3">
      <c r="AJ1632" s="83"/>
      <c r="AK1632" s="83"/>
      <c r="AL1632" s="83"/>
      <c r="AM1632" s="83"/>
      <c r="AN1632" s="83"/>
      <c r="AO1632" s="83"/>
      <c r="AP1632" s="83"/>
      <c r="AQ1632" s="83"/>
      <c r="AR1632" s="83"/>
      <c r="AS1632" s="83"/>
      <c r="AT1632" s="83"/>
    </row>
    <row r="1633" spans="36:46" x14ac:dyDescent="0.3">
      <c r="AJ1633" s="83"/>
      <c r="AK1633" s="83"/>
      <c r="AL1633" s="83"/>
      <c r="AM1633" s="83"/>
      <c r="AN1633" s="83"/>
      <c r="AO1633" s="83"/>
      <c r="AP1633" s="83"/>
      <c r="AQ1633" s="83"/>
      <c r="AR1633" s="83"/>
      <c r="AS1633" s="83"/>
      <c r="AT1633" s="83"/>
    </row>
    <row r="1634" spans="36:46" x14ac:dyDescent="0.3">
      <c r="AJ1634" s="83"/>
      <c r="AK1634" s="83"/>
      <c r="AL1634" s="83"/>
      <c r="AM1634" s="83"/>
      <c r="AN1634" s="83"/>
      <c r="AO1634" s="83"/>
      <c r="AP1634" s="83"/>
      <c r="AQ1634" s="83"/>
      <c r="AR1634" s="83"/>
      <c r="AS1634" s="83"/>
      <c r="AT1634" s="83"/>
    </row>
    <row r="1635" spans="36:46" x14ac:dyDescent="0.3">
      <c r="AJ1635" s="83"/>
      <c r="AK1635" s="83"/>
      <c r="AL1635" s="83"/>
      <c r="AM1635" s="83"/>
      <c r="AN1635" s="83"/>
      <c r="AO1635" s="83"/>
      <c r="AP1635" s="83"/>
      <c r="AQ1635" s="83"/>
      <c r="AR1635" s="83"/>
      <c r="AS1635" s="83"/>
      <c r="AT1635" s="83"/>
    </row>
    <row r="1636" spans="36:46" x14ac:dyDescent="0.3">
      <c r="AJ1636" s="83"/>
      <c r="AK1636" s="83"/>
      <c r="AL1636" s="83"/>
      <c r="AM1636" s="83"/>
      <c r="AN1636" s="83"/>
      <c r="AO1636" s="83"/>
      <c r="AP1636" s="83"/>
      <c r="AQ1636" s="83"/>
      <c r="AR1636" s="83"/>
      <c r="AS1636" s="83"/>
      <c r="AT1636" s="83"/>
    </row>
    <row r="1637" spans="36:46" x14ac:dyDescent="0.3">
      <c r="AJ1637" s="83"/>
      <c r="AK1637" s="83"/>
      <c r="AL1637" s="83"/>
      <c r="AM1637" s="83"/>
      <c r="AN1637" s="83"/>
      <c r="AO1637" s="83"/>
      <c r="AP1637" s="83"/>
      <c r="AQ1637" s="83"/>
      <c r="AR1637" s="83"/>
      <c r="AS1637" s="83"/>
      <c r="AT1637" s="83"/>
    </row>
    <row r="1638" spans="36:46" x14ac:dyDescent="0.3">
      <c r="AJ1638" s="83"/>
      <c r="AK1638" s="83"/>
      <c r="AL1638" s="83"/>
      <c r="AM1638" s="83"/>
      <c r="AN1638" s="83"/>
      <c r="AO1638" s="83"/>
      <c r="AP1638" s="83"/>
      <c r="AQ1638" s="83"/>
      <c r="AR1638" s="83"/>
      <c r="AS1638" s="83"/>
      <c r="AT1638" s="83"/>
    </row>
    <row r="1639" spans="36:46" x14ac:dyDescent="0.3">
      <c r="AJ1639" s="83"/>
      <c r="AK1639" s="83"/>
      <c r="AL1639" s="83"/>
      <c r="AM1639" s="83"/>
      <c r="AN1639" s="83"/>
      <c r="AO1639" s="83"/>
      <c r="AP1639" s="83"/>
      <c r="AQ1639" s="83"/>
      <c r="AR1639" s="83"/>
      <c r="AS1639" s="83"/>
      <c r="AT1639" s="83"/>
    </row>
    <row r="1640" spans="36:46" x14ac:dyDescent="0.3">
      <c r="AJ1640" s="83"/>
      <c r="AK1640" s="83"/>
      <c r="AL1640" s="83"/>
      <c r="AM1640" s="83"/>
      <c r="AN1640" s="83"/>
      <c r="AO1640" s="83"/>
      <c r="AP1640" s="83"/>
      <c r="AQ1640" s="83"/>
      <c r="AR1640" s="83"/>
      <c r="AS1640" s="83"/>
      <c r="AT1640" s="83"/>
    </row>
    <row r="1641" spans="36:46" x14ac:dyDescent="0.3">
      <c r="AJ1641" s="83"/>
      <c r="AK1641" s="83"/>
      <c r="AL1641" s="83"/>
      <c r="AM1641" s="83"/>
      <c r="AN1641" s="83"/>
      <c r="AO1641" s="83"/>
      <c r="AP1641" s="83"/>
      <c r="AQ1641" s="83"/>
      <c r="AR1641" s="83"/>
      <c r="AS1641" s="83"/>
      <c r="AT1641" s="83"/>
    </row>
    <row r="1642" spans="36:46" x14ac:dyDescent="0.3">
      <c r="AJ1642" s="83"/>
      <c r="AK1642" s="83"/>
      <c r="AL1642" s="83"/>
      <c r="AM1642" s="83"/>
      <c r="AN1642" s="83"/>
      <c r="AO1642" s="83"/>
      <c r="AP1642" s="83"/>
      <c r="AQ1642" s="83"/>
      <c r="AR1642" s="83"/>
      <c r="AS1642" s="83"/>
      <c r="AT1642" s="83"/>
    </row>
    <row r="1643" spans="36:46" x14ac:dyDescent="0.3">
      <c r="AJ1643" s="83"/>
      <c r="AK1643" s="83"/>
      <c r="AL1643" s="83"/>
      <c r="AM1643" s="83"/>
      <c r="AN1643" s="83"/>
      <c r="AO1643" s="83"/>
      <c r="AP1643" s="83"/>
      <c r="AQ1643" s="83"/>
      <c r="AR1643" s="83"/>
      <c r="AS1643" s="83"/>
      <c r="AT1643" s="83"/>
    </row>
    <row r="1644" spans="36:46" x14ac:dyDescent="0.3">
      <c r="AJ1644" s="83"/>
      <c r="AK1644" s="83"/>
      <c r="AL1644" s="83"/>
      <c r="AM1644" s="83"/>
      <c r="AN1644" s="83"/>
      <c r="AO1644" s="83"/>
      <c r="AP1644" s="83"/>
      <c r="AQ1644" s="83"/>
      <c r="AR1644" s="83"/>
      <c r="AS1644" s="83"/>
      <c r="AT1644" s="83"/>
    </row>
    <row r="1645" spans="36:46" x14ac:dyDescent="0.3">
      <c r="AJ1645" s="83"/>
      <c r="AK1645" s="83"/>
      <c r="AL1645" s="83"/>
      <c r="AM1645" s="83"/>
      <c r="AN1645" s="83"/>
      <c r="AO1645" s="83"/>
      <c r="AP1645" s="83"/>
      <c r="AQ1645" s="83"/>
      <c r="AR1645" s="83"/>
      <c r="AS1645" s="83"/>
      <c r="AT1645" s="83"/>
    </row>
    <row r="1646" spans="36:46" x14ac:dyDescent="0.3">
      <c r="AJ1646" s="83"/>
      <c r="AK1646" s="83"/>
      <c r="AL1646" s="83"/>
      <c r="AM1646" s="83"/>
      <c r="AN1646" s="83"/>
      <c r="AO1646" s="83"/>
      <c r="AP1646" s="83"/>
      <c r="AQ1646" s="83"/>
      <c r="AR1646" s="83"/>
      <c r="AS1646" s="83"/>
      <c r="AT1646" s="83"/>
    </row>
    <row r="1647" spans="36:46" x14ac:dyDescent="0.3">
      <c r="AJ1647" s="83"/>
      <c r="AK1647" s="83"/>
      <c r="AL1647" s="83"/>
      <c r="AM1647" s="83"/>
      <c r="AN1647" s="83"/>
      <c r="AO1647" s="83"/>
      <c r="AP1647" s="83"/>
      <c r="AQ1647" s="83"/>
      <c r="AR1647" s="83"/>
      <c r="AS1647" s="83"/>
      <c r="AT1647" s="83"/>
    </row>
    <row r="1648" spans="36:46" x14ac:dyDescent="0.3">
      <c r="AJ1648" s="83"/>
      <c r="AK1648" s="83"/>
      <c r="AL1648" s="83"/>
      <c r="AM1648" s="83"/>
      <c r="AN1648" s="83"/>
      <c r="AO1648" s="83"/>
      <c r="AP1648" s="83"/>
      <c r="AQ1648" s="83"/>
      <c r="AR1648" s="83"/>
      <c r="AS1648" s="83"/>
      <c r="AT1648" s="83"/>
    </row>
    <row r="1649" spans="36:46" x14ac:dyDescent="0.3">
      <c r="AJ1649" s="83"/>
      <c r="AK1649" s="83"/>
      <c r="AL1649" s="83"/>
      <c r="AM1649" s="83"/>
      <c r="AN1649" s="83"/>
      <c r="AO1649" s="83"/>
      <c r="AP1649" s="83"/>
      <c r="AQ1649" s="83"/>
      <c r="AR1649" s="83"/>
      <c r="AS1649" s="83"/>
      <c r="AT1649" s="83"/>
    </row>
    <row r="1650" spans="36:46" x14ac:dyDescent="0.3">
      <c r="AJ1650" s="83"/>
      <c r="AK1650" s="83"/>
      <c r="AL1650" s="83"/>
      <c r="AM1650" s="83"/>
      <c r="AN1650" s="83"/>
      <c r="AO1650" s="83"/>
      <c r="AP1650" s="83"/>
      <c r="AQ1650" s="83"/>
      <c r="AR1650" s="83"/>
      <c r="AS1650" s="83"/>
      <c r="AT1650" s="83"/>
    </row>
    <row r="1651" spans="36:46" x14ac:dyDescent="0.3">
      <c r="AJ1651" s="83"/>
      <c r="AK1651" s="83"/>
      <c r="AL1651" s="83"/>
      <c r="AM1651" s="83"/>
      <c r="AN1651" s="83"/>
      <c r="AO1651" s="83"/>
      <c r="AP1651" s="83"/>
      <c r="AQ1651" s="83"/>
      <c r="AR1651" s="83"/>
      <c r="AS1651" s="83"/>
      <c r="AT1651" s="83"/>
    </row>
    <row r="1652" spans="36:46" x14ac:dyDescent="0.3">
      <c r="AJ1652" s="83"/>
      <c r="AK1652" s="83"/>
      <c r="AL1652" s="83"/>
      <c r="AM1652" s="83"/>
      <c r="AN1652" s="83"/>
      <c r="AO1652" s="83"/>
      <c r="AP1652" s="83"/>
      <c r="AQ1652" s="83"/>
      <c r="AR1652" s="83"/>
      <c r="AS1652" s="83"/>
      <c r="AT1652" s="83"/>
    </row>
    <row r="1653" spans="36:46" x14ac:dyDescent="0.3">
      <c r="AJ1653" s="83"/>
      <c r="AK1653" s="83"/>
      <c r="AL1653" s="83"/>
      <c r="AM1653" s="83"/>
      <c r="AN1653" s="83"/>
      <c r="AO1653" s="83"/>
      <c r="AP1653" s="83"/>
      <c r="AQ1653" s="83"/>
      <c r="AR1653" s="83"/>
      <c r="AS1653" s="83"/>
      <c r="AT1653" s="83"/>
    </row>
    <row r="1654" spans="36:46" x14ac:dyDescent="0.3">
      <c r="AJ1654" s="83"/>
      <c r="AK1654" s="83"/>
      <c r="AL1654" s="83"/>
      <c r="AM1654" s="83"/>
      <c r="AN1654" s="83"/>
      <c r="AO1654" s="83"/>
      <c r="AP1654" s="83"/>
      <c r="AQ1654" s="83"/>
      <c r="AR1654" s="83"/>
      <c r="AS1654" s="83"/>
      <c r="AT1654" s="83"/>
    </row>
    <row r="1655" spans="36:46" x14ac:dyDescent="0.3">
      <c r="AJ1655" s="83"/>
      <c r="AK1655" s="83"/>
      <c r="AL1655" s="83"/>
      <c r="AM1655" s="83"/>
      <c r="AN1655" s="83"/>
      <c r="AO1655" s="83"/>
      <c r="AP1655" s="83"/>
      <c r="AQ1655" s="83"/>
      <c r="AR1655" s="83"/>
      <c r="AS1655" s="83"/>
      <c r="AT1655" s="83"/>
    </row>
    <row r="1656" spans="36:46" x14ac:dyDescent="0.3">
      <c r="AJ1656" s="83"/>
      <c r="AK1656" s="83"/>
      <c r="AL1656" s="83"/>
      <c r="AM1656" s="83"/>
      <c r="AN1656" s="83"/>
      <c r="AO1656" s="83"/>
      <c r="AP1656" s="83"/>
      <c r="AQ1656" s="83"/>
      <c r="AR1656" s="83"/>
      <c r="AS1656" s="83"/>
      <c r="AT1656" s="83"/>
    </row>
    <row r="1657" spans="36:46" x14ac:dyDescent="0.3">
      <c r="AJ1657" s="83"/>
      <c r="AK1657" s="83"/>
      <c r="AL1657" s="83"/>
      <c r="AM1657" s="83"/>
      <c r="AN1657" s="83"/>
      <c r="AO1657" s="83"/>
      <c r="AP1657" s="83"/>
      <c r="AQ1657" s="83"/>
      <c r="AR1657" s="83"/>
      <c r="AS1657" s="83"/>
      <c r="AT1657" s="83"/>
    </row>
    <row r="1658" spans="36:46" x14ac:dyDescent="0.3">
      <c r="AJ1658" s="83"/>
      <c r="AK1658" s="83"/>
      <c r="AL1658" s="83"/>
      <c r="AM1658" s="83"/>
      <c r="AN1658" s="83"/>
      <c r="AO1658" s="83"/>
      <c r="AP1658" s="83"/>
      <c r="AQ1658" s="83"/>
      <c r="AR1658" s="83"/>
      <c r="AS1658" s="83"/>
      <c r="AT1658" s="83"/>
    </row>
    <row r="1659" spans="36:46" x14ac:dyDescent="0.3">
      <c r="AJ1659" s="83"/>
      <c r="AK1659" s="83"/>
      <c r="AL1659" s="83"/>
      <c r="AM1659" s="83"/>
      <c r="AN1659" s="83"/>
      <c r="AO1659" s="83"/>
      <c r="AP1659" s="83"/>
      <c r="AQ1659" s="83"/>
      <c r="AR1659" s="83"/>
      <c r="AS1659" s="83"/>
      <c r="AT1659" s="83"/>
    </row>
    <row r="1660" spans="36:46" x14ac:dyDescent="0.3">
      <c r="AJ1660" s="83"/>
      <c r="AK1660" s="83"/>
      <c r="AL1660" s="83"/>
      <c r="AM1660" s="83"/>
      <c r="AN1660" s="83"/>
      <c r="AO1660" s="83"/>
      <c r="AP1660" s="83"/>
      <c r="AQ1660" s="83"/>
      <c r="AR1660" s="83"/>
      <c r="AS1660" s="83"/>
      <c r="AT1660" s="83"/>
    </row>
    <row r="1661" spans="36:46" x14ac:dyDescent="0.3">
      <c r="AJ1661" s="83"/>
      <c r="AK1661" s="83"/>
      <c r="AL1661" s="83"/>
      <c r="AM1661" s="83"/>
      <c r="AN1661" s="83"/>
      <c r="AO1661" s="83"/>
      <c r="AP1661" s="83"/>
      <c r="AQ1661" s="83"/>
      <c r="AR1661" s="83"/>
      <c r="AS1661" s="83"/>
      <c r="AT1661" s="83"/>
    </row>
    <row r="1662" spans="36:46" x14ac:dyDescent="0.3">
      <c r="AJ1662" s="83"/>
      <c r="AK1662" s="83"/>
      <c r="AL1662" s="83"/>
      <c r="AM1662" s="83"/>
      <c r="AN1662" s="83"/>
      <c r="AO1662" s="83"/>
      <c r="AP1662" s="83"/>
      <c r="AQ1662" s="83"/>
      <c r="AR1662" s="83"/>
      <c r="AS1662" s="83"/>
      <c r="AT1662" s="83"/>
    </row>
    <row r="1663" spans="36:46" x14ac:dyDescent="0.3">
      <c r="AJ1663" s="83"/>
      <c r="AK1663" s="83"/>
      <c r="AL1663" s="83"/>
      <c r="AM1663" s="83"/>
      <c r="AN1663" s="83"/>
      <c r="AO1663" s="83"/>
      <c r="AP1663" s="83"/>
      <c r="AQ1663" s="83"/>
      <c r="AR1663" s="83"/>
      <c r="AS1663" s="83"/>
      <c r="AT1663" s="83"/>
    </row>
    <row r="1664" spans="36:46" x14ac:dyDescent="0.3">
      <c r="AJ1664" s="83"/>
      <c r="AK1664" s="83"/>
      <c r="AL1664" s="83"/>
      <c r="AM1664" s="83"/>
      <c r="AN1664" s="83"/>
      <c r="AO1664" s="83"/>
      <c r="AP1664" s="83"/>
      <c r="AQ1664" s="83"/>
      <c r="AR1664" s="83"/>
      <c r="AS1664" s="83"/>
      <c r="AT1664" s="83"/>
    </row>
    <row r="1665" spans="36:46" x14ac:dyDescent="0.3">
      <c r="AJ1665" s="83"/>
      <c r="AK1665" s="83"/>
      <c r="AL1665" s="83"/>
      <c r="AM1665" s="83"/>
      <c r="AN1665" s="83"/>
      <c r="AO1665" s="83"/>
      <c r="AP1665" s="83"/>
      <c r="AQ1665" s="83"/>
      <c r="AR1665" s="83"/>
      <c r="AS1665" s="83"/>
      <c r="AT1665" s="83"/>
    </row>
    <row r="1666" spans="36:46" x14ac:dyDescent="0.3">
      <c r="AJ1666" s="83"/>
      <c r="AK1666" s="83"/>
      <c r="AL1666" s="83"/>
      <c r="AM1666" s="83"/>
      <c r="AN1666" s="83"/>
      <c r="AO1666" s="83"/>
      <c r="AP1666" s="83"/>
      <c r="AQ1666" s="83"/>
      <c r="AR1666" s="83"/>
      <c r="AS1666" s="83"/>
      <c r="AT1666" s="83"/>
    </row>
    <row r="1667" spans="36:46" x14ac:dyDescent="0.3">
      <c r="AJ1667" s="83"/>
      <c r="AK1667" s="83"/>
      <c r="AL1667" s="83"/>
      <c r="AM1667" s="83"/>
      <c r="AN1667" s="83"/>
      <c r="AO1667" s="83"/>
      <c r="AP1667" s="83"/>
      <c r="AQ1667" s="83"/>
      <c r="AR1667" s="83"/>
      <c r="AS1667" s="83"/>
      <c r="AT1667" s="83"/>
    </row>
    <row r="1668" spans="36:46" x14ac:dyDescent="0.3">
      <c r="AJ1668" s="83"/>
      <c r="AK1668" s="83"/>
      <c r="AL1668" s="83"/>
      <c r="AM1668" s="83"/>
      <c r="AN1668" s="83"/>
      <c r="AO1668" s="83"/>
      <c r="AP1668" s="83"/>
      <c r="AQ1668" s="83"/>
      <c r="AR1668" s="83"/>
      <c r="AS1668" s="83"/>
      <c r="AT1668" s="83"/>
    </row>
    <row r="1669" spans="36:46" x14ac:dyDescent="0.3">
      <c r="AJ1669" s="83"/>
      <c r="AK1669" s="83"/>
      <c r="AL1669" s="83"/>
      <c r="AM1669" s="83"/>
      <c r="AN1669" s="83"/>
      <c r="AO1669" s="83"/>
      <c r="AP1669" s="83"/>
      <c r="AQ1669" s="83"/>
      <c r="AR1669" s="83"/>
      <c r="AS1669" s="83"/>
      <c r="AT1669" s="83"/>
    </row>
    <row r="1670" spans="36:46" x14ac:dyDescent="0.3">
      <c r="AJ1670" s="83"/>
      <c r="AK1670" s="83"/>
      <c r="AL1670" s="83"/>
      <c r="AM1670" s="83"/>
      <c r="AN1670" s="83"/>
      <c r="AO1670" s="83"/>
      <c r="AP1670" s="83"/>
      <c r="AQ1670" s="83"/>
      <c r="AR1670" s="83"/>
      <c r="AS1670" s="83"/>
      <c r="AT1670" s="83"/>
    </row>
    <row r="1671" spans="36:46" x14ac:dyDescent="0.3">
      <c r="AJ1671" s="83"/>
      <c r="AK1671" s="83"/>
      <c r="AL1671" s="83"/>
      <c r="AM1671" s="83"/>
      <c r="AN1671" s="83"/>
      <c r="AO1671" s="83"/>
      <c r="AP1671" s="83"/>
      <c r="AQ1671" s="83"/>
      <c r="AR1671" s="83"/>
      <c r="AS1671" s="83"/>
      <c r="AT1671" s="83"/>
    </row>
    <row r="1672" spans="36:46" x14ac:dyDescent="0.3">
      <c r="AJ1672" s="83"/>
      <c r="AK1672" s="83"/>
      <c r="AL1672" s="83"/>
      <c r="AM1672" s="83"/>
      <c r="AN1672" s="83"/>
      <c r="AO1672" s="83"/>
      <c r="AP1672" s="83"/>
      <c r="AQ1672" s="83"/>
      <c r="AR1672" s="83"/>
      <c r="AS1672" s="83"/>
      <c r="AT1672" s="83"/>
    </row>
    <row r="1673" spans="36:46" x14ac:dyDescent="0.3">
      <c r="AJ1673" s="83"/>
      <c r="AK1673" s="83"/>
      <c r="AL1673" s="83"/>
      <c r="AM1673" s="83"/>
      <c r="AN1673" s="83"/>
      <c r="AO1673" s="83"/>
      <c r="AP1673" s="83"/>
      <c r="AQ1673" s="83"/>
      <c r="AR1673" s="83"/>
      <c r="AS1673" s="83"/>
      <c r="AT1673" s="83"/>
    </row>
    <row r="1674" spans="36:46" x14ac:dyDescent="0.3">
      <c r="AJ1674" s="83"/>
      <c r="AK1674" s="83"/>
      <c r="AL1674" s="83"/>
      <c r="AM1674" s="83"/>
      <c r="AN1674" s="83"/>
      <c r="AO1674" s="83"/>
      <c r="AP1674" s="83"/>
      <c r="AQ1674" s="83"/>
      <c r="AR1674" s="83"/>
      <c r="AS1674" s="83"/>
      <c r="AT1674" s="83"/>
    </row>
    <row r="1675" spans="36:46" x14ac:dyDescent="0.3">
      <c r="AJ1675" s="83"/>
      <c r="AK1675" s="83"/>
      <c r="AL1675" s="83"/>
      <c r="AM1675" s="83"/>
      <c r="AN1675" s="83"/>
      <c r="AO1675" s="83"/>
      <c r="AP1675" s="83"/>
      <c r="AQ1675" s="83"/>
      <c r="AR1675" s="83"/>
      <c r="AS1675" s="83"/>
      <c r="AT1675" s="83"/>
    </row>
    <row r="1676" spans="36:46" x14ac:dyDescent="0.3">
      <c r="AJ1676" s="83"/>
      <c r="AK1676" s="83"/>
      <c r="AL1676" s="83"/>
      <c r="AM1676" s="83"/>
      <c r="AN1676" s="83"/>
      <c r="AO1676" s="83"/>
      <c r="AP1676" s="83"/>
      <c r="AQ1676" s="83"/>
      <c r="AR1676" s="83"/>
      <c r="AS1676" s="83"/>
      <c r="AT1676" s="83"/>
    </row>
    <row r="1677" spans="36:46" x14ac:dyDescent="0.3">
      <c r="AJ1677" s="83"/>
      <c r="AK1677" s="83"/>
      <c r="AL1677" s="83"/>
      <c r="AM1677" s="83"/>
      <c r="AN1677" s="83"/>
      <c r="AO1677" s="83"/>
      <c r="AP1677" s="83"/>
      <c r="AQ1677" s="83"/>
      <c r="AR1677" s="83"/>
      <c r="AS1677" s="83"/>
      <c r="AT1677" s="83"/>
    </row>
    <row r="1678" spans="36:46" x14ac:dyDescent="0.3">
      <c r="AJ1678" s="83"/>
      <c r="AK1678" s="83"/>
      <c r="AL1678" s="83"/>
      <c r="AM1678" s="83"/>
      <c r="AN1678" s="83"/>
      <c r="AO1678" s="83"/>
      <c r="AP1678" s="83"/>
      <c r="AQ1678" s="83"/>
      <c r="AR1678" s="83"/>
      <c r="AS1678" s="83"/>
      <c r="AT1678" s="83"/>
    </row>
    <row r="1679" spans="36:46" x14ac:dyDescent="0.3">
      <c r="AJ1679" s="83"/>
      <c r="AK1679" s="83"/>
      <c r="AL1679" s="83"/>
      <c r="AM1679" s="83"/>
      <c r="AN1679" s="83"/>
      <c r="AO1679" s="83"/>
      <c r="AP1679" s="83"/>
      <c r="AQ1679" s="83"/>
      <c r="AR1679" s="83"/>
      <c r="AS1679" s="83"/>
      <c r="AT1679" s="83"/>
    </row>
    <row r="1680" spans="36:46" x14ac:dyDescent="0.3">
      <c r="AJ1680" s="83"/>
      <c r="AK1680" s="83"/>
      <c r="AL1680" s="83"/>
      <c r="AM1680" s="83"/>
      <c r="AN1680" s="83"/>
      <c r="AO1680" s="83"/>
      <c r="AP1680" s="83"/>
      <c r="AQ1680" s="83"/>
      <c r="AR1680" s="83"/>
      <c r="AS1680" s="83"/>
      <c r="AT1680" s="83"/>
    </row>
    <row r="1681" spans="36:46" x14ac:dyDescent="0.3">
      <c r="AJ1681" s="83"/>
      <c r="AK1681" s="83"/>
      <c r="AL1681" s="83"/>
      <c r="AM1681" s="83"/>
      <c r="AN1681" s="83"/>
      <c r="AO1681" s="83"/>
      <c r="AP1681" s="83"/>
      <c r="AQ1681" s="83"/>
      <c r="AR1681" s="83"/>
      <c r="AS1681" s="83"/>
      <c r="AT1681" s="83"/>
    </row>
    <row r="1682" spans="36:46" x14ac:dyDescent="0.3">
      <c r="AJ1682" s="83"/>
      <c r="AK1682" s="83"/>
      <c r="AL1682" s="83"/>
      <c r="AM1682" s="83"/>
      <c r="AN1682" s="83"/>
      <c r="AO1682" s="83"/>
      <c r="AP1682" s="83"/>
      <c r="AQ1682" s="83"/>
      <c r="AR1682" s="83"/>
      <c r="AS1682" s="83"/>
      <c r="AT1682" s="83"/>
    </row>
    <row r="1683" spans="36:46" x14ac:dyDescent="0.3">
      <c r="AJ1683" s="83"/>
      <c r="AK1683" s="83"/>
      <c r="AL1683" s="83"/>
      <c r="AM1683" s="83"/>
      <c r="AN1683" s="83"/>
      <c r="AO1683" s="83"/>
      <c r="AP1683" s="83"/>
      <c r="AQ1683" s="83"/>
      <c r="AR1683" s="83"/>
      <c r="AS1683" s="83"/>
      <c r="AT1683" s="83"/>
    </row>
    <row r="1684" spans="36:46" x14ac:dyDescent="0.3">
      <c r="AJ1684" s="83"/>
      <c r="AK1684" s="83"/>
      <c r="AL1684" s="83"/>
      <c r="AM1684" s="83"/>
      <c r="AN1684" s="83"/>
      <c r="AO1684" s="83"/>
      <c r="AP1684" s="83"/>
      <c r="AQ1684" s="83"/>
      <c r="AR1684" s="83"/>
      <c r="AS1684" s="83"/>
      <c r="AT1684" s="83"/>
    </row>
    <row r="1685" spans="36:46" x14ac:dyDescent="0.3">
      <c r="AJ1685" s="83"/>
      <c r="AK1685" s="83"/>
      <c r="AL1685" s="83"/>
      <c r="AM1685" s="83"/>
      <c r="AN1685" s="83"/>
      <c r="AO1685" s="83"/>
      <c r="AP1685" s="83"/>
      <c r="AQ1685" s="83"/>
      <c r="AR1685" s="83"/>
      <c r="AS1685" s="83"/>
      <c r="AT1685" s="83"/>
    </row>
    <row r="1686" spans="36:46" x14ac:dyDescent="0.3">
      <c r="AJ1686" s="83"/>
      <c r="AK1686" s="83"/>
      <c r="AL1686" s="83"/>
      <c r="AM1686" s="83"/>
      <c r="AN1686" s="83"/>
      <c r="AO1686" s="83"/>
      <c r="AP1686" s="83"/>
      <c r="AQ1686" s="83"/>
      <c r="AR1686" s="83"/>
      <c r="AS1686" s="83"/>
      <c r="AT1686" s="83"/>
    </row>
    <row r="1687" spans="36:46" x14ac:dyDescent="0.3">
      <c r="AJ1687" s="83"/>
      <c r="AK1687" s="83"/>
      <c r="AL1687" s="83"/>
      <c r="AM1687" s="83"/>
      <c r="AN1687" s="83"/>
      <c r="AO1687" s="83"/>
      <c r="AP1687" s="83"/>
      <c r="AQ1687" s="83"/>
      <c r="AR1687" s="83"/>
      <c r="AS1687" s="83"/>
      <c r="AT1687" s="83"/>
    </row>
    <row r="1688" spans="36:46" x14ac:dyDescent="0.3">
      <c r="AJ1688" s="83"/>
      <c r="AK1688" s="83"/>
      <c r="AL1688" s="83"/>
      <c r="AM1688" s="83"/>
      <c r="AN1688" s="83"/>
      <c r="AO1688" s="83"/>
      <c r="AP1688" s="83"/>
      <c r="AQ1688" s="83"/>
      <c r="AR1688" s="83"/>
      <c r="AS1688" s="83"/>
      <c r="AT1688" s="83"/>
    </row>
    <row r="1689" spans="36:46" x14ac:dyDescent="0.3">
      <c r="AJ1689" s="83"/>
      <c r="AK1689" s="83"/>
      <c r="AL1689" s="83"/>
      <c r="AM1689" s="83"/>
      <c r="AN1689" s="83"/>
      <c r="AO1689" s="83"/>
      <c r="AP1689" s="83"/>
      <c r="AQ1689" s="83"/>
      <c r="AR1689" s="83"/>
      <c r="AS1689" s="83"/>
      <c r="AT1689" s="83"/>
    </row>
    <row r="1690" spans="36:46" x14ac:dyDescent="0.3">
      <c r="AJ1690" s="83"/>
      <c r="AK1690" s="83"/>
      <c r="AL1690" s="83"/>
      <c r="AM1690" s="83"/>
      <c r="AN1690" s="83"/>
      <c r="AO1690" s="83"/>
      <c r="AP1690" s="83"/>
      <c r="AQ1690" s="83"/>
      <c r="AR1690" s="83"/>
      <c r="AS1690" s="83"/>
      <c r="AT1690" s="83"/>
    </row>
    <row r="1691" spans="36:46" x14ac:dyDescent="0.3">
      <c r="AJ1691" s="83"/>
      <c r="AK1691" s="83"/>
      <c r="AL1691" s="83"/>
      <c r="AM1691" s="83"/>
      <c r="AN1691" s="83"/>
      <c r="AO1691" s="83"/>
      <c r="AP1691" s="83"/>
      <c r="AQ1691" s="83"/>
      <c r="AR1691" s="83"/>
      <c r="AS1691" s="83"/>
      <c r="AT1691" s="83"/>
    </row>
    <row r="1692" spans="36:46" x14ac:dyDescent="0.3">
      <c r="AJ1692" s="83"/>
      <c r="AK1692" s="83"/>
      <c r="AL1692" s="83"/>
      <c r="AM1692" s="83"/>
      <c r="AN1692" s="83"/>
      <c r="AO1692" s="83"/>
      <c r="AP1692" s="83"/>
      <c r="AQ1692" s="83"/>
      <c r="AR1692" s="83"/>
      <c r="AS1692" s="83"/>
      <c r="AT1692" s="83"/>
    </row>
    <row r="1693" spans="36:46" x14ac:dyDescent="0.3">
      <c r="AJ1693" s="83"/>
      <c r="AK1693" s="83"/>
      <c r="AL1693" s="83"/>
      <c r="AM1693" s="83"/>
      <c r="AN1693" s="83"/>
      <c r="AO1693" s="83"/>
      <c r="AP1693" s="83"/>
      <c r="AQ1693" s="83"/>
      <c r="AR1693" s="83"/>
      <c r="AS1693" s="83"/>
      <c r="AT1693" s="83"/>
    </row>
    <row r="1694" spans="36:46" x14ac:dyDescent="0.3">
      <c r="AJ1694" s="83"/>
      <c r="AK1694" s="83"/>
      <c r="AL1694" s="83"/>
      <c r="AM1694" s="83"/>
      <c r="AN1694" s="83"/>
      <c r="AO1694" s="83"/>
      <c r="AP1694" s="83"/>
      <c r="AQ1694" s="83"/>
      <c r="AR1694" s="83"/>
      <c r="AS1694" s="83"/>
      <c r="AT1694" s="83"/>
    </row>
    <row r="1695" spans="36:46" x14ac:dyDescent="0.3">
      <c r="AJ1695" s="83"/>
      <c r="AK1695" s="83"/>
      <c r="AL1695" s="83"/>
      <c r="AM1695" s="83"/>
      <c r="AN1695" s="83"/>
      <c r="AO1695" s="83"/>
      <c r="AP1695" s="83"/>
      <c r="AQ1695" s="83"/>
      <c r="AR1695" s="83"/>
      <c r="AS1695" s="83"/>
      <c r="AT1695" s="83"/>
    </row>
    <row r="1696" spans="36:46" x14ac:dyDescent="0.3">
      <c r="AJ1696" s="83"/>
      <c r="AK1696" s="83"/>
      <c r="AL1696" s="83"/>
      <c r="AM1696" s="83"/>
      <c r="AN1696" s="83"/>
      <c r="AO1696" s="83"/>
      <c r="AP1696" s="83"/>
      <c r="AQ1696" s="83"/>
      <c r="AR1696" s="83"/>
      <c r="AS1696" s="83"/>
      <c r="AT1696" s="83"/>
    </row>
    <row r="1697" spans="36:46" x14ac:dyDescent="0.3">
      <c r="AJ1697" s="83"/>
      <c r="AK1697" s="83"/>
      <c r="AL1697" s="83"/>
      <c r="AM1697" s="83"/>
      <c r="AN1697" s="83"/>
      <c r="AO1697" s="83"/>
      <c r="AP1697" s="83"/>
      <c r="AQ1697" s="83"/>
      <c r="AR1697" s="83"/>
      <c r="AS1697" s="83"/>
      <c r="AT1697" s="83"/>
    </row>
    <row r="1698" spans="36:46" x14ac:dyDescent="0.3">
      <c r="AJ1698" s="83"/>
      <c r="AK1698" s="83"/>
      <c r="AL1698" s="83"/>
      <c r="AM1698" s="83"/>
      <c r="AN1698" s="83"/>
      <c r="AO1698" s="83"/>
      <c r="AP1698" s="83"/>
      <c r="AQ1698" s="83"/>
      <c r="AR1698" s="83"/>
      <c r="AS1698" s="83"/>
      <c r="AT1698" s="83"/>
    </row>
    <row r="1699" spans="36:46" x14ac:dyDescent="0.3">
      <c r="AJ1699" s="83"/>
      <c r="AK1699" s="83"/>
      <c r="AL1699" s="83"/>
      <c r="AM1699" s="83"/>
      <c r="AN1699" s="83"/>
      <c r="AO1699" s="83"/>
      <c r="AP1699" s="83"/>
      <c r="AQ1699" s="83"/>
      <c r="AR1699" s="83"/>
      <c r="AS1699" s="83"/>
      <c r="AT1699" s="83"/>
    </row>
    <row r="1700" spans="36:46" x14ac:dyDescent="0.3">
      <c r="AJ1700" s="83"/>
      <c r="AK1700" s="83"/>
      <c r="AL1700" s="83"/>
      <c r="AM1700" s="83"/>
      <c r="AN1700" s="83"/>
      <c r="AO1700" s="83"/>
      <c r="AP1700" s="83"/>
      <c r="AQ1700" s="83"/>
      <c r="AR1700" s="83"/>
      <c r="AS1700" s="83"/>
      <c r="AT1700" s="83"/>
    </row>
    <row r="1701" spans="36:46" x14ac:dyDescent="0.3">
      <c r="AJ1701" s="83"/>
      <c r="AK1701" s="83"/>
      <c r="AL1701" s="83"/>
      <c r="AM1701" s="83"/>
      <c r="AN1701" s="83"/>
      <c r="AO1701" s="83"/>
      <c r="AP1701" s="83"/>
      <c r="AQ1701" s="83"/>
      <c r="AR1701" s="83"/>
      <c r="AS1701" s="83"/>
      <c r="AT1701" s="83"/>
    </row>
    <row r="1702" spans="36:46" x14ac:dyDescent="0.3">
      <c r="AJ1702" s="83"/>
      <c r="AK1702" s="83"/>
      <c r="AL1702" s="83"/>
      <c r="AM1702" s="83"/>
      <c r="AN1702" s="83"/>
      <c r="AO1702" s="83"/>
      <c r="AP1702" s="83"/>
      <c r="AQ1702" s="83"/>
      <c r="AR1702" s="83"/>
      <c r="AS1702" s="83"/>
      <c r="AT1702" s="83"/>
    </row>
    <row r="1703" spans="36:46" x14ac:dyDescent="0.3">
      <c r="AJ1703" s="83"/>
      <c r="AK1703" s="83"/>
      <c r="AL1703" s="83"/>
      <c r="AM1703" s="83"/>
      <c r="AN1703" s="83"/>
      <c r="AO1703" s="83"/>
      <c r="AP1703" s="83"/>
      <c r="AQ1703" s="83"/>
      <c r="AR1703" s="83"/>
      <c r="AS1703" s="83"/>
      <c r="AT1703" s="83"/>
    </row>
    <row r="1704" spans="36:46" x14ac:dyDescent="0.3">
      <c r="AJ1704" s="83"/>
      <c r="AK1704" s="83"/>
      <c r="AL1704" s="83"/>
      <c r="AM1704" s="83"/>
      <c r="AN1704" s="83"/>
      <c r="AO1704" s="83"/>
      <c r="AP1704" s="83"/>
      <c r="AQ1704" s="83"/>
      <c r="AR1704" s="83"/>
      <c r="AS1704" s="83"/>
      <c r="AT1704" s="83"/>
    </row>
    <row r="1705" spans="36:46" x14ac:dyDescent="0.3">
      <c r="AJ1705" s="83"/>
      <c r="AK1705" s="83"/>
      <c r="AL1705" s="83"/>
      <c r="AM1705" s="83"/>
      <c r="AN1705" s="83"/>
      <c r="AO1705" s="83"/>
      <c r="AP1705" s="83"/>
      <c r="AQ1705" s="83"/>
      <c r="AR1705" s="83"/>
      <c r="AS1705" s="83"/>
      <c r="AT1705" s="83"/>
    </row>
    <row r="1706" spans="36:46" x14ac:dyDescent="0.3">
      <c r="AJ1706" s="83"/>
      <c r="AK1706" s="83"/>
      <c r="AL1706" s="83"/>
      <c r="AM1706" s="83"/>
      <c r="AN1706" s="83"/>
      <c r="AO1706" s="83"/>
      <c r="AP1706" s="83"/>
      <c r="AQ1706" s="83"/>
      <c r="AR1706" s="83"/>
      <c r="AS1706" s="83"/>
      <c r="AT1706" s="83"/>
    </row>
    <row r="1707" spans="36:46" x14ac:dyDescent="0.3">
      <c r="AJ1707" s="83"/>
      <c r="AK1707" s="83"/>
      <c r="AL1707" s="83"/>
      <c r="AM1707" s="83"/>
      <c r="AN1707" s="83"/>
      <c r="AO1707" s="83"/>
      <c r="AP1707" s="83"/>
      <c r="AQ1707" s="83"/>
      <c r="AR1707" s="83"/>
      <c r="AS1707" s="83"/>
      <c r="AT1707" s="83"/>
    </row>
    <row r="1708" spans="36:46" x14ac:dyDescent="0.3">
      <c r="AJ1708" s="83"/>
      <c r="AK1708" s="83"/>
      <c r="AL1708" s="83"/>
      <c r="AM1708" s="83"/>
      <c r="AN1708" s="83"/>
      <c r="AO1708" s="83"/>
      <c r="AP1708" s="83"/>
      <c r="AQ1708" s="83"/>
      <c r="AR1708" s="83"/>
      <c r="AS1708" s="83"/>
      <c r="AT1708" s="83"/>
    </row>
    <row r="1709" spans="36:46" x14ac:dyDescent="0.3">
      <c r="AJ1709" s="83"/>
      <c r="AK1709" s="83"/>
      <c r="AL1709" s="83"/>
      <c r="AM1709" s="83"/>
      <c r="AN1709" s="83"/>
      <c r="AO1709" s="83"/>
      <c r="AP1709" s="83"/>
      <c r="AQ1709" s="83"/>
      <c r="AR1709" s="83"/>
      <c r="AS1709" s="83"/>
      <c r="AT1709" s="83"/>
    </row>
    <row r="1710" spans="36:46" x14ac:dyDescent="0.3">
      <c r="AJ1710" s="83"/>
      <c r="AK1710" s="83"/>
      <c r="AL1710" s="83"/>
      <c r="AM1710" s="83"/>
      <c r="AN1710" s="83"/>
      <c r="AO1710" s="83"/>
      <c r="AP1710" s="83"/>
      <c r="AQ1710" s="83"/>
      <c r="AR1710" s="83"/>
      <c r="AS1710" s="83"/>
      <c r="AT1710" s="83"/>
    </row>
    <row r="1711" spans="36:46" x14ac:dyDescent="0.3">
      <c r="AJ1711" s="83"/>
      <c r="AK1711" s="83"/>
      <c r="AL1711" s="83"/>
      <c r="AM1711" s="83"/>
      <c r="AN1711" s="83"/>
      <c r="AO1711" s="83"/>
      <c r="AP1711" s="83"/>
      <c r="AQ1711" s="83"/>
      <c r="AR1711" s="83"/>
      <c r="AS1711" s="83"/>
      <c r="AT1711" s="83"/>
    </row>
    <row r="1712" spans="36:46" x14ac:dyDescent="0.3">
      <c r="AJ1712" s="83"/>
      <c r="AK1712" s="83"/>
      <c r="AL1712" s="83"/>
      <c r="AM1712" s="83"/>
      <c r="AN1712" s="83"/>
      <c r="AO1712" s="83"/>
      <c r="AP1712" s="83"/>
      <c r="AQ1712" s="83"/>
      <c r="AR1712" s="83"/>
      <c r="AS1712" s="83"/>
      <c r="AT1712" s="83"/>
    </row>
    <row r="1713" spans="36:46" x14ac:dyDescent="0.3">
      <c r="AJ1713" s="83"/>
      <c r="AK1713" s="83"/>
      <c r="AL1713" s="83"/>
      <c r="AM1713" s="83"/>
      <c r="AN1713" s="83"/>
      <c r="AO1713" s="83"/>
      <c r="AP1713" s="83"/>
      <c r="AQ1713" s="83"/>
      <c r="AR1713" s="83"/>
      <c r="AS1713" s="83"/>
      <c r="AT1713" s="83"/>
    </row>
    <row r="1714" spans="36:46" x14ac:dyDescent="0.3">
      <c r="AJ1714" s="83"/>
      <c r="AK1714" s="83"/>
      <c r="AL1714" s="83"/>
      <c r="AM1714" s="83"/>
      <c r="AN1714" s="83"/>
      <c r="AO1714" s="83"/>
      <c r="AP1714" s="83"/>
      <c r="AQ1714" s="83"/>
      <c r="AR1714" s="83"/>
      <c r="AS1714" s="83"/>
      <c r="AT1714" s="83"/>
    </row>
    <row r="1715" spans="36:46" x14ac:dyDescent="0.3">
      <c r="AJ1715" s="83"/>
      <c r="AK1715" s="83"/>
      <c r="AL1715" s="83"/>
      <c r="AM1715" s="83"/>
      <c r="AN1715" s="83"/>
      <c r="AO1715" s="83"/>
      <c r="AP1715" s="83"/>
      <c r="AQ1715" s="83"/>
      <c r="AR1715" s="83"/>
      <c r="AS1715" s="83"/>
      <c r="AT1715" s="83"/>
    </row>
    <row r="1716" spans="36:46" x14ac:dyDescent="0.3">
      <c r="AJ1716" s="83"/>
      <c r="AK1716" s="83"/>
      <c r="AL1716" s="83"/>
      <c r="AM1716" s="83"/>
      <c r="AN1716" s="83"/>
      <c r="AO1716" s="83"/>
      <c r="AP1716" s="83"/>
      <c r="AQ1716" s="83"/>
      <c r="AR1716" s="83"/>
      <c r="AS1716" s="83"/>
      <c r="AT1716" s="83"/>
    </row>
    <row r="1717" spans="36:46" x14ac:dyDescent="0.3">
      <c r="AJ1717" s="83"/>
      <c r="AK1717" s="83"/>
      <c r="AL1717" s="83"/>
      <c r="AM1717" s="83"/>
      <c r="AN1717" s="83"/>
      <c r="AO1717" s="83"/>
      <c r="AP1717" s="83"/>
      <c r="AQ1717" s="83"/>
      <c r="AR1717" s="83"/>
      <c r="AS1717" s="83"/>
      <c r="AT1717" s="83"/>
    </row>
    <row r="1718" spans="36:46" x14ac:dyDescent="0.3">
      <c r="AJ1718" s="83"/>
      <c r="AK1718" s="83"/>
      <c r="AL1718" s="83"/>
      <c r="AM1718" s="83"/>
      <c r="AN1718" s="83"/>
      <c r="AO1718" s="83"/>
      <c r="AP1718" s="83"/>
      <c r="AQ1718" s="83"/>
      <c r="AR1718" s="83"/>
      <c r="AS1718" s="83"/>
      <c r="AT1718" s="83"/>
    </row>
    <row r="1719" spans="36:46" x14ac:dyDescent="0.3">
      <c r="AJ1719" s="83"/>
      <c r="AK1719" s="83"/>
      <c r="AL1719" s="83"/>
      <c r="AM1719" s="83"/>
      <c r="AN1719" s="83"/>
      <c r="AO1719" s="83"/>
      <c r="AP1719" s="83"/>
      <c r="AQ1719" s="83"/>
      <c r="AR1719" s="83"/>
      <c r="AS1719" s="83"/>
      <c r="AT1719" s="83"/>
    </row>
    <row r="1720" spans="36:46" x14ac:dyDescent="0.3">
      <c r="AJ1720" s="83"/>
      <c r="AK1720" s="83"/>
      <c r="AL1720" s="83"/>
      <c r="AM1720" s="83"/>
      <c r="AN1720" s="83"/>
      <c r="AO1720" s="83"/>
      <c r="AP1720" s="83"/>
      <c r="AQ1720" s="83"/>
      <c r="AR1720" s="83"/>
      <c r="AS1720" s="83"/>
      <c r="AT1720" s="83"/>
    </row>
    <row r="1721" spans="36:46" x14ac:dyDescent="0.3">
      <c r="AJ1721" s="83"/>
      <c r="AK1721" s="83"/>
      <c r="AL1721" s="83"/>
      <c r="AM1721" s="83"/>
      <c r="AN1721" s="83"/>
      <c r="AO1721" s="83"/>
      <c r="AP1721" s="83"/>
      <c r="AQ1721" s="83"/>
      <c r="AR1721" s="83"/>
      <c r="AS1721" s="83"/>
      <c r="AT1721" s="83"/>
    </row>
    <row r="1722" spans="36:46" x14ac:dyDescent="0.3">
      <c r="AJ1722" s="83"/>
      <c r="AK1722" s="83"/>
      <c r="AL1722" s="83"/>
      <c r="AM1722" s="83"/>
      <c r="AN1722" s="83"/>
      <c r="AO1722" s="83"/>
      <c r="AP1722" s="83"/>
      <c r="AQ1722" s="83"/>
      <c r="AR1722" s="83"/>
      <c r="AS1722" s="83"/>
      <c r="AT1722" s="83"/>
    </row>
    <row r="1723" spans="36:46" x14ac:dyDescent="0.3">
      <c r="AJ1723" s="83"/>
      <c r="AK1723" s="83"/>
      <c r="AL1723" s="83"/>
      <c r="AM1723" s="83"/>
      <c r="AN1723" s="83"/>
      <c r="AO1723" s="83"/>
      <c r="AP1723" s="83"/>
      <c r="AQ1723" s="83"/>
      <c r="AR1723" s="83"/>
      <c r="AS1723" s="83"/>
      <c r="AT1723" s="83"/>
    </row>
    <row r="1724" spans="36:46" x14ac:dyDescent="0.3">
      <c r="AJ1724" s="83"/>
      <c r="AK1724" s="83"/>
      <c r="AL1724" s="83"/>
      <c r="AM1724" s="83"/>
      <c r="AN1724" s="83"/>
      <c r="AO1724" s="83"/>
      <c r="AP1724" s="83"/>
      <c r="AQ1724" s="83"/>
      <c r="AR1724" s="83"/>
      <c r="AS1724" s="83"/>
      <c r="AT1724" s="83"/>
    </row>
    <row r="1725" spans="36:46" x14ac:dyDescent="0.3">
      <c r="AJ1725" s="83"/>
      <c r="AK1725" s="83"/>
      <c r="AL1725" s="83"/>
      <c r="AM1725" s="83"/>
      <c r="AN1725" s="83"/>
      <c r="AO1725" s="83"/>
      <c r="AP1725" s="83"/>
      <c r="AQ1725" s="83"/>
      <c r="AR1725" s="83"/>
      <c r="AS1725" s="83"/>
      <c r="AT1725" s="83"/>
    </row>
    <row r="1726" spans="36:46" x14ac:dyDescent="0.3">
      <c r="AJ1726" s="83"/>
      <c r="AK1726" s="83"/>
      <c r="AL1726" s="83"/>
      <c r="AM1726" s="83"/>
      <c r="AN1726" s="83"/>
      <c r="AO1726" s="83"/>
      <c r="AP1726" s="83"/>
      <c r="AQ1726" s="83"/>
      <c r="AR1726" s="83"/>
      <c r="AS1726" s="83"/>
      <c r="AT1726" s="83"/>
    </row>
    <row r="1727" spans="36:46" x14ac:dyDescent="0.3">
      <c r="AJ1727" s="83"/>
      <c r="AK1727" s="83"/>
      <c r="AL1727" s="83"/>
      <c r="AM1727" s="83"/>
      <c r="AN1727" s="83"/>
      <c r="AO1727" s="83"/>
      <c r="AP1727" s="83"/>
      <c r="AQ1727" s="83"/>
      <c r="AR1727" s="83"/>
      <c r="AS1727" s="83"/>
      <c r="AT1727" s="83"/>
    </row>
    <row r="1728" spans="36:46" x14ac:dyDescent="0.3">
      <c r="AJ1728" s="83"/>
      <c r="AK1728" s="83"/>
      <c r="AL1728" s="83"/>
      <c r="AM1728" s="83"/>
      <c r="AN1728" s="83"/>
      <c r="AO1728" s="83"/>
      <c r="AP1728" s="83"/>
      <c r="AQ1728" s="83"/>
      <c r="AR1728" s="83"/>
      <c r="AS1728" s="83"/>
      <c r="AT1728" s="83"/>
    </row>
    <row r="1729" spans="36:46" x14ac:dyDescent="0.3">
      <c r="AJ1729" s="83"/>
      <c r="AK1729" s="83"/>
      <c r="AL1729" s="83"/>
      <c r="AM1729" s="83"/>
      <c r="AN1729" s="83"/>
      <c r="AO1729" s="83"/>
      <c r="AP1729" s="83"/>
      <c r="AQ1729" s="83"/>
      <c r="AR1729" s="83"/>
      <c r="AS1729" s="83"/>
      <c r="AT1729" s="83"/>
    </row>
    <row r="1730" spans="36:46" x14ac:dyDescent="0.3">
      <c r="AJ1730" s="83"/>
      <c r="AK1730" s="83"/>
      <c r="AL1730" s="83"/>
      <c r="AM1730" s="83"/>
      <c r="AN1730" s="83"/>
      <c r="AO1730" s="83"/>
      <c r="AP1730" s="83"/>
      <c r="AQ1730" s="83"/>
      <c r="AR1730" s="83"/>
      <c r="AS1730" s="83"/>
      <c r="AT1730" s="83"/>
    </row>
    <row r="1731" spans="36:46" x14ac:dyDescent="0.3">
      <c r="AJ1731" s="83"/>
      <c r="AK1731" s="83"/>
      <c r="AL1731" s="83"/>
      <c r="AM1731" s="83"/>
      <c r="AN1731" s="83"/>
      <c r="AO1731" s="83"/>
      <c r="AP1731" s="83"/>
      <c r="AQ1731" s="83"/>
      <c r="AR1731" s="83"/>
      <c r="AS1731" s="83"/>
      <c r="AT1731" s="83"/>
    </row>
    <row r="1732" spans="36:46" x14ac:dyDescent="0.3">
      <c r="AJ1732" s="83"/>
      <c r="AK1732" s="83"/>
      <c r="AL1732" s="83"/>
      <c r="AM1732" s="83"/>
      <c r="AN1732" s="83"/>
      <c r="AO1732" s="83"/>
      <c r="AP1732" s="83"/>
      <c r="AQ1732" s="83"/>
      <c r="AR1732" s="83"/>
      <c r="AS1732" s="83"/>
      <c r="AT1732" s="83"/>
    </row>
    <row r="1733" spans="36:46" x14ac:dyDescent="0.3">
      <c r="AJ1733" s="83"/>
      <c r="AK1733" s="83"/>
      <c r="AL1733" s="83"/>
      <c r="AM1733" s="83"/>
      <c r="AN1733" s="83"/>
      <c r="AO1733" s="83"/>
      <c r="AP1733" s="83"/>
      <c r="AQ1733" s="83"/>
      <c r="AR1733" s="83"/>
      <c r="AS1733" s="83"/>
      <c r="AT1733" s="83"/>
    </row>
    <row r="1734" spans="36:46" x14ac:dyDescent="0.3">
      <c r="AJ1734" s="83"/>
      <c r="AK1734" s="83"/>
      <c r="AL1734" s="83"/>
      <c r="AM1734" s="83"/>
      <c r="AN1734" s="83"/>
      <c r="AO1734" s="83"/>
      <c r="AP1734" s="83"/>
      <c r="AQ1734" s="83"/>
      <c r="AR1734" s="83"/>
      <c r="AS1734" s="83"/>
      <c r="AT1734" s="83"/>
    </row>
    <row r="1735" spans="36:46" x14ac:dyDescent="0.3">
      <c r="AJ1735" s="83"/>
      <c r="AK1735" s="83"/>
      <c r="AL1735" s="83"/>
      <c r="AM1735" s="83"/>
      <c r="AN1735" s="83"/>
      <c r="AO1735" s="83"/>
      <c r="AP1735" s="83"/>
      <c r="AQ1735" s="83"/>
      <c r="AR1735" s="83"/>
      <c r="AS1735" s="83"/>
      <c r="AT1735" s="83"/>
    </row>
    <row r="1736" spans="36:46" x14ac:dyDescent="0.3">
      <c r="AJ1736" s="83"/>
      <c r="AK1736" s="83"/>
      <c r="AL1736" s="83"/>
      <c r="AM1736" s="83"/>
      <c r="AN1736" s="83"/>
      <c r="AO1736" s="83"/>
      <c r="AP1736" s="83"/>
      <c r="AQ1736" s="83"/>
      <c r="AR1736" s="83"/>
      <c r="AS1736" s="83"/>
      <c r="AT1736" s="83"/>
    </row>
    <row r="1737" spans="36:46" x14ac:dyDescent="0.3">
      <c r="AJ1737" s="83"/>
      <c r="AK1737" s="83"/>
      <c r="AL1737" s="83"/>
      <c r="AM1737" s="83"/>
      <c r="AN1737" s="83"/>
      <c r="AO1737" s="83"/>
      <c r="AP1737" s="83"/>
      <c r="AQ1737" s="83"/>
      <c r="AR1737" s="83"/>
      <c r="AS1737" s="83"/>
      <c r="AT1737" s="83"/>
    </row>
    <row r="1738" spans="36:46" x14ac:dyDescent="0.3">
      <c r="AJ1738" s="83"/>
      <c r="AK1738" s="83"/>
      <c r="AL1738" s="83"/>
      <c r="AM1738" s="83"/>
      <c r="AN1738" s="83"/>
      <c r="AO1738" s="83"/>
      <c r="AP1738" s="83"/>
      <c r="AQ1738" s="83"/>
      <c r="AR1738" s="83"/>
      <c r="AS1738" s="83"/>
      <c r="AT1738" s="83"/>
    </row>
    <row r="1739" spans="36:46" x14ac:dyDescent="0.3">
      <c r="AJ1739" s="83"/>
      <c r="AK1739" s="83"/>
      <c r="AL1739" s="83"/>
      <c r="AM1739" s="83"/>
      <c r="AN1739" s="83"/>
      <c r="AO1739" s="83"/>
      <c r="AP1739" s="83"/>
      <c r="AQ1739" s="83"/>
      <c r="AR1739" s="83"/>
      <c r="AS1739" s="83"/>
      <c r="AT1739" s="83"/>
    </row>
    <row r="1740" spans="36:46" x14ac:dyDescent="0.3">
      <c r="AJ1740" s="83"/>
      <c r="AK1740" s="83"/>
      <c r="AL1740" s="83"/>
      <c r="AM1740" s="83"/>
      <c r="AN1740" s="83"/>
      <c r="AO1740" s="83"/>
      <c r="AP1740" s="83"/>
      <c r="AQ1740" s="83"/>
      <c r="AR1740" s="83"/>
      <c r="AS1740" s="83"/>
      <c r="AT1740" s="83"/>
    </row>
    <row r="1741" spans="36:46" x14ac:dyDescent="0.3">
      <c r="AJ1741" s="83"/>
      <c r="AK1741" s="83"/>
      <c r="AL1741" s="83"/>
      <c r="AM1741" s="83"/>
      <c r="AN1741" s="83"/>
      <c r="AO1741" s="83"/>
      <c r="AP1741" s="83"/>
      <c r="AQ1741" s="83"/>
      <c r="AR1741" s="83"/>
      <c r="AS1741" s="83"/>
      <c r="AT1741" s="83"/>
    </row>
    <row r="1742" spans="36:46" x14ac:dyDescent="0.3">
      <c r="AJ1742" s="83"/>
      <c r="AK1742" s="83"/>
      <c r="AL1742" s="83"/>
      <c r="AM1742" s="83"/>
      <c r="AN1742" s="83"/>
      <c r="AO1742" s="83"/>
      <c r="AP1742" s="83"/>
      <c r="AQ1742" s="83"/>
      <c r="AR1742" s="83"/>
      <c r="AS1742" s="83"/>
      <c r="AT1742" s="83"/>
    </row>
    <row r="1743" spans="36:46" x14ac:dyDescent="0.3">
      <c r="AJ1743" s="83"/>
      <c r="AK1743" s="83"/>
      <c r="AL1743" s="83"/>
      <c r="AM1743" s="83"/>
      <c r="AN1743" s="83"/>
      <c r="AO1743" s="83"/>
      <c r="AP1743" s="83"/>
      <c r="AQ1743" s="83"/>
      <c r="AR1743" s="83"/>
      <c r="AS1743" s="83"/>
      <c r="AT1743" s="83"/>
    </row>
    <row r="1744" spans="36:46" x14ac:dyDescent="0.3">
      <c r="AJ1744" s="83"/>
      <c r="AK1744" s="83"/>
      <c r="AL1744" s="83"/>
      <c r="AM1744" s="83"/>
      <c r="AN1744" s="83"/>
      <c r="AO1744" s="83"/>
      <c r="AP1744" s="83"/>
      <c r="AQ1744" s="83"/>
      <c r="AR1744" s="83"/>
      <c r="AS1744" s="83"/>
      <c r="AT1744" s="83"/>
    </row>
    <row r="1745" spans="36:46" x14ac:dyDescent="0.3">
      <c r="AJ1745" s="83"/>
      <c r="AK1745" s="83"/>
      <c r="AL1745" s="83"/>
      <c r="AM1745" s="83"/>
      <c r="AN1745" s="83"/>
      <c r="AO1745" s="83"/>
      <c r="AP1745" s="83"/>
      <c r="AQ1745" s="83"/>
      <c r="AR1745" s="83"/>
      <c r="AS1745" s="83"/>
      <c r="AT1745" s="83"/>
    </row>
    <row r="1746" spans="36:46" x14ac:dyDescent="0.3">
      <c r="AJ1746" s="83"/>
      <c r="AK1746" s="83"/>
      <c r="AL1746" s="83"/>
      <c r="AM1746" s="83"/>
      <c r="AN1746" s="83"/>
      <c r="AO1746" s="83"/>
      <c r="AP1746" s="83"/>
      <c r="AQ1746" s="83"/>
      <c r="AR1746" s="83"/>
      <c r="AS1746" s="83"/>
      <c r="AT1746" s="83"/>
    </row>
    <row r="1747" spans="36:46" x14ac:dyDescent="0.3">
      <c r="AJ1747" s="83"/>
      <c r="AK1747" s="83"/>
      <c r="AL1747" s="83"/>
      <c r="AM1747" s="83"/>
      <c r="AN1747" s="83"/>
      <c r="AO1747" s="83"/>
      <c r="AP1747" s="83"/>
      <c r="AQ1747" s="83"/>
      <c r="AR1747" s="83"/>
      <c r="AS1747" s="83"/>
      <c r="AT1747" s="83"/>
    </row>
    <row r="1748" spans="36:46" x14ac:dyDescent="0.3">
      <c r="AJ1748" s="83"/>
      <c r="AK1748" s="83"/>
      <c r="AL1748" s="83"/>
      <c r="AM1748" s="83"/>
      <c r="AN1748" s="83"/>
      <c r="AO1748" s="83"/>
      <c r="AP1748" s="83"/>
      <c r="AQ1748" s="83"/>
      <c r="AR1748" s="83"/>
      <c r="AS1748" s="83"/>
      <c r="AT1748" s="83"/>
    </row>
    <row r="1749" spans="36:46" x14ac:dyDescent="0.3">
      <c r="AJ1749" s="83"/>
      <c r="AK1749" s="83"/>
      <c r="AL1749" s="83"/>
      <c r="AM1749" s="83"/>
      <c r="AN1749" s="83"/>
      <c r="AO1749" s="83"/>
      <c r="AP1749" s="83"/>
      <c r="AQ1749" s="83"/>
      <c r="AR1749" s="83"/>
      <c r="AS1749" s="83"/>
      <c r="AT1749" s="83"/>
    </row>
    <row r="1750" spans="36:46" x14ac:dyDescent="0.3">
      <c r="AJ1750" s="83"/>
      <c r="AK1750" s="83"/>
      <c r="AL1750" s="83"/>
      <c r="AM1750" s="83"/>
      <c r="AN1750" s="83"/>
      <c r="AO1750" s="83"/>
      <c r="AP1750" s="83"/>
      <c r="AQ1750" s="83"/>
      <c r="AR1750" s="83"/>
      <c r="AS1750" s="83"/>
      <c r="AT1750" s="83"/>
    </row>
    <row r="1751" spans="36:46" x14ac:dyDescent="0.3">
      <c r="AJ1751" s="83"/>
      <c r="AK1751" s="83"/>
      <c r="AL1751" s="83"/>
      <c r="AM1751" s="83"/>
      <c r="AN1751" s="83"/>
      <c r="AO1751" s="83"/>
      <c r="AP1751" s="83"/>
      <c r="AQ1751" s="83"/>
      <c r="AR1751" s="83"/>
      <c r="AS1751" s="83"/>
      <c r="AT1751" s="83"/>
    </row>
    <row r="1752" spans="36:46" x14ac:dyDescent="0.3">
      <c r="AJ1752" s="83"/>
      <c r="AK1752" s="83"/>
      <c r="AL1752" s="83"/>
      <c r="AM1752" s="83"/>
      <c r="AN1752" s="83"/>
      <c r="AO1752" s="83"/>
      <c r="AP1752" s="83"/>
      <c r="AQ1752" s="83"/>
      <c r="AR1752" s="83"/>
      <c r="AS1752" s="83"/>
      <c r="AT1752" s="83"/>
    </row>
    <row r="1753" spans="36:46" x14ac:dyDescent="0.3">
      <c r="AJ1753" s="83"/>
      <c r="AK1753" s="83"/>
      <c r="AL1753" s="83"/>
      <c r="AM1753" s="83"/>
      <c r="AN1753" s="83"/>
      <c r="AO1753" s="83"/>
      <c r="AP1753" s="83"/>
      <c r="AQ1753" s="83"/>
      <c r="AR1753" s="83"/>
      <c r="AS1753" s="83"/>
      <c r="AT1753" s="83"/>
    </row>
    <row r="1754" spans="36:46" x14ac:dyDescent="0.3">
      <c r="AJ1754" s="83"/>
      <c r="AK1754" s="83"/>
      <c r="AL1754" s="83"/>
      <c r="AM1754" s="83"/>
      <c r="AN1754" s="83"/>
      <c r="AO1754" s="83"/>
      <c r="AP1754" s="83"/>
      <c r="AQ1754" s="83"/>
      <c r="AR1754" s="83"/>
      <c r="AS1754" s="83"/>
      <c r="AT1754" s="83"/>
    </row>
    <row r="1755" spans="36:46" x14ac:dyDescent="0.3">
      <c r="AJ1755" s="83"/>
      <c r="AK1755" s="83"/>
      <c r="AL1755" s="83"/>
      <c r="AM1755" s="83"/>
      <c r="AN1755" s="83"/>
      <c r="AO1755" s="83"/>
      <c r="AP1755" s="83"/>
      <c r="AQ1755" s="83"/>
      <c r="AR1755" s="83"/>
      <c r="AS1755" s="83"/>
      <c r="AT1755" s="83"/>
    </row>
    <row r="1756" spans="36:46" x14ac:dyDescent="0.3">
      <c r="AJ1756" s="83"/>
      <c r="AK1756" s="83"/>
      <c r="AL1756" s="83"/>
      <c r="AM1756" s="83"/>
      <c r="AN1756" s="83"/>
      <c r="AO1756" s="83"/>
      <c r="AP1756" s="83"/>
      <c r="AQ1756" s="83"/>
      <c r="AR1756" s="83"/>
      <c r="AS1756" s="83"/>
      <c r="AT1756" s="83"/>
    </row>
    <row r="1757" spans="36:46" x14ac:dyDescent="0.3">
      <c r="AJ1757" s="83"/>
      <c r="AK1757" s="83"/>
      <c r="AL1757" s="83"/>
      <c r="AM1757" s="83"/>
      <c r="AN1757" s="83"/>
      <c r="AO1757" s="83"/>
      <c r="AP1757" s="83"/>
      <c r="AQ1757" s="83"/>
      <c r="AR1757" s="83"/>
      <c r="AS1757" s="83"/>
      <c r="AT1757" s="83"/>
    </row>
    <row r="1758" spans="36:46" x14ac:dyDescent="0.3">
      <c r="AJ1758" s="83"/>
      <c r="AK1758" s="83"/>
      <c r="AL1758" s="83"/>
      <c r="AM1758" s="83"/>
      <c r="AN1758" s="83"/>
      <c r="AO1758" s="83"/>
      <c r="AP1758" s="83"/>
      <c r="AQ1758" s="83"/>
      <c r="AR1758" s="83"/>
      <c r="AS1758" s="83"/>
      <c r="AT1758" s="83"/>
    </row>
    <row r="1759" spans="36:46" x14ac:dyDescent="0.3">
      <c r="AJ1759" s="83"/>
      <c r="AK1759" s="83"/>
      <c r="AL1759" s="83"/>
      <c r="AM1759" s="83"/>
      <c r="AN1759" s="83"/>
      <c r="AO1759" s="83"/>
      <c r="AP1759" s="83"/>
      <c r="AQ1759" s="83"/>
      <c r="AR1759" s="83"/>
      <c r="AS1759" s="83"/>
      <c r="AT1759" s="83"/>
    </row>
    <row r="1760" spans="36:46" x14ac:dyDescent="0.3">
      <c r="AJ1760" s="83"/>
      <c r="AK1760" s="83"/>
      <c r="AL1760" s="83"/>
      <c r="AM1760" s="83"/>
      <c r="AN1760" s="83"/>
      <c r="AO1760" s="83"/>
      <c r="AP1760" s="83"/>
      <c r="AQ1760" s="83"/>
      <c r="AR1760" s="83"/>
      <c r="AS1760" s="83"/>
      <c r="AT1760" s="83"/>
    </row>
    <row r="1761" spans="36:46" x14ac:dyDescent="0.3">
      <c r="AJ1761" s="83"/>
      <c r="AK1761" s="83"/>
      <c r="AL1761" s="83"/>
      <c r="AM1761" s="83"/>
      <c r="AN1761" s="83"/>
      <c r="AO1761" s="83"/>
      <c r="AP1761" s="83"/>
      <c r="AQ1761" s="83"/>
      <c r="AR1761" s="83"/>
      <c r="AS1761" s="83"/>
      <c r="AT1761" s="83"/>
    </row>
    <row r="1762" spans="36:46" x14ac:dyDescent="0.3">
      <c r="AJ1762" s="83"/>
      <c r="AK1762" s="83"/>
      <c r="AL1762" s="83"/>
      <c r="AM1762" s="83"/>
      <c r="AN1762" s="83"/>
      <c r="AO1762" s="83"/>
      <c r="AP1762" s="83"/>
      <c r="AQ1762" s="83"/>
      <c r="AR1762" s="83"/>
      <c r="AS1762" s="83"/>
      <c r="AT1762" s="83"/>
    </row>
    <row r="1763" spans="36:46" x14ac:dyDescent="0.3">
      <c r="AJ1763" s="83"/>
      <c r="AK1763" s="83"/>
      <c r="AL1763" s="83"/>
      <c r="AM1763" s="83"/>
      <c r="AN1763" s="83"/>
      <c r="AO1763" s="83"/>
      <c r="AP1763" s="83"/>
      <c r="AQ1763" s="83"/>
      <c r="AR1763" s="83"/>
      <c r="AS1763" s="83"/>
      <c r="AT1763" s="83"/>
    </row>
    <row r="1764" spans="36:46" x14ac:dyDescent="0.3">
      <c r="AJ1764" s="83"/>
      <c r="AK1764" s="83"/>
      <c r="AL1764" s="83"/>
      <c r="AM1764" s="83"/>
      <c r="AN1764" s="83"/>
      <c r="AO1764" s="83"/>
      <c r="AP1764" s="83"/>
      <c r="AQ1764" s="83"/>
      <c r="AR1764" s="83"/>
      <c r="AS1764" s="83"/>
      <c r="AT1764" s="83"/>
    </row>
    <row r="1765" spans="36:46" x14ac:dyDescent="0.3">
      <c r="AJ1765" s="83"/>
      <c r="AK1765" s="83"/>
      <c r="AL1765" s="83"/>
      <c r="AM1765" s="83"/>
      <c r="AN1765" s="83"/>
      <c r="AO1765" s="83"/>
      <c r="AP1765" s="83"/>
      <c r="AQ1765" s="83"/>
      <c r="AR1765" s="83"/>
      <c r="AS1765" s="83"/>
      <c r="AT1765" s="83"/>
    </row>
    <row r="1766" spans="36:46" x14ac:dyDescent="0.3">
      <c r="AJ1766" s="83"/>
      <c r="AK1766" s="83"/>
      <c r="AL1766" s="83"/>
      <c r="AM1766" s="83"/>
      <c r="AN1766" s="83"/>
      <c r="AO1766" s="83"/>
      <c r="AP1766" s="83"/>
      <c r="AQ1766" s="83"/>
      <c r="AR1766" s="83"/>
      <c r="AS1766" s="83"/>
      <c r="AT1766" s="83"/>
    </row>
    <row r="1767" spans="36:46" x14ac:dyDescent="0.3">
      <c r="AJ1767" s="83"/>
      <c r="AK1767" s="83"/>
      <c r="AL1767" s="83"/>
      <c r="AM1767" s="83"/>
      <c r="AN1767" s="83"/>
      <c r="AO1767" s="83"/>
      <c r="AP1767" s="83"/>
      <c r="AQ1767" s="83"/>
      <c r="AR1767" s="83"/>
      <c r="AS1767" s="83"/>
      <c r="AT1767" s="83"/>
    </row>
    <row r="1768" spans="36:46" x14ac:dyDescent="0.3">
      <c r="AJ1768" s="83"/>
      <c r="AK1768" s="83"/>
      <c r="AL1768" s="83"/>
      <c r="AM1768" s="83"/>
      <c r="AN1768" s="83"/>
      <c r="AO1768" s="83"/>
      <c r="AP1768" s="83"/>
      <c r="AQ1768" s="83"/>
      <c r="AR1768" s="83"/>
      <c r="AS1768" s="83"/>
      <c r="AT1768" s="83"/>
    </row>
    <row r="1769" spans="36:46" x14ac:dyDescent="0.3">
      <c r="AJ1769" s="83"/>
      <c r="AK1769" s="83"/>
      <c r="AL1769" s="83"/>
      <c r="AM1769" s="83"/>
      <c r="AN1769" s="83"/>
      <c r="AO1769" s="83"/>
      <c r="AP1769" s="83"/>
      <c r="AQ1769" s="83"/>
      <c r="AR1769" s="83"/>
      <c r="AS1769" s="83"/>
      <c r="AT1769" s="83"/>
    </row>
    <row r="1770" spans="36:46" x14ac:dyDescent="0.3">
      <c r="AJ1770" s="83"/>
      <c r="AK1770" s="83"/>
      <c r="AL1770" s="83"/>
      <c r="AM1770" s="83"/>
      <c r="AN1770" s="83"/>
      <c r="AO1770" s="83"/>
      <c r="AP1770" s="83"/>
      <c r="AQ1770" s="83"/>
      <c r="AR1770" s="83"/>
      <c r="AS1770" s="83"/>
      <c r="AT1770" s="83"/>
    </row>
    <row r="1771" spans="36:46" x14ac:dyDescent="0.3">
      <c r="AJ1771" s="83"/>
      <c r="AK1771" s="83"/>
      <c r="AL1771" s="83"/>
      <c r="AM1771" s="83"/>
      <c r="AN1771" s="83"/>
      <c r="AO1771" s="83"/>
      <c r="AP1771" s="83"/>
      <c r="AQ1771" s="83"/>
      <c r="AR1771" s="83"/>
      <c r="AS1771" s="83"/>
      <c r="AT1771" s="83"/>
    </row>
    <row r="1772" spans="36:46" x14ac:dyDescent="0.3">
      <c r="AJ1772" s="83"/>
      <c r="AK1772" s="83"/>
      <c r="AL1772" s="83"/>
      <c r="AM1772" s="83"/>
      <c r="AN1772" s="83"/>
      <c r="AO1772" s="83"/>
      <c r="AP1772" s="83"/>
      <c r="AQ1772" s="83"/>
      <c r="AR1772" s="83"/>
      <c r="AS1772" s="83"/>
      <c r="AT1772" s="83"/>
    </row>
    <row r="1773" spans="36:46" x14ac:dyDescent="0.3">
      <c r="AJ1773" s="83"/>
      <c r="AK1773" s="83"/>
      <c r="AL1773" s="83"/>
      <c r="AM1773" s="83"/>
      <c r="AN1773" s="83"/>
      <c r="AO1773" s="83"/>
      <c r="AP1773" s="83"/>
      <c r="AQ1773" s="83"/>
      <c r="AR1773" s="83"/>
      <c r="AS1773" s="83"/>
      <c r="AT1773" s="83"/>
    </row>
    <row r="1774" spans="36:46" x14ac:dyDescent="0.3">
      <c r="AJ1774" s="83"/>
      <c r="AK1774" s="83"/>
      <c r="AL1774" s="83"/>
      <c r="AM1774" s="83"/>
      <c r="AN1774" s="83"/>
      <c r="AO1774" s="83"/>
      <c r="AP1774" s="83"/>
      <c r="AQ1774" s="83"/>
      <c r="AR1774" s="83"/>
      <c r="AS1774" s="83"/>
      <c r="AT1774" s="83"/>
    </row>
    <row r="1775" spans="36:46" x14ac:dyDescent="0.3">
      <c r="AJ1775" s="83"/>
      <c r="AK1775" s="83"/>
      <c r="AL1775" s="83"/>
      <c r="AM1775" s="83"/>
      <c r="AN1775" s="83"/>
      <c r="AO1775" s="83"/>
      <c r="AP1775" s="83"/>
      <c r="AQ1775" s="83"/>
      <c r="AR1775" s="83"/>
      <c r="AS1775" s="83"/>
      <c r="AT1775" s="83"/>
    </row>
    <row r="1776" spans="36:46" x14ac:dyDescent="0.3">
      <c r="AJ1776" s="83"/>
      <c r="AK1776" s="83"/>
      <c r="AL1776" s="83"/>
      <c r="AM1776" s="83"/>
      <c r="AN1776" s="83"/>
      <c r="AO1776" s="83"/>
      <c r="AP1776" s="83"/>
      <c r="AQ1776" s="83"/>
      <c r="AR1776" s="83"/>
      <c r="AS1776" s="83"/>
      <c r="AT1776" s="83"/>
    </row>
    <row r="1777" spans="36:46" x14ac:dyDescent="0.3">
      <c r="AJ1777" s="83"/>
      <c r="AK1777" s="83"/>
      <c r="AL1777" s="83"/>
      <c r="AM1777" s="83"/>
      <c r="AN1777" s="83"/>
      <c r="AO1777" s="83"/>
      <c r="AP1777" s="83"/>
      <c r="AQ1777" s="83"/>
      <c r="AR1777" s="83"/>
      <c r="AS1777" s="83"/>
      <c r="AT1777" s="83"/>
    </row>
    <row r="1778" spans="36:46" x14ac:dyDescent="0.3">
      <c r="AJ1778" s="83"/>
      <c r="AK1778" s="83"/>
      <c r="AL1778" s="83"/>
      <c r="AM1778" s="83"/>
      <c r="AN1778" s="83"/>
      <c r="AO1778" s="83"/>
      <c r="AP1778" s="83"/>
      <c r="AQ1778" s="83"/>
      <c r="AR1778" s="83"/>
      <c r="AS1778" s="83"/>
      <c r="AT1778" s="83"/>
    </row>
    <row r="1779" spans="36:46" x14ac:dyDescent="0.3">
      <c r="AJ1779" s="83"/>
      <c r="AK1779" s="83"/>
      <c r="AL1779" s="83"/>
      <c r="AM1779" s="83"/>
      <c r="AN1779" s="83"/>
      <c r="AO1779" s="83"/>
      <c r="AP1779" s="83"/>
      <c r="AQ1779" s="83"/>
      <c r="AR1779" s="83"/>
      <c r="AS1779" s="83"/>
      <c r="AT1779" s="83"/>
    </row>
    <row r="1780" spans="36:46" x14ac:dyDescent="0.3">
      <c r="AJ1780" s="83"/>
      <c r="AK1780" s="83"/>
      <c r="AL1780" s="83"/>
      <c r="AM1780" s="83"/>
      <c r="AN1780" s="83"/>
      <c r="AO1780" s="83"/>
      <c r="AP1780" s="83"/>
      <c r="AQ1780" s="83"/>
      <c r="AR1780" s="83"/>
      <c r="AS1780" s="83"/>
      <c r="AT1780" s="83"/>
    </row>
    <row r="1781" spans="36:46" x14ac:dyDescent="0.3">
      <c r="AJ1781" s="83"/>
      <c r="AK1781" s="83"/>
      <c r="AL1781" s="83"/>
      <c r="AM1781" s="83"/>
      <c r="AN1781" s="83"/>
      <c r="AO1781" s="83"/>
      <c r="AP1781" s="83"/>
      <c r="AQ1781" s="83"/>
      <c r="AR1781" s="83"/>
      <c r="AS1781" s="83"/>
      <c r="AT1781" s="83"/>
    </row>
    <row r="1782" spans="36:46" x14ac:dyDescent="0.3">
      <c r="AJ1782" s="83"/>
      <c r="AK1782" s="83"/>
      <c r="AL1782" s="83"/>
      <c r="AM1782" s="83"/>
      <c r="AN1782" s="83"/>
      <c r="AO1782" s="83"/>
      <c r="AP1782" s="83"/>
      <c r="AQ1782" s="83"/>
      <c r="AR1782" s="83"/>
      <c r="AS1782" s="83"/>
      <c r="AT1782" s="83"/>
    </row>
    <row r="1783" spans="36:46" x14ac:dyDescent="0.3">
      <c r="AJ1783" s="83"/>
      <c r="AK1783" s="83"/>
      <c r="AL1783" s="83"/>
      <c r="AM1783" s="83"/>
      <c r="AN1783" s="83"/>
      <c r="AO1783" s="83"/>
      <c r="AP1783" s="83"/>
      <c r="AQ1783" s="83"/>
      <c r="AR1783" s="83"/>
      <c r="AS1783" s="83"/>
      <c r="AT1783" s="83"/>
    </row>
    <row r="1784" spans="36:46" x14ac:dyDescent="0.3">
      <c r="AJ1784" s="83"/>
      <c r="AK1784" s="83"/>
      <c r="AL1784" s="83"/>
      <c r="AM1784" s="83"/>
      <c r="AN1784" s="83"/>
      <c r="AO1784" s="83"/>
      <c r="AP1784" s="83"/>
      <c r="AQ1784" s="83"/>
      <c r="AR1784" s="83"/>
      <c r="AS1784" s="83"/>
      <c r="AT1784" s="83"/>
    </row>
    <row r="1785" spans="36:46" x14ac:dyDescent="0.3">
      <c r="AJ1785" s="83"/>
      <c r="AK1785" s="83"/>
      <c r="AL1785" s="83"/>
      <c r="AM1785" s="83"/>
      <c r="AN1785" s="83"/>
      <c r="AO1785" s="83"/>
      <c r="AP1785" s="83"/>
      <c r="AQ1785" s="83"/>
      <c r="AR1785" s="83"/>
      <c r="AS1785" s="83"/>
      <c r="AT1785" s="83"/>
    </row>
    <row r="1786" spans="36:46" x14ac:dyDescent="0.3">
      <c r="AJ1786" s="83"/>
      <c r="AK1786" s="83"/>
      <c r="AL1786" s="83"/>
      <c r="AM1786" s="83"/>
      <c r="AN1786" s="83"/>
      <c r="AO1786" s="83"/>
      <c r="AP1786" s="83"/>
      <c r="AQ1786" s="83"/>
      <c r="AR1786" s="83"/>
      <c r="AS1786" s="83"/>
      <c r="AT1786" s="83"/>
    </row>
    <row r="1787" spans="36:46" x14ac:dyDescent="0.3">
      <c r="AJ1787" s="83"/>
      <c r="AK1787" s="83"/>
      <c r="AL1787" s="83"/>
      <c r="AM1787" s="83"/>
      <c r="AN1787" s="83"/>
      <c r="AO1787" s="83"/>
      <c r="AP1787" s="83"/>
      <c r="AQ1787" s="83"/>
      <c r="AR1787" s="83"/>
      <c r="AS1787" s="83"/>
      <c r="AT1787" s="83"/>
    </row>
    <row r="1788" spans="36:46" x14ac:dyDescent="0.3">
      <c r="AJ1788" s="83"/>
      <c r="AK1788" s="83"/>
      <c r="AL1788" s="83"/>
      <c r="AM1788" s="83"/>
      <c r="AN1788" s="83"/>
      <c r="AO1788" s="83"/>
      <c r="AP1788" s="83"/>
      <c r="AQ1788" s="83"/>
      <c r="AR1788" s="83"/>
      <c r="AS1788" s="83"/>
      <c r="AT1788" s="83"/>
    </row>
    <row r="1789" spans="36:46" x14ac:dyDescent="0.3">
      <c r="AJ1789" s="83"/>
      <c r="AK1789" s="83"/>
      <c r="AL1789" s="83"/>
      <c r="AM1789" s="83"/>
      <c r="AN1789" s="83"/>
      <c r="AO1789" s="83"/>
      <c r="AP1789" s="83"/>
      <c r="AQ1789" s="83"/>
      <c r="AR1789" s="83"/>
      <c r="AS1789" s="83"/>
      <c r="AT1789" s="83"/>
    </row>
    <row r="1790" spans="36:46" x14ac:dyDescent="0.3">
      <c r="AJ1790" s="83"/>
      <c r="AK1790" s="83"/>
      <c r="AL1790" s="83"/>
      <c r="AM1790" s="83"/>
      <c r="AN1790" s="83"/>
      <c r="AO1790" s="83"/>
      <c r="AP1790" s="83"/>
      <c r="AQ1790" s="83"/>
      <c r="AR1790" s="83"/>
      <c r="AS1790" s="83"/>
      <c r="AT1790" s="83"/>
    </row>
    <row r="1791" spans="36:46" x14ac:dyDescent="0.3">
      <c r="AJ1791" s="83"/>
      <c r="AK1791" s="83"/>
      <c r="AL1791" s="83"/>
      <c r="AM1791" s="83"/>
      <c r="AN1791" s="83"/>
      <c r="AO1791" s="83"/>
      <c r="AP1791" s="83"/>
      <c r="AQ1791" s="83"/>
      <c r="AR1791" s="83"/>
      <c r="AS1791" s="83"/>
      <c r="AT1791" s="83"/>
    </row>
    <row r="1792" spans="36:46" x14ac:dyDescent="0.3">
      <c r="AJ1792" s="83"/>
      <c r="AK1792" s="83"/>
      <c r="AL1792" s="83"/>
      <c r="AM1792" s="83"/>
      <c r="AN1792" s="83"/>
      <c r="AO1792" s="83"/>
      <c r="AP1792" s="83"/>
      <c r="AQ1792" s="83"/>
      <c r="AR1792" s="83"/>
      <c r="AS1792" s="83"/>
      <c r="AT1792" s="83"/>
    </row>
    <row r="1793" spans="36:46" x14ac:dyDescent="0.3">
      <c r="AJ1793" s="83"/>
      <c r="AK1793" s="83"/>
      <c r="AL1793" s="83"/>
      <c r="AM1793" s="83"/>
      <c r="AN1793" s="83"/>
      <c r="AO1793" s="83"/>
      <c r="AP1793" s="83"/>
      <c r="AQ1793" s="83"/>
      <c r="AR1793" s="83"/>
      <c r="AS1793" s="83"/>
      <c r="AT1793" s="83"/>
    </row>
    <row r="1794" spans="36:46" x14ac:dyDescent="0.3">
      <c r="AJ1794" s="83"/>
      <c r="AK1794" s="83"/>
      <c r="AL1794" s="83"/>
      <c r="AM1794" s="83"/>
      <c r="AN1794" s="83"/>
      <c r="AO1794" s="83"/>
      <c r="AP1794" s="83"/>
      <c r="AQ1794" s="83"/>
      <c r="AR1794" s="83"/>
      <c r="AS1794" s="83"/>
      <c r="AT1794" s="83"/>
    </row>
    <row r="1795" spans="36:46" x14ac:dyDescent="0.3">
      <c r="AJ1795" s="83"/>
      <c r="AK1795" s="83"/>
      <c r="AL1795" s="83"/>
      <c r="AM1795" s="83"/>
      <c r="AN1795" s="83"/>
      <c r="AO1795" s="83"/>
      <c r="AP1795" s="83"/>
      <c r="AQ1795" s="83"/>
      <c r="AR1795" s="83"/>
      <c r="AS1795" s="83"/>
      <c r="AT1795" s="83"/>
    </row>
    <row r="1796" spans="36:46" x14ac:dyDescent="0.3">
      <c r="AJ1796" s="83"/>
      <c r="AK1796" s="83"/>
      <c r="AL1796" s="83"/>
      <c r="AM1796" s="83"/>
      <c r="AN1796" s="83"/>
      <c r="AO1796" s="83"/>
      <c r="AP1796" s="83"/>
      <c r="AQ1796" s="83"/>
      <c r="AR1796" s="83"/>
      <c r="AS1796" s="83"/>
      <c r="AT1796" s="83"/>
    </row>
    <row r="1797" spans="36:46" x14ac:dyDescent="0.3">
      <c r="AJ1797" s="83"/>
      <c r="AK1797" s="83"/>
      <c r="AL1797" s="83"/>
      <c r="AM1797" s="83"/>
      <c r="AN1797" s="83"/>
      <c r="AO1797" s="83"/>
      <c r="AP1797" s="83"/>
      <c r="AQ1797" s="83"/>
      <c r="AR1797" s="83"/>
      <c r="AS1797" s="83"/>
      <c r="AT1797" s="83"/>
    </row>
    <row r="1798" spans="36:46" x14ac:dyDescent="0.3">
      <c r="AJ1798" s="83"/>
      <c r="AK1798" s="83"/>
      <c r="AL1798" s="83"/>
      <c r="AM1798" s="83"/>
      <c r="AN1798" s="83"/>
      <c r="AO1798" s="83"/>
      <c r="AP1798" s="83"/>
      <c r="AQ1798" s="83"/>
      <c r="AR1798" s="83"/>
      <c r="AS1798" s="83"/>
      <c r="AT1798" s="83"/>
    </row>
    <row r="1799" spans="36:46" x14ac:dyDescent="0.3">
      <c r="AJ1799" s="83"/>
      <c r="AK1799" s="83"/>
      <c r="AL1799" s="83"/>
      <c r="AM1799" s="83"/>
      <c r="AN1799" s="83"/>
      <c r="AO1799" s="83"/>
      <c r="AP1799" s="83"/>
      <c r="AQ1799" s="83"/>
      <c r="AR1799" s="83"/>
      <c r="AS1799" s="83"/>
      <c r="AT1799" s="83"/>
    </row>
    <row r="1800" spans="36:46" x14ac:dyDescent="0.3">
      <c r="AJ1800" s="83"/>
      <c r="AK1800" s="83"/>
      <c r="AL1800" s="83"/>
      <c r="AM1800" s="83"/>
      <c r="AN1800" s="83"/>
      <c r="AO1800" s="83"/>
      <c r="AP1800" s="83"/>
      <c r="AQ1800" s="83"/>
      <c r="AR1800" s="83"/>
      <c r="AS1800" s="83"/>
      <c r="AT1800" s="83"/>
    </row>
    <row r="1801" spans="36:46" x14ac:dyDescent="0.3">
      <c r="AJ1801" s="83"/>
      <c r="AK1801" s="83"/>
      <c r="AL1801" s="83"/>
      <c r="AM1801" s="83"/>
      <c r="AN1801" s="83"/>
      <c r="AO1801" s="83"/>
      <c r="AP1801" s="83"/>
      <c r="AQ1801" s="83"/>
      <c r="AR1801" s="83"/>
      <c r="AS1801" s="83"/>
      <c r="AT1801" s="83"/>
    </row>
    <row r="1802" spans="36:46" x14ac:dyDescent="0.3">
      <c r="AJ1802" s="83"/>
      <c r="AK1802" s="83"/>
      <c r="AL1802" s="83"/>
      <c r="AM1802" s="83"/>
      <c r="AN1802" s="83"/>
      <c r="AO1802" s="83"/>
      <c r="AP1802" s="83"/>
      <c r="AQ1802" s="83"/>
      <c r="AR1802" s="83"/>
      <c r="AS1802" s="83"/>
      <c r="AT1802" s="83"/>
    </row>
    <row r="1803" spans="36:46" x14ac:dyDescent="0.3">
      <c r="AJ1803" s="83"/>
      <c r="AK1803" s="83"/>
      <c r="AL1803" s="83"/>
      <c r="AM1803" s="83"/>
      <c r="AN1803" s="83"/>
      <c r="AO1803" s="83"/>
      <c r="AP1803" s="83"/>
      <c r="AQ1803" s="83"/>
      <c r="AR1803" s="83"/>
      <c r="AS1803" s="83"/>
      <c r="AT1803" s="83"/>
    </row>
    <row r="1804" spans="36:46" x14ac:dyDescent="0.3">
      <c r="AJ1804" s="83"/>
      <c r="AK1804" s="83"/>
      <c r="AL1804" s="83"/>
      <c r="AM1804" s="83"/>
      <c r="AN1804" s="83"/>
      <c r="AO1804" s="83"/>
      <c r="AP1804" s="83"/>
      <c r="AQ1804" s="83"/>
      <c r="AR1804" s="83"/>
      <c r="AS1804" s="83"/>
      <c r="AT1804" s="83"/>
    </row>
    <row r="1805" spans="36:46" x14ac:dyDescent="0.3">
      <c r="AJ1805" s="83"/>
      <c r="AK1805" s="83"/>
      <c r="AL1805" s="83"/>
      <c r="AM1805" s="83"/>
      <c r="AN1805" s="83"/>
      <c r="AO1805" s="83"/>
      <c r="AP1805" s="83"/>
      <c r="AQ1805" s="83"/>
      <c r="AR1805" s="83"/>
      <c r="AS1805" s="83"/>
      <c r="AT1805" s="83"/>
    </row>
    <row r="1806" spans="36:46" x14ac:dyDescent="0.3">
      <c r="AJ1806" s="83"/>
      <c r="AK1806" s="83"/>
      <c r="AL1806" s="83"/>
      <c r="AM1806" s="83"/>
      <c r="AN1806" s="83"/>
      <c r="AO1806" s="83"/>
      <c r="AP1806" s="83"/>
      <c r="AQ1806" s="83"/>
      <c r="AR1806" s="83"/>
      <c r="AS1806" s="83"/>
      <c r="AT1806" s="83"/>
    </row>
    <row r="1807" spans="36:46" x14ac:dyDescent="0.3">
      <c r="AJ1807" s="83"/>
      <c r="AK1807" s="83"/>
      <c r="AL1807" s="83"/>
      <c r="AM1807" s="83"/>
      <c r="AN1807" s="83"/>
      <c r="AO1807" s="83"/>
      <c r="AP1807" s="83"/>
      <c r="AQ1807" s="83"/>
      <c r="AR1807" s="83"/>
      <c r="AS1807" s="83"/>
      <c r="AT1807" s="83"/>
    </row>
    <row r="1808" spans="36:46" x14ac:dyDescent="0.3">
      <c r="AJ1808" s="83"/>
      <c r="AK1808" s="83"/>
      <c r="AL1808" s="83"/>
      <c r="AM1808" s="83"/>
      <c r="AN1808" s="83"/>
      <c r="AO1808" s="83"/>
      <c r="AP1808" s="83"/>
      <c r="AQ1808" s="83"/>
      <c r="AR1808" s="83"/>
      <c r="AS1808" s="83"/>
      <c r="AT1808" s="83"/>
    </row>
    <row r="1809" spans="36:46" x14ac:dyDescent="0.3">
      <c r="AJ1809" s="83"/>
      <c r="AK1809" s="83"/>
      <c r="AL1809" s="83"/>
      <c r="AM1809" s="83"/>
      <c r="AN1809" s="83"/>
      <c r="AO1809" s="83"/>
      <c r="AP1809" s="83"/>
      <c r="AQ1809" s="83"/>
      <c r="AR1809" s="83"/>
      <c r="AS1809" s="83"/>
      <c r="AT1809" s="83"/>
    </row>
    <row r="1810" spans="36:46" x14ac:dyDescent="0.3">
      <c r="AJ1810" s="83"/>
      <c r="AK1810" s="83"/>
      <c r="AL1810" s="83"/>
      <c r="AM1810" s="83"/>
      <c r="AN1810" s="83"/>
      <c r="AO1810" s="83"/>
      <c r="AP1810" s="83"/>
      <c r="AQ1810" s="83"/>
      <c r="AR1810" s="83"/>
      <c r="AS1810" s="83"/>
      <c r="AT1810" s="83"/>
    </row>
    <row r="1811" spans="36:46" x14ac:dyDescent="0.3">
      <c r="AJ1811" s="83"/>
      <c r="AK1811" s="83"/>
      <c r="AL1811" s="83"/>
      <c r="AM1811" s="83"/>
      <c r="AN1811" s="83"/>
      <c r="AO1811" s="83"/>
      <c r="AP1811" s="83"/>
      <c r="AQ1811" s="83"/>
      <c r="AR1811" s="83"/>
      <c r="AS1811" s="83"/>
      <c r="AT1811" s="83"/>
    </row>
    <row r="1812" spans="36:46" x14ac:dyDescent="0.3">
      <c r="AJ1812" s="83"/>
      <c r="AK1812" s="83"/>
      <c r="AL1812" s="83"/>
      <c r="AM1812" s="83"/>
      <c r="AN1812" s="83"/>
      <c r="AO1812" s="83"/>
      <c r="AP1812" s="83"/>
      <c r="AQ1812" s="83"/>
      <c r="AR1812" s="83"/>
      <c r="AS1812" s="83"/>
      <c r="AT1812" s="83"/>
    </row>
    <row r="1813" spans="36:46" x14ac:dyDescent="0.3">
      <c r="AJ1813" s="83"/>
      <c r="AK1813" s="83"/>
      <c r="AL1813" s="83"/>
      <c r="AM1813" s="83"/>
      <c r="AN1813" s="83"/>
      <c r="AO1813" s="83"/>
      <c r="AP1813" s="83"/>
      <c r="AQ1813" s="83"/>
      <c r="AR1813" s="83"/>
      <c r="AS1813" s="83"/>
      <c r="AT1813" s="83"/>
    </row>
    <row r="1814" spans="36:46" x14ac:dyDescent="0.3">
      <c r="AJ1814" s="83"/>
      <c r="AK1814" s="83"/>
      <c r="AL1814" s="83"/>
      <c r="AM1814" s="83"/>
      <c r="AN1814" s="83"/>
      <c r="AO1814" s="83"/>
      <c r="AP1814" s="83"/>
      <c r="AQ1814" s="83"/>
      <c r="AR1814" s="83"/>
      <c r="AS1814" s="83"/>
      <c r="AT1814" s="83"/>
    </row>
    <row r="1815" spans="36:46" x14ac:dyDescent="0.3">
      <c r="AJ1815" s="83"/>
      <c r="AK1815" s="83"/>
      <c r="AL1815" s="83"/>
      <c r="AM1815" s="83"/>
      <c r="AN1815" s="83"/>
      <c r="AO1815" s="83"/>
      <c r="AP1815" s="83"/>
      <c r="AQ1815" s="83"/>
      <c r="AR1815" s="83"/>
      <c r="AS1815" s="83"/>
      <c r="AT1815" s="83"/>
    </row>
    <row r="1816" spans="36:46" x14ac:dyDescent="0.3">
      <c r="AJ1816" s="83"/>
      <c r="AK1816" s="83"/>
      <c r="AL1816" s="83"/>
      <c r="AM1816" s="83"/>
      <c r="AN1816" s="83"/>
      <c r="AO1816" s="83"/>
      <c r="AP1816" s="83"/>
      <c r="AQ1816" s="83"/>
      <c r="AR1816" s="83"/>
      <c r="AS1816" s="83"/>
      <c r="AT1816" s="83"/>
    </row>
    <row r="1817" spans="36:46" x14ac:dyDescent="0.3">
      <c r="AJ1817" s="83"/>
      <c r="AK1817" s="83"/>
      <c r="AL1817" s="83"/>
      <c r="AM1817" s="83"/>
      <c r="AN1817" s="83"/>
      <c r="AO1817" s="83"/>
      <c r="AP1817" s="83"/>
      <c r="AQ1817" s="83"/>
      <c r="AR1817" s="83"/>
      <c r="AS1817" s="83"/>
      <c r="AT1817" s="83"/>
    </row>
    <row r="1818" spans="36:46" x14ac:dyDescent="0.3">
      <c r="AJ1818" s="83"/>
      <c r="AK1818" s="83"/>
      <c r="AL1818" s="83"/>
      <c r="AM1818" s="83"/>
      <c r="AN1818" s="83"/>
      <c r="AO1818" s="83"/>
      <c r="AP1818" s="83"/>
      <c r="AQ1818" s="83"/>
      <c r="AR1818" s="83"/>
      <c r="AS1818" s="83"/>
      <c r="AT1818" s="83"/>
    </row>
    <row r="1819" spans="36:46" x14ac:dyDescent="0.3">
      <c r="AJ1819" s="83"/>
      <c r="AK1819" s="83"/>
      <c r="AL1819" s="83"/>
      <c r="AM1819" s="83"/>
      <c r="AN1819" s="83"/>
      <c r="AO1819" s="83"/>
      <c r="AP1819" s="83"/>
      <c r="AQ1819" s="83"/>
      <c r="AR1819" s="83"/>
      <c r="AS1819" s="83"/>
      <c r="AT1819" s="83"/>
    </row>
    <row r="1820" spans="36:46" x14ac:dyDescent="0.3">
      <c r="AJ1820" s="83"/>
      <c r="AK1820" s="83"/>
      <c r="AL1820" s="83"/>
      <c r="AM1820" s="83"/>
      <c r="AN1820" s="83"/>
      <c r="AO1820" s="83"/>
      <c r="AP1820" s="83"/>
      <c r="AQ1820" s="83"/>
      <c r="AR1820" s="83"/>
      <c r="AS1820" s="83"/>
      <c r="AT1820" s="83"/>
    </row>
    <row r="1821" spans="36:46" x14ac:dyDescent="0.3">
      <c r="AJ1821" s="83"/>
      <c r="AK1821" s="83"/>
      <c r="AL1821" s="83"/>
      <c r="AM1821" s="83"/>
      <c r="AN1821" s="83"/>
      <c r="AO1821" s="83"/>
      <c r="AP1821" s="83"/>
      <c r="AQ1821" s="83"/>
      <c r="AR1821" s="83"/>
      <c r="AS1821" s="83"/>
      <c r="AT1821" s="83"/>
    </row>
    <row r="1822" spans="36:46" x14ac:dyDescent="0.3">
      <c r="AJ1822" s="83"/>
      <c r="AK1822" s="83"/>
      <c r="AL1822" s="83"/>
      <c r="AM1822" s="83"/>
      <c r="AN1822" s="83"/>
      <c r="AO1822" s="83"/>
      <c r="AP1822" s="83"/>
      <c r="AQ1822" s="83"/>
      <c r="AR1822" s="83"/>
      <c r="AS1822" s="83"/>
      <c r="AT1822" s="83"/>
    </row>
    <row r="1823" spans="36:46" x14ac:dyDescent="0.3">
      <c r="AJ1823" s="83"/>
      <c r="AK1823" s="83"/>
      <c r="AL1823" s="83"/>
      <c r="AM1823" s="83"/>
      <c r="AN1823" s="83"/>
      <c r="AO1823" s="83"/>
      <c r="AP1823" s="83"/>
      <c r="AQ1823" s="83"/>
      <c r="AR1823" s="83"/>
      <c r="AS1823" s="83"/>
      <c r="AT1823" s="83"/>
    </row>
    <row r="1824" spans="36:46" x14ac:dyDescent="0.3">
      <c r="AJ1824" s="83"/>
      <c r="AK1824" s="83"/>
      <c r="AL1824" s="83"/>
      <c r="AM1824" s="83"/>
      <c r="AN1824" s="83"/>
      <c r="AO1824" s="83"/>
      <c r="AP1824" s="83"/>
      <c r="AQ1824" s="83"/>
      <c r="AR1824" s="83"/>
      <c r="AS1824" s="83"/>
      <c r="AT1824" s="83"/>
    </row>
    <row r="1825" spans="36:46" x14ac:dyDescent="0.3">
      <c r="AJ1825" s="83"/>
      <c r="AK1825" s="83"/>
      <c r="AL1825" s="83"/>
      <c r="AM1825" s="83"/>
      <c r="AN1825" s="83"/>
      <c r="AO1825" s="83"/>
      <c r="AP1825" s="83"/>
      <c r="AQ1825" s="83"/>
      <c r="AR1825" s="83"/>
      <c r="AS1825" s="83"/>
      <c r="AT1825" s="83"/>
    </row>
    <row r="1826" spans="36:46" x14ac:dyDescent="0.3">
      <c r="AJ1826" s="83"/>
      <c r="AK1826" s="83"/>
      <c r="AL1826" s="83"/>
      <c r="AM1826" s="83"/>
      <c r="AN1826" s="83"/>
      <c r="AO1826" s="83"/>
      <c r="AP1826" s="83"/>
      <c r="AQ1826" s="83"/>
      <c r="AR1826" s="83"/>
      <c r="AS1826" s="83"/>
      <c r="AT1826" s="83"/>
    </row>
    <row r="1827" spans="36:46" x14ac:dyDescent="0.3">
      <c r="AJ1827" s="83"/>
      <c r="AK1827" s="83"/>
      <c r="AL1827" s="83"/>
      <c r="AM1827" s="83"/>
      <c r="AN1827" s="83"/>
      <c r="AO1827" s="83"/>
      <c r="AP1827" s="83"/>
      <c r="AQ1827" s="83"/>
      <c r="AR1827" s="83"/>
      <c r="AS1827" s="83"/>
      <c r="AT1827" s="83"/>
    </row>
    <row r="1828" spans="36:46" x14ac:dyDescent="0.3">
      <c r="AJ1828" s="83"/>
      <c r="AK1828" s="83"/>
      <c r="AL1828" s="83"/>
      <c r="AM1828" s="83"/>
      <c r="AN1828" s="83"/>
      <c r="AO1828" s="83"/>
      <c r="AP1828" s="83"/>
      <c r="AQ1828" s="83"/>
      <c r="AR1828" s="83"/>
      <c r="AS1828" s="83"/>
      <c r="AT1828" s="83"/>
    </row>
    <row r="1829" spans="36:46" x14ac:dyDescent="0.3">
      <c r="AJ1829" s="83"/>
      <c r="AK1829" s="83"/>
      <c r="AL1829" s="83"/>
      <c r="AM1829" s="83"/>
      <c r="AN1829" s="83"/>
      <c r="AO1829" s="83"/>
      <c r="AP1829" s="83"/>
      <c r="AQ1829" s="83"/>
      <c r="AR1829" s="83"/>
      <c r="AS1829" s="83"/>
      <c r="AT1829" s="83"/>
    </row>
    <row r="1830" spans="36:46" x14ac:dyDescent="0.3">
      <c r="AJ1830" s="83"/>
      <c r="AK1830" s="83"/>
      <c r="AL1830" s="83"/>
      <c r="AM1830" s="83"/>
      <c r="AN1830" s="83"/>
      <c r="AO1830" s="83"/>
      <c r="AP1830" s="83"/>
      <c r="AQ1830" s="83"/>
      <c r="AR1830" s="83"/>
      <c r="AS1830" s="83"/>
      <c r="AT1830" s="83"/>
    </row>
    <row r="1831" spans="36:46" x14ac:dyDescent="0.3">
      <c r="AJ1831" s="83"/>
      <c r="AK1831" s="83"/>
      <c r="AL1831" s="83"/>
      <c r="AM1831" s="83"/>
      <c r="AN1831" s="83"/>
      <c r="AO1831" s="83"/>
      <c r="AP1831" s="83"/>
      <c r="AQ1831" s="83"/>
      <c r="AR1831" s="83"/>
      <c r="AS1831" s="83"/>
      <c r="AT1831" s="83"/>
    </row>
    <row r="1832" spans="36:46" x14ac:dyDescent="0.3">
      <c r="AJ1832" s="83"/>
      <c r="AK1832" s="83"/>
      <c r="AL1832" s="83"/>
      <c r="AM1832" s="83"/>
      <c r="AN1832" s="83"/>
      <c r="AO1832" s="83"/>
      <c r="AP1832" s="83"/>
      <c r="AQ1832" s="83"/>
      <c r="AR1832" s="83"/>
      <c r="AS1832" s="83"/>
      <c r="AT1832" s="83"/>
    </row>
    <row r="1833" spans="36:46" x14ac:dyDescent="0.3">
      <c r="AJ1833" s="83"/>
      <c r="AK1833" s="83"/>
      <c r="AL1833" s="83"/>
      <c r="AM1833" s="83"/>
      <c r="AN1833" s="83"/>
      <c r="AO1833" s="83"/>
      <c r="AP1833" s="83"/>
      <c r="AQ1833" s="83"/>
      <c r="AR1833" s="83"/>
      <c r="AS1833" s="83"/>
      <c r="AT1833" s="83"/>
    </row>
    <row r="1834" spans="36:46" x14ac:dyDescent="0.3">
      <c r="AJ1834" s="83"/>
      <c r="AK1834" s="83"/>
      <c r="AL1834" s="83"/>
      <c r="AM1834" s="83"/>
      <c r="AN1834" s="83"/>
      <c r="AO1834" s="83"/>
      <c r="AP1834" s="83"/>
      <c r="AQ1834" s="83"/>
      <c r="AR1834" s="83"/>
      <c r="AS1834" s="83"/>
      <c r="AT1834" s="83"/>
    </row>
    <row r="1835" spans="36:46" x14ac:dyDescent="0.3">
      <c r="AJ1835" s="83"/>
      <c r="AK1835" s="83"/>
      <c r="AL1835" s="83"/>
      <c r="AM1835" s="83"/>
      <c r="AN1835" s="83"/>
      <c r="AO1835" s="83"/>
      <c r="AP1835" s="83"/>
      <c r="AQ1835" s="83"/>
      <c r="AR1835" s="83"/>
      <c r="AS1835" s="83"/>
      <c r="AT1835" s="83"/>
    </row>
    <row r="1836" spans="36:46" x14ac:dyDescent="0.3">
      <c r="AJ1836" s="83"/>
      <c r="AK1836" s="83"/>
      <c r="AL1836" s="83"/>
      <c r="AM1836" s="83"/>
      <c r="AN1836" s="83"/>
      <c r="AO1836" s="83"/>
      <c r="AP1836" s="83"/>
      <c r="AQ1836" s="83"/>
      <c r="AR1836" s="83"/>
      <c r="AS1836" s="83"/>
      <c r="AT1836" s="83"/>
    </row>
    <row r="1837" spans="36:46" x14ac:dyDescent="0.3">
      <c r="AJ1837" s="83"/>
      <c r="AK1837" s="83"/>
      <c r="AL1837" s="83"/>
      <c r="AM1837" s="83"/>
      <c r="AN1837" s="83"/>
      <c r="AO1837" s="83"/>
      <c r="AP1837" s="83"/>
      <c r="AQ1837" s="83"/>
      <c r="AR1837" s="83"/>
      <c r="AS1837" s="83"/>
      <c r="AT1837" s="83"/>
    </row>
    <row r="1838" spans="36:46" x14ac:dyDescent="0.3">
      <c r="AJ1838" s="83"/>
      <c r="AK1838" s="83"/>
      <c r="AL1838" s="83"/>
      <c r="AM1838" s="83"/>
      <c r="AN1838" s="83"/>
      <c r="AO1838" s="83"/>
      <c r="AP1838" s="83"/>
      <c r="AQ1838" s="83"/>
      <c r="AR1838" s="83"/>
      <c r="AS1838" s="83"/>
      <c r="AT1838" s="83"/>
    </row>
    <row r="1839" spans="36:46" x14ac:dyDescent="0.3">
      <c r="AJ1839" s="83"/>
      <c r="AK1839" s="83"/>
      <c r="AL1839" s="83"/>
      <c r="AM1839" s="83"/>
      <c r="AN1839" s="83"/>
      <c r="AO1839" s="83"/>
      <c r="AP1839" s="83"/>
      <c r="AQ1839" s="83"/>
      <c r="AR1839" s="83"/>
      <c r="AS1839" s="83"/>
      <c r="AT1839" s="83"/>
    </row>
    <row r="1840" spans="36:46" x14ac:dyDescent="0.3">
      <c r="AJ1840" s="83"/>
      <c r="AK1840" s="83"/>
      <c r="AL1840" s="83"/>
      <c r="AM1840" s="83"/>
      <c r="AN1840" s="83"/>
      <c r="AO1840" s="83"/>
      <c r="AP1840" s="83"/>
      <c r="AQ1840" s="83"/>
      <c r="AR1840" s="83"/>
      <c r="AS1840" s="83"/>
      <c r="AT1840" s="83"/>
    </row>
    <row r="1841" spans="36:46" x14ac:dyDescent="0.3">
      <c r="AJ1841" s="83"/>
      <c r="AK1841" s="83"/>
      <c r="AL1841" s="83"/>
      <c r="AM1841" s="83"/>
      <c r="AN1841" s="83"/>
      <c r="AO1841" s="83"/>
      <c r="AP1841" s="83"/>
      <c r="AQ1841" s="83"/>
      <c r="AR1841" s="83"/>
      <c r="AS1841" s="83"/>
      <c r="AT1841" s="83"/>
    </row>
    <row r="1842" spans="36:46" x14ac:dyDescent="0.3">
      <c r="AJ1842" s="83"/>
      <c r="AK1842" s="83"/>
      <c r="AL1842" s="83"/>
      <c r="AM1842" s="83"/>
      <c r="AN1842" s="83"/>
      <c r="AO1842" s="83"/>
      <c r="AP1842" s="83"/>
      <c r="AQ1842" s="83"/>
      <c r="AR1842" s="83"/>
      <c r="AS1842" s="83"/>
      <c r="AT1842" s="83"/>
    </row>
    <row r="1843" spans="36:46" x14ac:dyDescent="0.3">
      <c r="AJ1843" s="83"/>
      <c r="AK1843" s="83"/>
      <c r="AL1843" s="83"/>
      <c r="AM1843" s="83"/>
      <c r="AN1843" s="83"/>
      <c r="AO1843" s="83"/>
      <c r="AP1843" s="83"/>
      <c r="AQ1843" s="83"/>
      <c r="AR1843" s="83"/>
      <c r="AS1843" s="83"/>
      <c r="AT1843" s="83"/>
    </row>
    <row r="1844" spans="36:46" x14ac:dyDescent="0.3">
      <c r="AJ1844" s="83"/>
      <c r="AK1844" s="83"/>
      <c r="AL1844" s="83"/>
      <c r="AM1844" s="83"/>
      <c r="AN1844" s="83"/>
      <c r="AO1844" s="83"/>
      <c r="AP1844" s="83"/>
      <c r="AQ1844" s="83"/>
      <c r="AR1844" s="83"/>
      <c r="AS1844" s="83"/>
      <c r="AT1844" s="83"/>
    </row>
    <row r="1845" spans="36:46" x14ac:dyDescent="0.3">
      <c r="AJ1845" s="83"/>
      <c r="AK1845" s="83"/>
      <c r="AL1845" s="83"/>
      <c r="AM1845" s="83"/>
      <c r="AN1845" s="83"/>
      <c r="AO1845" s="83"/>
      <c r="AP1845" s="83"/>
      <c r="AQ1845" s="83"/>
      <c r="AR1845" s="83"/>
      <c r="AS1845" s="83"/>
      <c r="AT1845" s="83"/>
    </row>
    <row r="1846" spans="36:46" x14ac:dyDescent="0.3">
      <c r="AJ1846" s="83"/>
      <c r="AK1846" s="83"/>
      <c r="AL1846" s="83"/>
      <c r="AM1846" s="83"/>
      <c r="AN1846" s="83"/>
      <c r="AO1846" s="83"/>
      <c r="AP1846" s="83"/>
      <c r="AQ1846" s="83"/>
      <c r="AR1846" s="83"/>
      <c r="AS1846" s="83"/>
      <c r="AT1846" s="83"/>
    </row>
    <row r="1847" spans="36:46" x14ac:dyDescent="0.3">
      <c r="AJ1847" s="83"/>
      <c r="AK1847" s="83"/>
      <c r="AL1847" s="83"/>
      <c r="AM1847" s="83"/>
      <c r="AN1847" s="83"/>
      <c r="AO1847" s="83"/>
      <c r="AP1847" s="83"/>
      <c r="AQ1847" s="83"/>
      <c r="AR1847" s="83"/>
      <c r="AS1847" s="83"/>
      <c r="AT1847" s="83"/>
    </row>
    <row r="1848" spans="36:46" x14ac:dyDescent="0.3">
      <c r="AJ1848" s="83"/>
      <c r="AK1848" s="83"/>
      <c r="AL1848" s="83"/>
      <c r="AM1848" s="83"/>
      <c r="AN1848" s="83"/>
      <c r="AO1848" s="83"/>
      <c r="AP1848" s="83"/>
      <c r="AQ1848" s="83"/>
      <c r="AR1848" s="83"/>
      <c r="AS1848" s="83"/>
      <c r="AT1848" s="83"/>
    </row>
    <row r="1849" spans="36:46" x14ac:dyDescent="0.3">
      <c r="AJ1849" s="83"/>
      <c r="AK1849" s="83"/>
      <c r="AL1849" s="83"/>
      <c r="AM1849" s="83"/>
      <c r="AN1849" s="83"/>
      <c r="AO1849" s="83"/>
      <c r="AP1849" s="83"/>
      <c r="AQ1849" s="83"/>
      <c r="AR1849" s="83"/>
      <c r="AS1849" s="83"/>
      <c r="AT1849" s="83"/>
    </row>
    <row r="1850" spans="36:46" x14ac:dyDescent="0.3">
      <c r="AJ1850" s="83"/>
      <c r="AK1850" s="83"/>
      <c r="AL1850" s="83"/>
      <c r="AM1850" s="83"/>
      <c r="AN1850" s="83"/>
      <c r="AO1850" s="83"/>
      <c r="AP1850" s="83"/>
      <c r="AQ1850" s="83"/>
      <c r="AR1850" s="83"/>
      <c r="AS1850" s="83"/>
      <c r="AT1850" s="83"/>
    </row>
    <row r="1851" spans="36:46" x14ac:dyDescent="0.3">
      <c r="AJ1851" s="83"/>
      <c r="AK1851" s="83"/>
      <c r="AL1851" s="83"/>
      <c r="AM1851" s="83"/>
      <c r="AN1851" s="83"/>
      <c r="AO1851" s="83"/>
      <c r="AP1851" s="83"/>
      <c r="AQ1851" s="83"/>
      <c r="AR1851" s="83"/>
      <c r="AS1851" s="83"/>
      <c r="AT1851" s="83"/>
    </row>
    <row r="1852" spans="36:46" x14ac:dyDescent="0.3">
      <c r="AJ1852" s="83"/>
      <c r="AK1852" s="83"/>
      <c r="AL1852" s="83"/>
      <c r="AM1852" s="83"/>
      <c r="AN1852" s="83"/>
      <c r="AO1852" s="83"/>
      <c r="AP1852" s="83"/>
      <c r="AQ1852" s="83"/>
      <c r="AR1852" s="83"/>
      <c r="AS1852" s="83"/>
      <c r="AT1852" s="83"/>
    </row>
    <row r="1853" spans="36:46" x14ac:dyDescent="0.3">
      <c r="AJ1853" s="83"/>
      <c r="AK1853" s="83"/>
      <c r="AL1853" s="83"/>
      <c r="AM1853" s="83"/>
      <c r="AN1853" s="83"/>
      <c r="AO1853" s="83"/>
      <c r="AP1853" s="83"/>
      <c r="AQ1853" s="83"/>
      <c r="AR1853" s="83"/>
      <c r="AS1853" s="83"/>
      <c r="AT1853" s="83"/>
    </row>
    <row r="1854" spans="36:46" x14ac:dyDescent="0.3">
      <c r="AJ1854" s="83"/>
      <c r="AK1854" s="83"/>
      <c r="AL1854" s="83"/>
      <c r="AM1854" s="83"/>
      <c r="AN1854" s="83"/>
      <c r="AO1854" s="83"/>
      <c r="AP1854" s="83"/>
      <c r="AQ1854" s="83"/>
      <c r="AR1854" s="83"/>
      <c r="AS1854" s="83"/>
      <c r="AT1854" s="83"/>
    </row>
    <row r="1855" spans="36:46" x14ac:dyDescent="0.3">
      <c r="AJ1855" s="83"/>
      <c r="AK1855" s="83"/>
      <c r="AL1855" s="83"/>
      <c r="AM1855" s="83"/>
      <c r="AN1855" s="83"/>
      <c r="AO1855" s="83"/>
      <c r="AP1855" s="83"/>
      <c r="AQ1855" s="83"/>
      <c r="AR1855" s="83"/>
      <c r="AS1855" s="83"/>
      <c r="AT1855" s="83"/>
    </row>
    <row r="1856" spans="36:46" x14ac:dyDescent="0.3">
      <c r="AJ1856" s="83"/>
      <c r="AK1856" s="83"/>
      <c r="AL1856" s="83"/>
      <c r="AM1856" s="83"/>
      <c r="AN1856" s="83"/>
      <c r="AO1856" s="83"/>
      <c r="AP1856" s="83"/>
      <c r="AQ1856" s="83"/>
      <c r="AR1856" s="83"/>
      <c r="AS1856" s="83"/>
      <c r="AT1856" s="83"/>
    </row>
    <row r="1857" spans="36:46" x14ac:dyDescent="0.3">
      <c r="AJ1857" s="83"/>
      <c r="AK1857" s="83"/>
      <c r="AL1857" s="83"/>
      <c r="AM1857" s="83"/>
      <c r="AN1857" s="83"/>
      <c r="AO1857" s="83"/>
      <c r="AP1857" s="83"/>
      <c r="AQ1857" s="83"/>
      <c r="AR1857" s="83"/>
      <c r="AS1857" s="83"/>
      <c r="AT1857" s="83"/>
    </row>
    <row r="1858" spans="36:46" x14ac:dyDescent="0.3">
      <c r="AJ1858" s="83"/>
      <c r="AK1858" s="83"/>
      <c r="AL1858" s="83"/>
      <c r="AM1858" s="83"/>
      <c r="AN1858" s="83"/>
      <c r="AO1858" s="83"/>
      <c r="AP1858" s="83"/>
      <c r="AQ1858" s="83"/>
      <c r="AR1858" s="83"/>
      <c r="AS1858" s="83"/>
      <c r="AT1858" s="83"/>
    </row>
    <row r="1859" spans="36:46" x14ac:dyDescent="0.3">
      <c r="AJ1859" s="83"/>
      <c r="AK1859" s="83"/>
      <c r="AL1859" s="83"/>
      <c r="AM1859" s="83"/>
      <c r="AN1859" s="83"/>
      <c r="AO1859" s="83"/>
      <c r="AP1859" s="83"/>
      <c r="AQ1859" s="83"/>
      <c r="AR1859" s="83"/>
      <c r="AS1859" s="83"/>
      <c r="AT1859" s="83"/>
    </row>
    <row r="1860" spans="36:46" x14ac:dyDescent="0.3">
      <c r="AJ1860" s="83"/>
      <c r="AK1860" s="83"/>
      <c r="AL1860" s="83"/>
      <c r="AM1860" s="83"/>
      <c r="AN1860" s="83"/>
      <c r="AO1860" s="83"/>
      <c r="AP1860" s="83"/>
      <c r="AQ1860" s="83"/>
      <c r="AR1860" s="83"/>
      <c r="AS1860" s="83"/>
      <c r="AT1860" s="83"/>
    </row>
    <row r="1861" spans="36:46" x14ac:dyDescent="0.3">
      <c r="AJ1861" s="83"/>
      <c r="AK1861" s="83"/>
      <c r="AL1861" s="83"/>
      <c r="AM1861" s="83"/>
      <c r="AN1861" s="83"/>
      <c r="AO1861" s="83"/>
      <c r="AP1861" s="83"/>
      <c r="AQ1861" s="83"/>
      <c r="AR1861" s="83"/>
      <c r="AS1861" s="83"/>
      <c r="AT1861" s="83"/>
    </row>
    <row r="1862" spans="36:46" x14ac:dyDescent="0.3">
      <c r="AJ1862" s="83"/>
      <c r="AK1862" s="83"/>
      <c r="AL1862" s="83"/>
      <c r="AM1862" s="83"/>
      <c r="AN1862" s="83"/>
      <c r="AO1862" s="83"/>
      <c r="AP1862" s="83"/>
      <c r="AQ1862" s="83"/>
      <c r="AR1862" s="83"/>
      <c r="AS1862" s="83"/>
      <c r="AT1862" s="83"/>
    </row>
    <row r="1863" spans="36:46" x14ac:dyDescent="0.3">
      <c r="AJ1863" s="83"/>
      <c r="AK1863" s="83"/>
      <c r="AL1863" s="83"/>
      <c r="AM1863" s="83"/>
      <c r="AN1863" s="83"/>
      <c r="AO1863" s="83"/>
      <c r="AP1863" s="83"/>
      <c r="AQ1863" s="83"/>
      <c r="AR1863" s="83"/>
      <c r="AS1863" s="83"/>
      <c r="AT1863" s="83"/>
    </row>
    <row r="1864" spans="36:46" x14ac:dyDescent="0.3">
      <c r="AJ1864" s="83"/>
      <c r="AK1864" s="83"/>
      <c r="AL1864" s="83"/>
      <c r="AM1864" s="83"/>
      <c r="AN1864" s="83"/>
      <c r="AO1864" s="83"/>
      <c r="AP1864" s="83"/>
      <c r="AQ1864" s="83"/>
      <c r="AR1864" s="83"/>
      <c r="AS1864" s="83"/>
      <c r="AT1864" s="83"/>
    </row>
    <row r="1865" spans="36:46" x14ac:dyDescent="0.3">
      <c r="AJ1865" s="83"/>
      <c r="AK1865" s="83"/>
      <c r="AL1865" s="83"/>
      <c r="AM1865" s="83"/>
      <c r="AN1865" s="83"/>
      <c r="AO1865" s="83"/>
      <c r="AP1865" s="83"/>
      <c r="AQ1865" s="83"/>
      <c r="AR1865" s="83"/>
      <c r="AS1865" s="83"/>
      <c r="AT1865" s="83"/>
    </row>
    <row r="1866" spans="36:46" x14ac:dyDescent="0.3">
      <c r="AJ1866" s="83"/>
      <c r="AK1866" s="83"/>
      <c r="AL1866" s="83"/>
      <c r="AM1866" s="83"/>
      <c r="AN1866" s="83"/>
      <c r="AO1866" s="83"/>
      <c r="AP1866" s="83"/>
      <c r="AQ1866" s="83"/>
      <c r="AR1866" s="83"/>
      <c r="AS1866" s="83"/>
      <c r="AT1866" s="83"/>
    </row>
    <row r="1867" spans="36:46" x14ac:dyDescent="0.3">
      <c r="AJ1867" s="83"/>
      <c r="AK1867" s="83"/>
      <c r="AL1867" s="83"/>
      <c r="AM1867" s="83"/>
      <c r="AN1867" s="83"/>
      <c r="AO1867" s="83"/>
      <c r="AP1867" s="83"/>
      <c r="AQ1867" s="83"/>
      <c r="AR1867" s="83"/>
      <c r="AS1867" s="83"/>
      <c r="AT1867" s="83"/>
    </row>
    <row r="1868" spans="36:46" x14ac:dyDescent="0.3">
      <c r="AJ1868" s="83"/>
      <c r="AK1868" s="83"/>
      <c r="AL1868" s="83"/>
      <c r="AM1868" s="83"/>
      <c r="AN1868" s="83"/>
      <c r="AO1868" s="83"/>
      <c r="AP1868" s="83"/>
      <c r="AQ1868" s="83"/>
      <c r="AR1868" s="83"/>
      <c r="AS1868" s="83"/>
      <c r="AT1868" s="83"/>
    </row>
    <row r="1869" spans="36:46" x14ac:dyDescent="0.3">
      <c r="AJ1869" s="83"/>
      <c r="AK1869" s="83"/>
      <c r="AL1869" s="83"/>
      <c r="AM1869" s="83"/>
      <c r="AN1869" s="83"/>
      <c r="AO1869" s="83"/>
      <c r="AP1869" s="83"/>
      <c r="AQ1869" s="83"/>
      <c r="AR1869" s="83"/>
      <c r="AS1869" s="83"/>
      <c r="AT1869" s="83"/>
    </row>
    <row r="1870" spans="36:46" x14ac:dyDescent="0.3">
      <c r="AJ1870" s="83"/>
      <c r="AK1870" s="83"/>
      <c r="AL1870" s="83"/>
      <c r="AM1870" s="83"/>
      <c r="AN1870" s="83"/>
      <c r="AO1870" s="83"/>
      <c r="AP1870" s="83"/>
      <c r="AQ1870" s="83"/>
      <c r="AR1870" s="83"/>
      <c r="AS1870" s="83"/>
      <c r="AT1870" s="83"/>
    </row>
    <row r="1871" spans="36:46" x14ac:dyDescent="0.3">
      <c r="AJ1871" s="83"/>
      <c r="AK1871" s="83"/>
      <c r="AL1871" s="83"/>
      <c r="AM1871" s="83"/>
      <c r="AN1871" s="83"/>
      <c r="AO1871" s="83"/>
      <c r="AP1871" s="83"/>
      <c r="AQ1871" s="83"/>
      <c r="AR1871" s="83"/>
      <c r="AS1871" s="83"/>
      <c r="AT1871" s="83"/>
    </row>
    <row r="1872" spans="36:46" x14ac:dyDescent="0.3">
      <c r="AJ1872" s="83"/>
      <c r="AK1872" s="83"/>
      <c r="AL1872" s="83"/>
      <c r="AM1872" s="83"/>
      <c r="AN1872" s="83"/>
      <c r="AO1872" s="83"/>
      <c r="AP1872" s="83"/>
      <c r="AQ1872" s="83"/>
      <c r="AR1872" s="83"/>
      <c r="AS1872" s="83"/>
      <c r="AT1872" s="83"/>
    </row>
    <row r="1873" spans="36:46" x14ac:dyDescent="0.3">
      <c r="AJ1873" s="83"/>
      <c r="AK1873" s="83"/>
      <c r="AL1873" s="83"/>
      <c r="AM1873" s="83"/>
      <c r="AN1873" s="83"/>
      <c r="AO1873" s="83"/>
      <c r="AP1873" s="83"/>
      <c r="AQ1873" s="83"/>
      <c r="AR1873" s="83"/>
      <c r="AS1873" s="83"/>
      <c r="AT1873" s="83"/>
    </row>
    <row r="1874" spans="36:46" x14ac:dyDescent="0.3">
      <c r="AJ1874" s="83"/>
      <c r="AK1874" s="83"/>
      <c r="AL1874" s="83"/>
      <c r="AM1874" s="83"/>
      <c r="AN1874" s="83"/>
      <c r="AO1874" s="83"/>
      <c r="AP1874" s="83"/>
      <c r="AQ1874" s="83"/>
      <c r="AR1874" s="83"/>
      <c r="AS1874" s="83"/>
      <c r="AT1874" s="83"/>
    </row>
    <row r="1875" spans="36:46" x14ac:dyDescent="0.3">
      <c r="AJ1875" s="83"/>
      <c r="AK1875" s="83"/>
      <c r="AL1875" s="83"/>
      <c r="AM1875" s="83"/>
      <c r="AN1875" s="83"/>
      <c r="AO1875" s="83"/>
      <c r="AP1875" s="83"/>
      <c r="AQ1875" s="83"/>
      <c r="AR1875" s="83"/>
      <c r="AS1875" s="83"/>
      <c r="AT1875" s="83"/>
    </row>
    <row r="1876" spans="36:46" x14ac:dyDescent="0.3">
      <c r="AJ1876" s="83"/>
      <c r="AK1876" s="83"/>
      <c r="AL1876" s="83"/>
      <c r="AM1876" s="83"/>
      <c r="AN1876" s="83"/>
      <c r="AO1876" s="83"/>
      <c r="AP1876" s="83"/>
      <c r="AQ1876" s="83"/>
      <c r="AR1876" s="83"/>
      <c r="AS1876" s="83"/>
      <c r="AT1876" s="83"/>
    </row>
    <row r="1877" spans="36:46" x14ac:dyDescent="0.3">
      <c r="AJ1877" s="83"/>
      <c r="AK1877" s="83"/>
      <c r="AL1877" s="83"/>
      <c r="AM1877" s="83"/>
      <c r="AN1877" s="83"/>
      <c r="AO1877" s="83"/>
      <c r="AP1877" s="83"/>
      <c r="AQ1877" s="83"/>
      <c r="AR1877" s="83"/>
      <c r="AS1877" s="83"/>
      <c r="AT1877" s="83"/>
    </row>
    <row r="1878" spans="36:46" x14ac:dyDescent="0.3">
      <c r="AJ1878" s="83"/>
      <c r="AK1878" s="83"/>
      <c r="AL1878" s="83"/>
      <c r="AM1878" s="83"/>
      <c r="AN1878" s="83"/>
      <c r="AO1878" s="83"/>
      <c r="AP1878" s="83"/>
      <c r="AQ1878" s="83"/>
      <c r="AR1878" s="83"/>
      <c r="AS1878" s="83"/>
      <c r="AT1878" s="83"/>
    </row>
    <row r="1879" spans="36:46" x14ac:dyDescent="0.3">
      <c r="AJ1879" s="83"/>
      <c r="AK1879" s="83"/>
      <c r="AL1879" s="83"/>
      <c r="AM1879" s="83"/>
      <c r="AN1879" s="83"/>
      <c r="AO1879" s="83"/>
      <c r="AP1879" s="83"/>
      <c r="AQ1879" s="83"/>
      <c r="AR1879" s="83"/>
      <c r="AS1879" s="83"/>
      <c r="AT1879" s="83"/>
    </row>
    <row r="1880" spans="36:46" x14ac:dyDescent="0.3">
      <c r="AJ1880" s="83"/>
      <c r="AK1880" s="83"/>
      <c r="AL1880" s="83"/>
      <c r="AM1880" s="83"/>
      <c r="AN1880" s="83"/>
      <c r="AO1880" s="83"/>
      <c r="AP1880" s="83"/>
      <c r="AQ1880" s="83"/>
      <c r="AR1880" s="83"/>
      <c r="AS1880" s="83"/>
      <c r="AT1880" s="83"/>
    </row>
    <row r="1881" spans="36:46" x14ac:dyDescent="0.3">
      <c r="AJ1881" s="83"/>
      <c r="AK1881" s="83"/>
      <c r="AL1881" s="83"/>
      <c r="AM1881" s="83"/>
      <c r="AN1881" s="83"/>
      <c r="AO1881" s="83"/>
      <c r="AP1881" s="83"/>
      <c r="AQ1881" s="83"/>
      <c r="AR1881" s="83"/>
      <c r="AS1881" s="83"/>
      <c r="AT1881" s="83"/>
    </row>
    <row r="1882" spans="36:46" x14ac:dyDescent="0.3">
      <c r="AJ1882" s="83"/>
      <c r="AK1882" s="83"/>
      <c r="AL1882" s="83"/>
      <c r="AM1882" s="83"/>
      <c r="AN1882" s="83"/>
      <c r="AO1882" s="83"/>
      <c r="AP1882" s="83"/>
      <c r="AQ1882" s="83"/>
      <c r="AR1882" s="83"/>
      <c r="AS1882" s="83"/>
      <c r="AT1882" s="83"/>
    </row>
    <row r="1883" spans="36:46" x14ac:dyDescent="0.3">
      <c r="AJ1883" s="83"/>
      <c r="AK1883" s="83"/>
      <c r="AL1883" s="83"/>
      <c r="AM1883" s="83"/>
      <c r="AN1883" s="83"/>
      <c r="AO1883" s="83"/>
      <c r="AP1883" s="83"/>
      <c r="AQ1883" s="83"/>
      <c r="AR1883" s="83"/>
      <c r="AS1883" s="83"/>
      <c r="AT1883" s="83"/>
    </row>
    <row r="1884" spans="36:46" x14ac:dyDescent="0.3">
      <c r="AJ1884" s="83"/>
      <c r="AK1884" s="83"/>
      <c r="AL1884" s="83"/>
      <c r="AM1884" s="83"/>
      <c r="AN1884" s="83"/>
      <c r="AO1884" s="83"/>
      <c r="AP1884" s="83"/>
      <c r="AQ1884" s="83"/>
      <c r="AR1884" s="83"/>
      <c r="AS1884" s="83"/>
      <c r="AT1884" s="83"/>
    </row>
    <row r="1885" spans="36:46" x14ac:dyDescent="0.3">
      <c r="AJ1885" s="83"/>
      <c r="AK1885" s="83"/>
      <c r="AL1885" s="83"/>
      <c r="AM1885" s="83"/>
      <c r="AN1885" s="83"/>
      <c r="AO1885" s="83"/>
      <c r="AP1885" s="83"/>
      <c r="AQ1885" s="83"/>
      <c r="AR1885" s="83"/>
      <c r="AS1885" s="83"/>
      <c r="AT1885" s="83"/>
    </row>
    <row r="1886" spans="36:46" x14ac:dyDescent="0.3">
      <c r="AJ1886" s="83"/>
      <c r="AK1886" s="83"/>
      <c r="AL1886" s="83"/>
      <c r="AM1886" s="83"/>
      <c r="AN1886" s="83"/>
      <c r="AO1886" s="83"/>
      <c r="AP1886" s="83"/>
      <c r="AQ1886" s="83"/>
      <c r="AR1886" s="83"/>
      <c r="AS1886" s="83"/>
      <c r="AT1886" s="83"/>
    </row>
    <row r="1887" spans="36:46" x14ac:dyDescent="0.3">
      <c r="AJ1887" s="83"/>
      <c r="AK1887" s="83"/>
      <c r="AL1887" s="83"/>
      <c r="AM1887" s="83"/>
      <c r="AN1887" s="83"/>
      <c r="AO1887" s="83"/>
      <c r="AP1887" s="83"/>
      <c r="AQ1887" s="83"/>
      <c r="AR1887" s="83"/>
      <c r="AS1887" s="83"/>
      <c r="AT1887" s="83"/>
    </row>
    <row r="1888" spans="36:46" x14ac:dyDescent="0.3">
      <c r="AJ1888" s="83"/>
      <c r="AK1888" s="83"/>
      <c r="AL1888" s="83"/>
      <c r="AM1888" s="83"/>
      <c r="AN1888" s="83"/>
      <c r="AO1888" s="83"/>
      <c r="AP1888" s="83"/>
      <c r="AQ1888" s="83"/>
      <c r="AR1888" s="83"/>
      <c r="AS1888" s="83"/>
      <c r="AT1888" s="83"/>
    </row>
    <row r="1889" spans="36:46" x14ac:dyDescent="0.3">
      <c r="AJ1889" s="83"/>
      <c r="AK1889" s="83"/>
      <c r="AL1889" s="83"/>
      <c r="AM1889" s="83"/>
      <c r="AN1889" s="83"/>
      <c r="AO1889" s="83"/>
      <c r="AP1889" s="83"/>
      <c r="AQ1889" s="83"/>
      <c r="AR1889" s="83"/>
      <c r="AS1889" s="83"/>
      <c r="AT1889" s="83"/>
    </row>
    <row r="1890" spans="36:46" x14ac:dyDescent="0.3">
      <c r="AJ1890" s="83"/>
      <c r="AK1890" s="83"/>
      <c r="AL1890" s="83"/>
      <c r="AM1890" s="83"/>
      <c r="AN1890" s="83"/>
      <c r="AO1890" s="83"/>
      <c r="AP1890" s="83"/>
      <c r="AQ1890" s="83"/>
      <c r="AR1890" s="83"/>
      <c r="AS1890" s="83"/>
      <c r="AT1890" s="83"/>
    </row>
    <row r="1891" spans="36:46" x14ac:dyDescent="0.3">
      <c r="AJ1891" s="83"/>
      <c r="AK1891" s="83"/>
      <c r="AL1891" s="83"/>
      <c r="AM1891" s="83"/>
      <c r="AN1891" s="83"/>
      <c r="AO1891" s="83"/>
      <c r="AP1891" s="83"/>
      <c r="AQ1891" s="83"/>
      <c r="AR1891" s="83"/>
      <c r="AS1891" s="83"/>
      <c r="AT1891" s="83"/>
    </row>
    <row r="1892" spans="36:46" x14ac:dyDescent="0.3">
      <c r="AJ1892" s="83"/>
      <c r="AK1892" s="83"/>
      <c r="AL1892" s="83"/>
      <c r="AM1892" s="83"/>
      <c r="AN1892" s="83"/>
      <c r="AO1892" s="83"/>
      <c r="AP1892" s="83"/>
      <c r="AQ1892" s="83"/>
      <c r="AR1892" s="83"/>
      <c r="AS1892" s="83"/>
      <c r="AT1892" s="83"/>
    </row>
    <row r="1893" spans="36:46" x14ac:dyDescent="0.3">
      <c r="AJ1893" s="83"/>
      <c r="AK1893" s="83"/>
      <c r="AL1893" s="83"/>
      <c r="AM1893" s="83"/>
      <c r="AN1893" s="83"/>
      <c r="AO1893" s="83"/>
      <c r="AP1893" s="83"/>
      <c r="AQ1893" s="83"/>
      <c r="AR1893" s="83"/>
      <c r="AS1893" s="83"/>
      <c r="AT1893" s="83"/>
    </row>
    <row r="1894" spans="36:46" x14ac:dyDescent="0.3">
      <c r="AJ1894" s="83"/>
      <c r="AK1894" s="83"/>
      <c r="AL1894" s="83"/>
      <c r="AM1894" s="83"/>
      <c r="AN1894" s="83"/>
      <c r="AO1894" s="83"/>
      <c r="AP1894" s="83"/>
      <c r="AQ1894" s="83"/>
      <c r="AR1894" s="83"/>
      <c r="AS1894" s="83"/>
      <c r="AT1894" s="83"/>
    </row>
    <row r="1895" spans="36:46" x14ac:dyDescent="0.3">
      <c r="AJ1895" s="83"/>
      <c r="AK1895" s="83"/>
      <c r="AL1895" s="83"/>
      <c r="AM1895" s="83"/>
      <c r="AN1895" s="83"/>
      <c r="AO1895" s="83"/>
      <c r="AP1895" s="83"/>
      <c r="AQ1895" s="83"/>
      <c r="AR1895" s="83"/>
      <c r="AS1895" s="83"/>
      <c r="AT1895" s="83"/>
    </row>
    <row r="1896" spans="36:46" x14ac:dyDescent="0.3">
      <c r="AJ1896" s="83"/>
      <c r="AK1896" s="83"/>
      <c r="AL1896" s="83"/>
      <c r="AM1896" s="83"/>
      <c r="AN1896" s="83"/>
      <c r="AO1896" s="83"/>
      <c r="AP1896" s="83"/>
      <c r="AQ1896" s="83"/>
      <c r="AR1896" s="83"/>
      <c r="AS1896" s="83"/>
      <c r="AT1896" s="83"/>
    </row>
    <row r="1897" spans="36:46" x14ac:dyDescent="0.3">
      <c r="AJ1897" s="83"/>
      <c r="AK1897" s="83"/>
      <c r="AL1897" s="83"/>
      <c r="AM1897" s="83"/>
      <c r="AN1897" s="83"/>
      <c r="AO1897" s="83"/>
      <c r="AP1897" s="83"/>
      <c r="AQ1897" s="83"/>
      <c r="AR1897" s="83"/>
      <c r="AS1897" s="83"/>
      <c r="AT1897" s="83"/>
    </row>
    <row r="1898" spans="36:46" x14ac:dyDescent="0.3">
      <c r="AJ1898" s="83"/>
      <c r="AK1898" s="83"/>
      <c r="AL1898" s="83"/>
      <c r="AM1898" s="83"/>
      <c r="AN1898" s="83"/>
      <c r="AO1898" s="83"/>
      <c r="AP1898" s="83"/>
      <c r="AQ1898" s="83"/>
      <c r="AR1898" s="83"/>
      <c r="AS1898" s="83"/>
      <c r="AT1898" s="83"/>
    </row>
    <row r="1899" spans="36:46" x14ac:dyDescent="0.3">
      <c r="AJ1899" s="83"/>
      <c r="AK1899" s="83"/>
      <c r="AL1899" s="83"/>
      <c r="AM1899" s="83"/>
      <c r="AN1899" s="83"/>
      <c r="AO1899" s="83"/>
      <c r="AP1899" s="83"/>
      <c r="AQ1899" s="83"/>
      <c r="AR1899" s="83"/>
      <c r="AS1899" s="83"/>
      <c r="AT1899" s="83"/>
    </row>
    <row r="1900" spans="36:46" x14ac:dyDescent="0.3">
      <c r="AJ1900" s="83"/>
      <c r="AK1900" s="83"/>
      <c r="AL1900" s="83"/>
      <c r="AM1900" s="83"/>
      <c r="AN1900" s="83"/>
      <c r="AO1900" s="83"/>
      <c r="AP1900" s="83"/>
      <c r="AQ1900" s="83"/>
      <c r="AR1900" s="83"/>
      <c r="AS1900" s="83"/>
      <c r="AT1900" s="83"/>
    </row>
    <row r="1901" spans="36:46" x14ac:dyDescent="0.3">
      <c r="AJ1901" s="83"/>
      <c r="AK1901" s="83"/>
      <c r="AL1901" s="83"/>
      <c r="AM1901" s="83"/>
      <c r="AN1901" s="83"/>
      <c r="AO1901" s="83"/>
      <c r="AP1901" s="83"/>
      <c r="AQ1901" s="83"/>
      <c r="AR1901" s="83"/>
      <c r="AS1901" s="83"/>
      <c r="AT1901" s="83"/>
    </row>
    <row r="1902" spans="36:46" x14ac:dyDescent="0.3">
      <c r="AJ1902" s="83"/>
      <c r="AK1902" s="83"/>
      <c r="AL1902" s="83"/>
      <c r="AM1902" s="83"/>
      <c r="AN1902" s="83"/>
      <c r="AO1902" s="83"/>
      <c r="AP1902" s="83"/>
      <c r="AQ1902" s="83"/>
      <c r="AR1902" s="83"/>
      <c r="AS1902" s="83"/>
      <c r="AT1902" s="83"/>
    </row>
    <row r="1903" spans="36:46" x14ac:dyDescent="0.3">
      <c r="AJ1903" s="83"/>
      <c r="AK1903" s="83"/>
      <c r="AL1903" s="83"/>
      <c r="AM1903" s="83"/>
      <c r="AN1903" s="83"/>
      <c r="AO1903" s="83"/>
      <c r="AP1903" s="83"/>
      <c r="AQ1903" s="83"/>
      <c r="AR1903" s="83"/>
      <c r="AS1903" s="83"/>
      <c r="AT1903" s="83"/>
    </row>
    <row r="1904" spans="36:46" x14ac:dyDescent="0.3">
      <c r="AJ1904" s="83"/>
      <c r="AK1904" s="83"/>
      <c r="AL1904" s="83"/>
      <c r="AM1904" s="83"/>
      <c r="AN1904" s="83"/>
      <c r="AO1904" s="83"/>
      <c r="AP1904" s="83"/>
      <c r="AQ1904" s="83"/>
      <c r="AR1904" s="83"/>
      <c r="AS1904" s="83"/>
      <c r="AT1904" s="83"/>
    </row>
    <row r="1905" spans="36:46" x14ac:dyDescent="0.3">
      <c r="AJ1905" s="83"/>
      <c r="AK1905" s="83"/>
      <c r="AL1905" s="83"/>
      <c r="AM1905" s="83"/>
      <c r="AN1905" s="83"/>
      <c r="AO1905" s="83"/>
      <c r="AP1905" s="83"/>
      <c r="AQ1905" s="83"/>
      <c r="AR1905" s="83"/>
      <c r="AS1905" s="83"/>
      <c r="AT1905" s="83"/>
    </row>
    <row r="1906" spans="36:46" x14ac:dyDescent="0.3">
      <c r="AJ1906" s="83"/>
      <c r="AK1906" s="83"/>
      <c r="AL1906" s="83"/>
      <c r="AM1906" s="83"/>
      <c r="AN1906" s="83"/>
      <c r="AO1906" s="83"/>
      <c r="AP1906" s="83"/>
      <c r="AQ1906" s="83"/>
      <c r="AR1906" s="83"/>
      <c r="AS1906" s="83"/>
      <c r="AT1906" s="83"/>
    </row>
    <row r="1907" spans="36:46" x14ac:dyDescent="0.3">
      <c r="AJ1907" s="83"/>
      <c r="AK1907" s="83"/>
      <c r="AL1907" s="83"/>
      <c r="AM1907" s="83"/>
      <c r="AN1907" s="83"/>
      <c r="AO1907" s="83"/>
      <c r="AP1907" s="83"/>
      <c r="AQ1907" s="83"/>
      <c r="AR1907" s="83"/>
      <c r="AS1907" s="83"/>
      <c r="AT1907" s="83"/>
    </row>
    <row r="1908" spans="36:46" x14ac:dyDescent="0.3">
      <c r="AJ1908" s="83"/>
      <c r="AK1908" s="83"/>
      <c r="AL1908" s="83"/>
      <c r="AM1908" s="83"/>
      <c r="AN1908" s="83"/>
      <c r="AO1908" s="83"/>
      <c r="AP1908" s="83"/>
      <c r="AQ1908" s="83"/>
      <c r="AR1908" s="83"/>
      <c r="AS1908" s="83"/>
      <c r="AT1908" s="83"/>
    </row>
    <row r="1909" spans="36:46" x14ac:dyDescent="0.3">
      <c r="AJ1909" s="83"/>
      <c r="AK1909" s="83"/>
      <c r="AL1909" s="83"/>
      <c r="AM1909" s="83"/>
      <c r="AN1909" s="83"/>
      <c r="AO1909" s="83"/>
      <c r="AP1909" s="83"/>
      <c r="AQ1909" s="83"/>
      <c r="AR1909" s="83"/>
      <c r="AS1909" s="83"/>
      <c r="AT1909" s="83"/>
    </row>
    <row r="1910" spans="36:46" x14ac:dyDescent="0.3">
      <c r="AJ1910" s="83"/>
      <c r="AK1910" s="83"/>
      <c r="AL1910" s="83"/>
      <c r="AM1910" s="83"/>
      <c r="AN1910" s="83"/>
      <c r="AO1910" s="83"/>
      <c r="AP1910" s="83"/>
      <c r="AQ1910" s="83"/>
      <c r="AR1910" s="83"/>
      <c r="AS1910" s="83"/>
      <c r="AT1910" s="83"/>
    </row>
    <row r="1911" spans="36:46" x14ac:dyDescent="0.3">
      <c r="AJ1911" s="83"/>
      <c r="AK1911" s="83"/>
      <c r="AL1911" s="83"/>
      <c r="AM1911" s="83"/>
      <c r="AN1911" s="83"/>
      <c r="AO1911" s="83"/>
      <c r="AP1911" s="83"/>
      <c r="AQ1911" s="83"/>
      <c r="AR1911" s="83"/>
      <c r="AS1911" s="83"/>
      <c r="AT1911" s="83"/>
    </row>
    <row r="1912" spans="36:46" x14ac:dyDescent="0.3">
      <c r="AJ1912" s="83"/>
      <c r="AK1912" s="83"/>
      <c r="AL1912" s="83"/>
      <c r="AM1912" s="83"/>
      <c r="AN1912" s="83"/>
      <c r="AO1912" s="83"/>
      <c r="AP1912" s="83"/>
      <c r="AQ1912" s="83"/>
      <c r="AR1912" s="83"/>
      <c r="AS1912" s="83"/>
      <c r="AT1912" s="83"/>
    </row>
    <row r="1913" spans="36:46" x14ac:dyDescent="0.3">
      <c r="AJ1913" s="83"/>
      <c r="AK1913" s="83"/>
      <c r="AL1913" s="83"/>
      <c r="AM1913" s="83"/>
      <c r="AN1913" s="83"/>
      <c r="AO1913" s="83"/>
      <c r="AP1913" s="83"/>
      <c r="AQ1913" s="83"/>
      <c r="AR1913" s="83"/>
      <c r="AS1913" s="83"/>
      <c r="AT1913" s="83"/>
    </row>
    <row r="1914" spans="36:46" x14ac:dyDescent="0.3">
      <c r="AJ1914" s="83"/>
      <c r="AK1914" s="83"/>
      <c r="AL1914" s="83"/>
      <c r="AM1914" s="83"/>
      <c r="AN1914" s="83"/>
      <c r="AO1914" s="83"/>
      <c r="AP1914" s="83"/>
      <c r="AQ1914" s="83"/>
      <c r="AR1914" s="83"/>
      <c r="AS1914" s="83"/>
      <c r="AT1914" s="83"/>
    </row>
    <row r="1915" spans="36:46" x14ac:dyDescent="0.3">
      <c r="AJ1915" s="83"/>
      <c r="AK1915" s="83"/>
      <c r="AL1915" s="83"/>
      <c r="AM1915" s="83"/>
      <c r="AN1915" s="83"/>
      <c r="AO1915" s="83"/>
      <c r="AP1915" s="83"/>
      <c r="AQ1915" s="83"/>
      <c r="AR1915" s="83"/>
      <c r="AS1915" s="83"/>
      <c r="AT1915" s="83"/>
    </row>
    <row r="1916" spans="36:46" x14ac:dyDescent="0.3">
      <c r="AJ1916" s="83"/>
      <c r="AK1916" s="83"/>
      <c r="AL1916" s="83"/>
      <c r="AM1916" s="83"/>
      <c r="AN1916" s="83"/>
      <c r="AO1916" s="83"/>
      <c r="AP1916" s="83"/>
      <c r="AQ1916" s="83"/>
      <c r="AR1916" s="83"/>
      <c r="AS1916" s="83"/>
      <c r="AT1916" s="83"/>
    </row>
    <row r="1917" spans="36:46" x14ac:dyDescent="0.3">
      <c r="AJ1917" s="83"/>
      <c r="AK1917" s="83"/>
      <c r="AL1917" s="83"/>
      <c r="AM1917" s="83"/>
      <c r="AN1917" s="83"/>
      <c r="AO1917" s="83"/>
      <c r="AP1917" s="83"/>
      <c r="AQ1917" s="83"/>
      <c r="AR1917" s="83"/>
      <c r="AS1917" s="83"/>
      <c r="AT1917" s="83"/>
    </row>
    <row r="1918" spans="36:46" x14ac:dyDescent="0.3">
      <c r="AJ1918" s="83"/>
      <c r="AK1918" s="83"/>
      <c r="AL1918" s="83"/>
      <c r="AM1918" s="83"/>
      <c r="AN1918" s="83"/>
      <c r="AO1918" s="83"/>
      <c r="AP1918" s="83"/>
      <c r="AQ1918" s="83"/>
      <c r="AR1918" s="83"/>
      <c r="AS1918" s="83"/>
      <c r="AT1918" s="83"/>
    </row>
    <row r="1919" spans="36:46" x14ac:dyDescent="0.3">
      <c r="AJ1919" s="83"/>
      <c r="AK1919" s="83"/>
      <c r="AL1919" s="83"/>
      <c r="AM1919" s="83"/>
      <c r="AN1919" s="83"/>
      <c r="AO1919" s="83"/>
      <c r="AP1919" s="83"/>
      <c r="AQ1919" s="83"/>
      <c r="AR1919" s="83"/>
      <c r="AS1919" s="83"/>
      <c r="AT1919" s="83"/>
    </row>
    <row r="1920" spans="36:46" x14ac:dyDescent="0.3">
      <c r="AJ1920" s="83"/>
      <c r="AK1920" s="83"/>
      <c r="AL1920" s="83"/>
      <c r="AM1920" s="83"/>
      <c r="AN1920" s="83"/>
      <c r="AO1920" s="83"/>
      <c r="AP1920" s="83"/>
      <c r="AQ1920" s="83"/>
      <c r="AR1920" s="83"/>
      <c r="AS1920" s="83"/>
      <c r="AT1920" s="83"/>
    </row>
    <row r="1921" spans="36:46" x14ac:dyDescent="0.3">
      <c r="AJ1921" s="83"/>
      <c r="AK1921" s="83"/>
      <c r="AL1921" s="83"/>
      <c r="AM1921" s="83"/>
      <c r="AN1921" s="83"/>
      <c r="AO1921" s="83"/>
      <c r="AP1921" s="83"/>
      <c r="AQ1921" s="83"/>
      <c r="AR1921" s="83"/>
      <c r="AS1921" s="83"/>
      <c r="AT1921" s="83"/>
    </row>
    <row r="1922" spans="36:46" x14ac:dyDescent="0.3">
      <c r="AJ1922" s="83"/>
      <c r="AK1922" s="83"/>
      <c r="AL1922" s="83"/>
      <c r="AM1922" s="83"/>
      <c r="AN1922" s="83"/>
      <c r="AO1922" s="83"/>
      <c r="AP1922" s="83"/>
      <c r="AQ1922" s="83"/>
      <c r="AR1922" s="83"/>
      <c r="AS1922" s="83"/>
      <c r="AT1922" s="83"/>
    </row>
    <row r="1923" spans="36:46" x14ac:dyDescent="0.3">
      <c r="AJ1923" s="83"/>
      <c r="AK1923" s="83"/>
      <c r="AL1923" s="83"/>
      <c r="AM1923" s="83"/>
      <c r="AN1923" s="83"/>
      <c r="AO1923" s="83"/>
      <c r="AP1923" s="83"/>
      <c r="AQ1923" s="83"/>
      <c r="AR1923" s="83"/>
      <c r="AS1923" s="83"/>
      <c r="AT1923" s="83"/>
    </row>
    <row r="1924" spans="36:46" x14ac:dyDescent="0.3">
      <c r="AJ1924" s="83"/>
      <c r="AK1924" s="83"/>
      <c r="AL1924" s="83"/>
      <c r="AM1924" s="83"/>
      <c r="AN1924" s="83"/>
      <c r="AO1924" s="83"/>
      <c r="AP1924" s="83"/>
      <c r="AQ1924" s="83"/>
      <c r="AR1924" s="83"/>
      <c r="AS1924" s="83"/>
      <c r="AT1924" s="83"/>
    </row>
    <row r="1925" spans="36:46" x14ac:dyDescent="0.3">
      <c r="AJ1925" s="83"/>
      <c r="AK1925" s="83"/>
      <c r="AL1925" s="83"/>
      <c r="AM1925" s="83"/>
      <c r="AN1925" s="83"/>
      <c r="AO1925" s="83"/>
      <c r="AP1925" s="83"/>
      <c r="AQ1925" s="83"/>
      <c r="AR1925" s="83"/>
      <c r="AS1925" s="83"/>
      <c r="AT1925" s="83"/>
    </row>
    <row r="1926" spans="36:46" x14ac:dyDescent="0.3">
      <c r="AJ1926" s="83"/>
      <c r="AK1926" s="83"/>
      <c r="AL1926" s="83"/>
      <c r="AM1926" s="83"/>
      <c r="AN1926" s="83"/>
      <c r="AO1926" s="83"/>
      <c r="AP1926" s="83"/>
      <c r="AQ1926" s="83"/>
      <c r="AR1926" s="83"/>
      <c r="AS1926" s="83"/>
      <c r="AT1926" s="83"/>
    </row>
    <row r="1927" spans="36:46" x14ac:dyDescent="0.3">
      <c r="AJ1927" s="83"/>
      <c r="AK1927" s="83"/>
      <c r="AL1927" s="83"/>
      <c r="AM1927" s="83"/>
      <c r="AN1927" s="83"/>
      <c r="AO1927" s="83"/>
      <c r="AP1927" s="83"/>
      <c r="AQ1927" s="83"/>
      <c r="AR1927" s="83"/>
      <c r="AS1927" s="83"/>
      <c r="AT1927" s="83"/>
    </row>
    <row r="1928" spans="36:46" x14ac:dyDescent="0.3">
      <c r="AJ1928" s="83"/>
      <c r="AK1928" s="83"/>
      <c r="AL1928" s="83"/>
      <c r="AM1928" s="83"/>
      <c r="AN1928" s="83"/>
      <c r="AO1928" s="83"/>
      <c r="AP1928" s="83"/>
      <c r="AQ1928" s="83"/>
      <c r="AR1928" s="83"/>
      <c r="AS1928" s="83"/>
      <c r="AT1928" s="83"/>
    </row>
    <row r="1929" spans="36:46" x14ac:dyDescent="0.3">
      <c r="AJ1929" s="83"/>
      <c r="AK1929" s="83"/>
      <c r="AL1929" s="83"/>
      <c r="AM1929" s="83"/>
      <c r="AN1929" s="83"/>
      <c r="AO1929" s="83"/>
      <c r="AP1929" s="83"/>
      <c r="AQ1929" s="83"/>
      <c r="AR1929" s="83"/>
      <c r="AS1929" s="83"/>
      <c r="AT1929" s="83"/>
    </row>
    <row r="1930" spans="36:46" x14ac:dyDescent="0.3">
      <c r="AJ1930" s="83"/>
      <c r="AK1930" s="83"/>
      <c r="AL1930" s="83"/>
      <c r="AM1930" s="83"/>
      <c r="AN1930" s="83"/>
      <c r="AO1930" s="83"/>
      <c r="AP1930" s="83"/>
      <c r="AQ1930" s="83"/>
      <c r="AR1930" s="83"/>
      <c r="AS1930" s="83"/>
      <c r="AT1930" s="83"/>
    </row>
    <row r="1931" spans="36:46" x14ac:dyDescent="0.3">
      <c r="AJ1931" s="83"/>
      <c r="AK1931" s="83"/>
      <c r="AL1931" s="83"/>
      <c r="AM1931" s="83"/>
      <c r="AN1931" s="83"/>
      <c r="AO1931" s="83"/>
      <c r="AP1931" s="83"/>
      <c r="AQ1931" s="83"/>
      <c r="AR1931" s="83"/>
      <c r="AS1931" s="83"/>
      <c r="AT1931" s="83"/>
    </row>
    <row r="1932" spans="36:46" x14ac:dyDescent="0.3">
      <c r="AJ1932" s="83"/>
      <c r="AK1932" s="83"/>
      <c r="AL1932" s="83"/>
      <c r="AM1932" s="83"/>
      <c r="AN1932" s="83"/>
      <c r="AO1932" s="83"/>
      <c r="AP1932" s="83"/>
      <c r="AQ1932" s="83"/>
      <c r="AR1932" s="83"/>
      <c r="AS1932" s="83"/>
      <c r="AT1932" s="83"/>
    </row>
    <row r="1933" spans="36:46" x14ac:dyDescent="0.3">
      <c r="AJ1933" s="83"/>
      <c r="AK1933" s="83"/>
      <c r="AL1933" s="83"/>
      <c r="AM1933" s="83"/>
      <c r="AN1933" s="83"/>
      <c r="AO1933" s="83"/>
      <c r="AP1933" s="83"/>
      <c r="AQ1933" s="83"/>
      <c r="AR1933" s="83"/>
      <c r="AS1933" s="83"/>
      <c r="AT1933" s="83"/>
    </row>
    <row r="1934" spans="36:46" x14ac:dyDescent="0.3">
      <c r="AJ1934" s="83"/>
      <c r="AK1934" s="83"/>
      <c r="AL1934" s="83"/>
      <c r="AM1934" s="83"/>
      <c r="AN1934" s="83"/>
      <c r="AO1934" s="83"/>
      <c r="AP1934" s="83"/>
      <c r="AQ1934" s="83"/>
      <c r="AR1934" s="83"/>
      <c r="AS1934" s="83"/>
      <c r="AT1934" s="83"/>
    </row>
    <row r="1935" spans="36:46" x14ac:dyDescent="0.3">
      <c r="AJ1935" s="83"/>
      <c r="AK1935" s="83"/>
      <c r="AL1935" s="83"/>
      <c r="AM1935" s="83"/>
      <c r="AN1935" s="83"/>
      <c r="AO1935" s="83"/>
      <c r="AP1935" s="83"/>
      <c r="AQ1935" s="83"/>
      <c r="AR1935" s="83"/>
      <c r="AS1935" s="83"/>
      <c r="AT1935" s="83"/>
    </row>
    <row r="1936" spans="36:46" x14ac:dyDescent="0.3">
      <c r="AJ1936" s="83"/>
      <c r="AK1936" s="83"/>
      <c r="AL1936" s="83"/>
      <c r="AM1936" s="83"/>
      <c r="AN1936" s="83"/>
      <c r="AO1936" s="83"/>
      <c r="AP1936" s="83"/>
      <c r="AQ1936" s="83"/>
      <c r="AR1936" s="83"/>
      <c r="AS1936" s="83"/>
      <c r="AT1936" s="83"/>
    </row>
    <row r="1937" spans="36:46" x14ac:dyDescent="0.3">
      <c r="AJ1937" s="83"/>
      <c r="AK1937" s="83"/>
      <c r="AL1937" s="83"/>
      <c r="AM1937" s="83"/>
      <c r="AN1937" s="83"/>
      <c r="AO1937" s="83"/>
      <c r="AP1937" s="83"/>
      <c r="AQ1937" s="83"/>
      <c r="AR1937" s="83"/>
      <c r="AS1937" s="83"/>
      <c r="AT1937" s="83"/>
    </row>
    <row r="1938" spans="36:46" x14ac:dyDescent="0.3">
      <c r="AJ1938" s="83"/>
      <c r="AK1938" s="83"/>
      <c r="AL1938" s="83"/>
      <c r="AM1938" s="83"/>
      <c r="AN1938" s="83"/>
      <c r="AO1938" s="83"/>
      <c r="AP1938" s="83"/>
      <c r="AQ1938" s="83"/>
      <c r="AR1938" s="83"/>
      <c r="AS1938" s="83"/>
      <c r="AT1938" s="83"/>
    </row>
    <row r="1939" spans="36:46" x14ac:dyDescent="0.3">
      <c r="AJ1939" s="83"/>
      <c r="AK1939" s="83"/>
      <c r="AL1939" s="83"/>
      <c r="AM1939" s="83"/>
      <c r="AN1939" s="83"/>
      <c r="AO1939" s="83"/>
      <c r="AP1939" s="83"/>
      <c r="AQ1939" s="83"/>
      <c r="AR1939" s="83"/>
      <c r="AS1939" s="83"/>
      <c r="AT1939" s="83"/>
    </row>
    <row r="1940" spans="36:46" x14ac:dyDescent="0.3">
      <c r="AJ1940" s="83"/>
      <c r="AK1940" s="83"/>
      <c r="AL1940" s="83"/>
      <c r="AM1940" s="83"/>
      <c r="AN1940" s="83"/>
      <c r="AO1940" s="83"/>
      <c r="AP1940" s="83"/>
      <c r="AQ1940" s="83"/>
      <c r="AR1940" s="83"/>
      <c r="AS1940" s="83"/>
      <c r="AT1940" s="83"/>
    </row>
    <row r="1941" spans="36:46" x14ac:dyDescent="0.3">
      <c r="AJ1941" s="83"/>
      <c r="AK1941" s="83"/>
      <c r="AL1941" s="83"/>
      <c r="AM1941" s="83"/>
      <c r="AN1941" s="83"/>
      <c r="AO1941" s="83"/>
      <c r="AP1941" s="83"/>
      <c r="AQ1941" s="83"/>
      <c r="AR1941" s="83"/>
      <c r="AS1941" s="83"/>
      <c r="AT1941" s="83"/>
    </row>
    <row r="1942" spans="36:46" x14ac:dyDescent="0.3">
      <c r="AJ1942" s="83"/>
      <c r="AK1942" s="83"/>
      <c r="AL1942" s="83"/>
      <c r="AM1942" s="83"/>
      <c r="AN1942" s="83"/>
      <c r="AO1942" s="83"/>
      <c r="AP1942" s="83"/>
      <c r="AQ1942" s="83"/>
      <c r="AR1942" s="83"/>
      <c r="AS1942" s="83"/>
      <c r="AT1942" s="83"/>
    </row>
    <row r="1943" spans="36:46" x14ac:dyDescent="0.3">
      <c r="AJ1943" s="83"/>
      <c r="AK1943" s="83"/>
      <c r="AL1943" s="83"/>
      <c r="AM1943" s="83"/>
      <c r="AN1943" s="83"/>
      <c r="AO1943" s="83"/>
      <c r="AP1943" s="83"/>
      <c r="AQ1943" s="83"/>
      <c r="AR1943" s="83"/>
      <c r="AS1943" s="83"/>
      <c r="AT1943" s="83"/>
    </row>
    <row r="1944" spans="36:46" x14ac:dyDescent="0.3">
      <c r="AJ1944" s="83"/>
      <c r="AK1944" s="83"/>
      <c r="AL1944" s="83"/>
      <c r="AM1944" s="83"/>
      <c r="AN1944" s="83"/>
      <c r="AO1944" s="83"/>
      <c r="AP1944" s="83"/>
      <c r="AQ1944" s="83"/>
      <c r="AR1944" s="83"/>
      <c r="AS1944" s="83"/>
      <c r="AT1944" s="83"/>
    </row>
    <row r="1945" spans="36:46" x14ac:dyDescent="0.3">
      <c r="AJ1945" s="83"/>
      <c r="AK1945" s="83"/>
      <c r="AL1945" s="83"/>
      <c r="AM1945" s="83"/>
      <c r="AN1945" s="83"/>
      <c r="AO1945" s="83"/>
      <c r="AP1945" s="83"/>
      <c r="AQ1945" s="83"/>
      <c r="AR1945" s="83"/>
      <c r="AS1945" s="83"/>
      <c r="AT1945" s="83"/>
    </row>
    <row r="1946" spans="36:46" x14ac:dyDescent="0.3">
      <c r="AJ1946" s="83"/>
      <c r="AK1946" s="83"/>
      <c r="AL1946" s="83"/>
      <c r="AM1946" s="83"/>
      <c r="AN1946" s="83"/>
      <c r="AO1946" s="83"/>
      <c r="AP1946" s="83"/>
      <c r="AQ1946" s="83"/>
      <c r="AR1946" s="83"/>
      <c r="AS1946" s="83"/>
      <c r="AT1946" s="83"/>
    </row>
    <row r="1947" spans="36:46" x14ac:dyDescent="0.3">
      <c r="AJ1947" s="83"/>
      <c r="AK1947" s="83"/>
      <c r="AL1947" s="83"/>
      <c r="AM1947" s="83"/>
      <c r="AN1947" s="83"/>
      <c r="AO1947" s="83"/>
      <c r="AP1947" s="83"/>
      <c r="AQ1947" s="83"/>
      <c r="AR1947" s="83"/>
      <c r="AS1947" s="83"/>
      <c r="AT1947" s="83"/>
    </row>
    <row r="1948" spans="36:46" x14ac:dyDescent="0.3">
      <c r="AJ1948" s="83"/>
      <c r="AK1948" s="83"/>
      <c r="AL1948" s="83"/>
      <c r="AM1948" s="83"/>
      <c r="AN1948" s="83"/>
      <c r="AO1948" s="83"/>
      <c r="AP1948" s="83"/>
      <c r="AQ1948" s="83"/>
      <c r="AR1948" s="83"/>
      <c r="AS1948" s="83"/>
      <c r="AT1948" s="83"/>
    </row>
    <row r="1949" spans="36:46" x14ac:dyDescent="0.3">
      <c r="AJ1949" s="83"/>
      <c r="AK1949" s="83"/>
      <c r="AL1949" s="83"/>
      <c r="AM1949" s="83"/>
      <c r="AN1949" s="83"/>
      <c r="AO1949" s="83"/>
      <c r="AP1949" s="83"/>
      <c r="AQ1949" s="83"/>
      <c r="AR1949" s="83"/>
      <c r="AS1949" s="83"/>
      <c r="AT1949" s="83"/>
    </row>
    <row r="1950" spans="36:46" x14ac:dyDescent="0.3">
      <c r="AJ1950" s="83"/>
      <c r="AK1950" s="83"/>
      <c r="AL1950" s="83"/>
      <c r="AM1950" s="83"/>
      <c r="AN1950" s="83"/>
      <c r="AO1950" s="83"/>
      <c r="AP1950" s="83"/>
      <c r="AQ1950" s="83"/>
      <c r="AR1950" s="83"/>
      <c r="AS1950" s="83"/>
      <c r="AT1950" s="83"/>
    </row>
    <row r="1951" spans="36:46" x14ac:dyDescent="0.3">
      <c r="AJ1951" s="83"/>
      <c r="AK1951" s="83"/>
      <c r="AL1951" s="83"/>
      <c r="AM1951" s="83"/>
      <c r="AN1951" s="83"/>
      <c r="AO1951" s="83"/>
      <c r="AP1951" s="83"/>
      <c r="AQ1951" s="83"/>
      <c r="AR1951" s="83"/>
      <c r="AS1951" s="83"/>
      <c r="AT1951" s="83"/>
    </row>
    <row r="1952" spans="36:46" x14ac:dyDescent="0.3">
      <c r="AJ1952" s="83"/>
      <c r="AK1952" s="83"/>
      <c r="AL1952" s="83"/>
      <c r="AM1952" s="83"/>
      <c r="AN1952" s="83"/>
      <c r="AO1952" s="83"/>
      <c r="AP1952" s="83"/>
      <c r="AQ1952" s="83"/>
      <c r="AR1952" s="83"/>
      <c r="AS1952" s="83"/>
      <c r="AT1952" s="83"/>
    </row>
    <row r="1953" spans="36:46" x14ac:dyDescent="0.3">
      <c r="AJ1953" s="83"/>
      <c r="AK1953" s="83"/>
      <c r="AL1953" s="83"/>
      <c r="AM1953" s="83"/>
      <c r="AN1953" s="83"/>
      <c r="AO1953" s="83"/>
      <c r="AP1953" s="83"/>
      <c r="AQ1953" s="83"/>
      <c r="AR1953" s="83"/>
      <c r="AS1953" s="83"/>
      <c r="AT1953" s="83"/>
    </row>
    <row r="1954" spans="36:46" x14ac:dyDescent="0.3">
      <c r="AJ1954" s="83"/>
      <c r="AK1954" s="83"/>
      <c r="AL1954" s="83"/>
      <c r="AM1954" s="83"/>
      <c r="AN1954" s="83"/>
      <c r="AO1954" s="83"/>
      <c r="AP1954" s="83"/>
      <c r="AQ1954" s="83"/>
      <c r="AR1954" s="83"/>
      <c r="AS1954" s="83"/>
      <c r="AT1954" s="83"/>
    </row>
    <row r="1955" spans="36:46" x14ac:dyDescent="0.3">
      <c r="AJ1955" s="83"/>
      <c r="AK1955" s="83"/>
      <c r="AL1955" s="83"/>
      <c r="AM1955" s="83"/>
      <c r="AN1955" s="83"/>
      <c r="AO1955" s="83"/>
      <c r="AP1955" s="83"/>
      <c r="AQ1955" s="83"/>
      <c r="AR1955" s="83"/>
      <c r="AS1955" s="83"/>
      <c r="AT1955" s="83"/>
    </row>
    <row r="1956" spans="36:46" x14ac:dyDescent="0.3">
      <c r="AJ1956" s="83"/>
      <c r="AK1956" s="83"/>
      <c r="AL1956" s="83"/>
      <c r="AM1956" s="83"/>
      <c r="AN1956" s="83"/>
      <c r="AO1956" s="83"/>
      <c r="AP1956" s="83"/>
      <c r="AQ1956" s="83"/>
      <c r="AR1956" s="83"/>
      <c r="AS1956" s="83"/>
      <c r="AT1956" s="83"/>
    </row>
    <row r="1957" spans="36:46" x14ac:dyDescent="0.3">
      <c r="AJ1957" s="83"/>
      <c r="AK1957" s="83"/>
      <c r="AL1957" s="83"/>
      <c r="AM1957" s="83"/>
      <c r="AN1957" s="83"/>
      <c r="AO1957" s="83"/>
      <c r="AP1957" s="83"/>
      <c r="AQ1957" s="83"/>
      <c r="AR1957" s="83"/>
      <c r="AS1957" s="83"/>
      <c r="AT1957" s="83"/>
    </row>
    <row r="1958" spans="36:46" x14ac:dyDescent="0.3">
      <c r="AJ1958" s="83"/>
      <c r="AK1958" s="83"/>
      <c r="AL1958" s="83"/>
      <c r="AM1958" s="83"/>
      <c r="AN1958" s="83"/>
      <c r="AO1958" s="83"/>
      <c r="AP1958" s="83"/>
      <c r="AQ1958" s="83"/>
      <c r="AR1958" s="83"/>
      <c r="AS1958" s="83"/>
      <c r="AT1958" s="83"/>
    </row>
    <row r="1959" spans="36:46" x14ac:dyDescent="0.3">
      <c r="AJ1959" s="83"/>
      <c r="AK1959" s="83"/>
      <c r="AL1959" s="83"/>
      <c r="AM1959" s="83"/>
      <c r="AN1959" s="83"/>
      <c r="AO1959" s="83"/>
      <c r="AP1959" s="83"/>
      <c r="AQ1959" s="83"/>
      <c r="AR1959" s="83"/>
      <c r="AS1959" s="83"/>
      <c r="AT1959" s="83"/>
    </row>
    <row r="1960" spans="36:46" x14ac:dyDescent="0.3">
      <c r="AJ1960" s="83"/>
      <c r="AK1960" s="83"/>
      <c r="AL1960" s="83"/>
      <c r="AM1960" s="83"/>
      <c r="AN1960" s="83"/>
      <c r="AO1960" s="83"/>
      <c r="AP1960" s="83"/>
      <c r="AQ1960" s="83"/>
      <c r="AR1960" s="83"/>
      <c r="AS1960" s="83"/>
      <c r="AT1960" s="83"/>
    </row>
    <row r="1961" spans="36:46" x14ac:dyDescent="0.3">
      <c r="AJ1961" s="83"/>
      <c r="AK1961" s="83"/>
      <c r="AL1961" s="83"/>
      <c r="AM1961" s="83"/>
      <c r="AN1961" s="83"/>
      <c r="AO1961" s="83"/>
      <c r="AP1961" s="83"/>
      <c r="AQ1961" s="83"/>
      <c r="AR1961" s="83"/>
      <c r="AS1961" s="83"/>
      <c r="AT1961" s="83"/>
    </row>
    <row r="1962" spans="36:46" x14ac:dyDescent="0.3">
      <c r="AJ1962" s="83"/>
      <c r="AK1962" s="83"/>
      <c r="AL1962" s="83"/>
      <c r="AM1962" s="83"/>
      <c r="AN1962" s="83"/>
      <c r="AO1962" s="83"/>
      <c r="AP1962" s="83"/>
      <c r="AQ1962" s="83"/>
      <c r="AR1962" s="83"/>
      <c r="AS1962" s="83"/>
      <c r="AT1962" s="83"/>
    </row>
    <row r="1963" spans="36:46" x14ac:dyDescent="0.3">
      <c r="AJ1963" s="83"/>
      <c r="AK1963" s="83"/>
      <c r="AL1963" s="83"/>
      <c r="AM1963" s="83"/>
      <c r="AN1963" s="83"/>
      <c r="AO1963" s="83"/>
      <c r="AP1963" s="83"/>
      <c r="AQ1963" s="83"/>
      <c r="AR1963" s="83"/>
      <c r="AS1963" s="83"/>
      <c r="AT1963" s="83"/>
    </row>
    <row r="1964" spans="36:46" x14ac:dyDescent="0.3">
      <c r="AJ1964" s="83"/>
      <c r="AK1964" s="83"/>
      <c r="AL1964" s="83"/>
      <c r="AM1964" s="83"/>
      <c r="AN1964" s="83"/>
      <c r="AO1964" s="83"/>
      <c r="AP1964" s="83"/>
      <c r="AQ1964" s="83"/>
      <c r="AR1964" s="83"/>
      <c r="AS1964" s="83"/>
      <c r="AT1964" s="83"/>
    </row>
    <row r="1965" spans="36:46" x14ac:dyDescent="0.3">
      <c r="AJ1965" s="83"/>
      <c r="AK1965" s="83"/>
      <c r="AL1965" s="83"/>
      <c r="AM1965" s="83"/>
      <c r="AN1965" s="83"/>
      <c r="AO1965" s="83"/>
      <c r="AP1965" s="83"/>
      <c r="AQ1965" s="83"/>
      <c r="AR1965" s="83"/>
      <c r="AS1965" s="83"/>
      <c r="AT1965" s="83"/>
    </row>
    <row r="1966" spans="36:46" x14ac:dyDescent="0.3">
      <c r="AJ1966" s="83"/>
      <c r="AK1966" s="83"/>
      <c r="AL1966" s="83"/>
      <c r="AM1966" s="83"/>
      <c r="AN1966" s="83"/>
      <c r="AO1966" s="83"/>
      <c r="AP1966" s="83"/>
      <c r="AQ1966" s="83"/>
      <c r="AR1966" s="83"/>
      <c r="AS1966" s="83"/>
      <c r="AT1966" s="83"/>
    </row>
    <row r="1967" spans="36:46" x14ac:dyDescent="0.3">
      <c r="AJ1967" s="83"/>
      <c r="AK1967" s="83"/>
      <c r="AL1967" s="83"/>
      <c r="AM1967" s="83"/>
      <c r="AN1967" s="83"/>
      <c r="AO1967" s="83"/>
      <c r="AP1967" s="83"/>
      <c r="AQ1967" s="83"/>
      <c r="AR1967" s="83"/>
      <c r="AS1967" s="83"/>
      <c r="AT1967" s="83"/>
    </row>
    <row r="1968" spans="36:46" x14ac:dyDescent="0.3">
      <c r="AJ1968" s="83"/>
      <c r="AK1968" s="83"/>
      <c r="AL1968" s="83"/>
      <c r="AM1968" s="83"/>
      <c r="AN1968" s="83"/>
      <c r="AO1968" s="83"/>
      <c r="AP1968" s="83"/>
      <c r="AQ1968" s="83"/>
      <c r="AR1968" s="83"/>
      <c r="AS1968" s="83"/>
      <c r="AT1968" s="83"/>
    </row>
    <row r="1969" spans="36:46" x14ac:dyDescent="0.3">
      <c r="AJ1969" s="83"/>
      <c r="AK1969" s="83"/>
      <c r="AL1969" s="83"/>
      <c r="AM1969" s="83"/>
      <c r="AN1969" s="83"/>
      <c r="AO1969" s="83"/>
      <c r="AP1969" s="83"/>
      <c r="AQ1969" s="83"/>
      <c r="AR1969" s="83"/>
      <c r="AS1969" s="83"/>
      <c r="AT1969" s="83"/>
    </row>
    <row r="1970" spans="36:46" x14ac:dyDescent="0.3">
      <c r="AJ1970" s="83"/>
      <c r="AK1970" s="83"/>
      <c r="AL1970" s="83"/>
      <c r="AM1970" s="83"/>
      <c r="AN1970" s="83"/>
      <c r="AO1970" s="83"/>
      <c r="AP1970" s="83"/>
      <c r="AQ1970" s="83"/>
      <c r="AR1970" s="83"/>
      <c r="AS1970" s="83"/>
      <c r="AT1970" s="83"/>
    </row>
    <row r="1971" spans="36:46" x14ac:dyDescent="0.3">
      <c r="AJ1971" s="83"/>
      <c r="AK1971" s="83"/>
      <c r="AL1971" s="83"/>
      <c r="AM1971" s="83"/>
      <c r="AN1971" s="83"/>
      <c r="AO1971" s="83"/>
      <c r="AP1971" s="83"/>
      <c r="AQ1971" s="83"/>
      <c r="AR1971" s="83"/>
      <c r="AS1971" s="83"/>
      <c r="AT1971" s="83"/>
    </row>
    <row r="1972" spans="36:46" x14ac:dyDescent="0.3">
      <c r="AJ1972" s="83"/>
      <c r="AK1972" s="83"/>
      <c r="AL1972" s="83"/>
      <c r="AM1972" s="83"/>
      <c r="AN1972" s="83"/>
      <c r="AO1972" s="83"/>
      <c r="AP1972" s="83"/>
      <c r="AQ1972" s="83"/>
      <c r="AR1972" s="83"/>
      <c r="AS1972" s="83"/>
      <c r="AT1972" s="83"/>
    </row>
    <row r="1973" spans="36:46" x14ac:dyDescent="0.3">
      <c r="AJ1973" s="83"/>
      <c r="AK1973" s="83"/>
      <c r="AL1973" s="83"/>
      <c r="AM1973" s="83"/>
      <c r="AN1973" s="83"/>
      <c r="AO1973" s="83"/>
      <c r="AP1973" s="83"/>
      <c r="AQ1973" s="83"/>
      <c r="AR1973" s="83"/>
      <c r="AS1973" s="83"/>
      <c r="AT1973" s="83"/>
    </row>
    <row r="1974" spans="36:46" x14ac:dyDescent="0.3">
      <c r="AJ1974" s="83"/>
      <c r="AK1974" s="83"/>
      <c r="AL1974" s="83"/>
      <c r="AM1974" s="83"/>
      <c r="AN1974" s="83"/>
      <c r="AO1974" s="83"/>
      <c r="AP1974" s="83"/>
      <c r="AQ1974" s="83"/>
      <c r="AR1974" s="83"/>
      <c r="AS1974" s="83"/>
      <c r="AT1974" s="83"/>
    </row>
    <row r="1975" spans="36:46" x14ac:dyDescent="0.3">
      <c r="AJ1975" s="83"/>
      <c r="AK1975" s="83"/>
      <c r="AL1975" s="83"/>
      <c r="AM1975" s="83"/>
      <c r="AN1975" s="83"/>
      <c r="AO1975" s="83"/>
      <c r="AP1975" s="83"/>
      <c r="AQ1975" s="83"/>
      <c r="AR1975" s="83"/>
      <c r="AS1975" s="83"/>
      <c r="AT1975" s="83"/>
    </row>
    <row r="1976" spans="36:46" x14ac:dyDescent="0.3">
      <c r="AJ1976" s="83"/>
      <c r="AK1976" s="83"/>
      <c r="AL1976" s="83"/>
      <c r="AM1976" s="83"/>
      <c r="AN1976" s="83"/>
      <c r="AO1976" s="83"/>
      <c r="AP1976" s="83"/>
      <c r="AQ1976" s="83"/>
      <c r="AR1976" s="83"/>
      <c r="AS1976" s="83"/>
      <c r="AT1976" s="83"/>
    </row>
    <row r="1977" spans="36:46" x14ac:dyDescent="0.3">
      <c r="AJ1977" s="83"/>
      <c r="AK1977" s="83"/>
      <c r="AL1977" s="83"/>
      <c r="AM1977" s="83"/>
      <c r="AN1977" s="83"/>
      <c r="AO1977" s="83"/>
      <c r="AP1977" s="83"/>
      <c r="AQ1977" s="83"/>
      <c r="AR1977" s="83"/>
      <c r="AS1977" s="83"/>
      <c r="AT1977" s="83"/>
    </row>
    <row r="1978" spans="36:46" x14ac:dyDescent="0.3">
      <c r="AJ1978" s="83"/>
      <c r="AK1978" s="83"/>
      <c r="AL1978" s="83"/>
      <c r="AM1978" s="83"/>
      <c r="AN1978" s="83"/>
      <c r="AO1978" s="83"/>
      <c r="AP1978" s="83"/>
      <c r="AQ1978" s="83"/>
      <c r="AR1978" s="83"/>
      <c r="AS1978" s="83"/>
      <c r="AT1978" s="83"/>
    </row>
    <row r="1979" spans="36:46" x14ac:dyDescent="0.3">
      <c r="AJ1979" s="83"/>
      <c r="AK1979" s="83"/>
      <c r="AL1979" s="83"/>
      <c r="AM1979" s="83"/>
      <c r="AN1979" s="83"/>
      <c r="AO1979" s="83"/>
      <c r="AP1979" s="83"/>
      <c r="AQ1979" s="83"/>
      <c r="AR1979" s="83"/>
      <c r="AS1979" s="83"/>
      <c r="AT1979" s="83"/>
    </row>
    <row r="1980" spans="36:46" x14ac:dyDescent="0.3">
      <c r="AJ1980" s="83"/>
      <c r="AK1980" s="83"/>
      <c r="AL1980" s="83"/>
      <c r="AM1980" s="83"/>
      <c r="AN1980" s="83"/>
      <c r="AO1980" s="83"/>
      <c r="AP1980" s="83"/>
      <c r="AQ1980" s="83"/>
      <c r="AR1980" s="83"/>
      <c r="AS1980" s="83"/>
      <c r="AT1980" s="83"/>
    </row>
    <row r="1981" spans="36:46" x14ac:dyDescent="0.3">
      <c r="AJ1981" s="83"/>
      <c r="AK1981" s="83"/>
      <c r="AL1981" s="83"/>
      <c r="AM1981" s="83"/>
      <c r="AN1981" s="83"/>
      <c r="AO1981" s="83"/>
      <c r="AP1981" s="83"/>
      <c r="AQ1981" s="83"/>
      <c r="AR1981" s="83"/>
      <c r="AS1981" s="83"/>
      <c r="AT1981" s="83"/>
    </row>
    <row r="1982" spans="36:46" x14ac:dyDescent="0.3">
      <c r="AJ1982" s="83"/>
      <c r="AK1982" s="83"/>
      <c r="AL1982" s="83"/>
      <c r="AM1982" s="83"/>
      <c r="AN1982" s="83"/>
      <c r="AO1982" s="83"/>
      <c r="AP1982" s="83"/>
      <c r="AQ1982" s="83"/>
      <c r="AR1982" s="83"/>
      <c r="AS1982" s="83"/>
      <c r="AT1982" s="83"/>
    </row>
    <row r="1983" spans="36:46" x14ac:dyDescent="0.3">
      <c r="AJ1983" s="83"/>
      <c r="AK1983" s="83"/>
      <c r="AL1983" s="83"/>
      <c r="AM1983" s="83"/>
      <c r="AN1983" s="83"/>
      <c r="AO1983" s="83"/>
      <c r="AP1983" s="83"/>
      <c r="AQ1983" s="83"/>
      <c r="AR1983" s="83"/>
      <c r="AS1983" s="83"/>
      <c r="AT1983" s="83"/>
    </row>
    <row r="1984" spans="36:46" x14ac:dyDescent="0.3">
      <c r="AJ1984" s="83"/>
      <c r="AK1984" s="83"/>
      <c r="AL1984" s="83"/>
      <c r="AM1984" s="83"/>
      <c r="AN1984" s="83"/>
      <c r="AO1984" s="83"/>
      <c r="AP1984" s="83"/>
      <c r="AQ1984" s="83"/>
      <c r="AR1984" s="83"/>
      <c r="AS1984" s="83"/>
      <c r="AT1984" s="83"/>
    </row>
    <row r="1985" spans="36:46" x14ac:dyDescent="0.3">
      <c r="AJ1985" s="83"/>
      <c r="AK1985" s="83"/>
      <c r="AL1985" s="83"/>
      <c r="AM1985" s="83"/>
      <c r="AN1985" s="83"/>
      <c r="AO1985" s="83"/>
      <c r="AP1985" s="83"/>
      <c r="AQ1985" s="83"/>
      <c r="AR1985" s="83"/>
      <c r="AS1985" s="83"/>
      <c r="AT1985" s="83"/>
    </row>
    <row r="1986" spans="36:46" x14ac:dyDescent="0.3">
      <c r="AJ1986" s="83"/>
      <c r="AK1986" s="83"/>
      <c r="AL1986" s="83"/>
      <c r="AM1986" s="83"/>
      <c r="AN1986" s="83"/>
      <c r="AO1986" s="83"/>
      <c r="AP1986" s="83"/>
      <c r="AQ1986" s="83"/>
      <c r="AR1986" s="83"/>
      <c r="AS1986" s="83"/>
      <c r="AT1986" s="83"/>
    </row>
    <row r="1987" spans="36:46" x14ac:dyDescent="0.3">
      <c r="AJ1987" s="83"/>
      <c r="AK1987" s="83"/>
      <c r="AL1987" s="83"/>
      <c r="AM1987" s="83"/>
      <c r="AN1987" s="83"/>
      <c r="AO1987" s="83"/>
      <c r="AP1987" s="83"/>
      <c r="AQ1987" s="83"/>
      <c r="AR1987" s="83"/>
      <c r="AS1987" s="83"/>
      <c r="AT1987" s="83"/>
    </row>
    <row r="1988" spans="36:46" x14ac:dyDescent="0.3">
      <c r="AJ1988" s="83"/>
      <c r="AK1988" s="83"/>
      <c r="AL1988" s="83"/>
      <c r="AM1988" s="83"/>
      <c r="AN1988" s="83"/>
      <c r="AO1988" s="83"/>
      <c r="AP1988" s="83"/>
      <c r="AQ1988" s="83"/>
      <c r="AR1988" s="83"/>
      <c r="AS1988" s="83"/>
      <c r="AT1988" s="83"/>
    </row>
    <row r="1989" spans="36:46" x14ac:dyDescent="0.3">
      <c r="AJ1989" s="83"/>
      <c r="AK1989" s="83"/>
      <c r="AL1989" s="83"/>
      <c r="AM1989" s="83"/>
      <c r="AN1989" s="83"/>
      <c r="AO1989" s="83"/>
      <c r="AP1989" s="83"/>
      <c r="AQ1989" s="83"/>
      <c r="AR1989" s="83"/>
      <c r="AS1989" s="83"/>
      <c r="AT1989" s="83"/>
    </row>
    <row r="1990" spans="36:46" x14ac:dyDescent="0.3">
      <c r="AJ1990" s="83"/>
      <c r="AK1990" s="83"/>
      <c r="AL1990" s="83"/>
      <c r="AM1990" s="83"/>
      <c r="AN1990" s="83"/>
      <c r="AO1990" s="83"/>
      <c r="AP1990" s="83"/>
      <c r="AQ1990" s="83"/>
      <c r="AR1990" s="83"/>
      <c r="AS1990" s="83"/>
      <c r="AT1990" s="83"/>
    </row>
    <row r="1991" spans="36:46" x14ac:dyDescent="0.3">
      <c r="AJ1991" s="83"/>
      <c r="AK1991" s="83"/>
      <c r="AL1991" s="83"/>
      <c r="AM1991" s="83"/>
      <c r="AN1991" s="83"/>
      <c r="AO1991" s="83"/>
      <c r="AP1991" s="83"/>
      <c r="AQ1991" s="83"/>
      <c r="AR1991" s="83"/>
      <c r="AS1991" s="83"/>
      <c r="AT1991" s="83"/>
    </row>
    <row r="1992" spans="36:46" x14ac:dyDescent="0.3">
      <c r="AJ1992" s="83"/>
      <c r="AK1992" s="83"/>
      <c r="AL1992" s="83"/>
      <c r="AM1992" s="83"/>
      <c r="AN1992" s="83"/>
      <c r="AO1992" s="83"/>
      <c r="AP1992" s="83"/>
      <c r="AQ1992" s="83"/>
      <c r="AR1992" s="83"/>
      <c r="AS1992" s="83"/>
      <c r="AT1992" s="83"/>
    </row>
    <row r="1993" spans="36:46" x14ac:dyDescent="0.3">
      <c r="AJ1993" s="83"/>
      <c r="AK1993" s="83"/>
      <c r="AL1993" s="83"/>
      <c r="AM1993" s="83"/>
      <c r="AN1993" s="83"/>
      <c r="AO1993" s="83"/>
      <c r="AP1993" s="83"/>
      <c r="AQ1993" s="83"/>
      <c r="AR1993" s="83"/>
      <c r="AS1993" s="83"/>
      <c r="AT1993" s="83"/>
    </row>
    <row r="1994" spans="36:46" x14ac:dyDescent="0.3">
      <c r="AJ1994" s="83"/>
      <c r="AK1994" s="83"/>
      <c r="AL1994" s="83"/>
      <c r="AM1994" s="83"/>
      <c r="AN1994" s="83"/>
      <c r="AO1994" s="83"/>
      <c r="AP1994" s="83"/>
      <c r="AQ1994" s="83"/>
      <c r="AR1994" s="83"/>
      <c r="AS1994" s="83"/>
      <c r="AT1994" s="83"/>
    </row>
    <row r="1995" spans="36:46" x14ac:dyDescent="0.3">
      <c r="AJ1995" s="83"/>
      <c r="AK1995" s="83"/>
      <c r="AL1995" s="83"/>
      <c r="AM1995" s="83"/>
      <c r="AN1995" s="83"/>
      <c r="AO1995" s="83"/>
      <c r="AP1995" s="83"/>
      <c r="AQ1995" s="83"/>
      <c r="AR1995" s="83"/>
      <c r="AS1995" s="83"/>
      <c r="AT1995" s="83"/>
    </row>
    <row r="1996" spans="36:46" x14ac:dyDescent="0.3">
      <c r="AJ1996" s="83"/>
      <c r="AK1996" s="83"/>
      <c r="AL1996" s="83"/>
      <c r="AM1996" s="83"/>
      <c r="AN1996" s="83"/>
      <c r="AO1996" s="83"/>
      <c r="AP1996" s="83"/>
      <c r="AQ1996" s="83"/>
      <c r="AR1996" s="83"/>
      <c r="AS1996" s="83"/>
      <c r="AT1996" s="83"/>
    </row>
    <row r="1997" spans="36:46" x14ac:dyDescent="0.3">
      <c r="AJ1997" s="83"/>
      <c r="AK1997" s="83"/>
      <c r="AL1997" s="83"/>
      <c r="AM1997" s="83"/>
      <c r="AN1997" s="83"/>
      <c r="AO1997" s="83"/>
      <c r="AP1997" s="83"/>
      <c r="AQ1997" s="83"/>
      <c r="AR1997" s="83"/>
      <c r="AS1997" s="83"/>
      <c r="AT1997" s="83"/>
    </row>
    <row r="1998" spans="36:46" x14ac:dyDescent="0.3">
      <c r="AJ1998" s="83"/>
      <c r="AK1998" s="83"/>
      <c r="AL1998" s="83"/>
      <c r="AM1998" s="83"/>
      <c r="AN1998" s="83"/>
      <c r="AO1998" s="83"/>
      <c r="AP1998" s="83"/>
      <c r="AQ1998" s="83"/>
      <c r="AR1998" s="83"/>
      <c r="AS1998" s="83"/>
      <c r="AT1998" s="83"/>
    </row>
    <row r="1999" spans="36:46" x14ac:dyDescent="0.3">
      <c r="AJ1999" s="83"/>
      <c r="AK1999" s="83"/>
      <c r="AL1999" s="83"/>
      <c r="AM1999" s="83"/>
      <c r="AN1999" s="83"/>
      <c r="AO1999" s="83"/>
      <c r="AP1999" s="83"/>
      <c r="AQ1999" s="83"/>
      <c r="AR1999" s="83"/>
      <c r="AS1999" s="83"/>
      <c r="AT1999" s="83"/>
    </row>
    <row r="2000" spans="36:46" x14ac:dyDescent="0.3">
      <c r="AJ2000" s="83"/>
      <c r="AK2000" s="83"/>
      <c r="AL2000" s="83"/>
      <c r="AM2000" s="83"/>
      <c r="AN2000" s="83"/>
      <c r="AO2000" s="83"/>
      <c r="AP2000" s="83"/>
      <c r="AQ2000" s="83"/>
      <c r="AR2000" s="83"/>
      <c r="AS2000" s="83"/>
      <c r="AT2000" s="83"/>
    </row>
    <row r="2001" spans="36:46" x14ac:dyDescent="0.3">
      <c r="AJ2001" s="83"/>
      <c r="AK2001" s="83"/>
      <c r="AL2001" s="83"/>
      <c r="AM2001" s="83"/>
      <c r="AN2001" s="83"/>
      <c r="AO2001" s="83"/>
      <c r="AP2001" s="83"/>
      <c r="AQ2001" s="83"/>
      <c r="AR2001" s="83"/>
      <c r="AS2001" s="83"/>
      <c r="AT2001" s="83"/>
    </row>
    <row r="2002" spans="36:46" x14ac:dyDescent="0.3">
      <c r="AJ2002" s="83"/>
      <c r="AK2002" s="83"/>
      <c r="AL2002" s="83"/>
      <c r="AM2002" s="83"/>
      <c r="AN2002" s="83"/>
      <c r="AO2002" s="83"/>
      <c r="AP2002" s="83"/>
      <c r="AQ2002" s="83"/>
      <c r="AR2002" s="83"/>
      <c r="AS2002" s="83"/>
      <c r="AT2002" s="83"/>
    </row>
    <row r="2003" spans="36:46" x14ac:dyDescent="0.3">
      <c r="AJ2003" s="83"/>
      <c r="AK2003" s="83"/>
      <c r="AL2003" s="83"/>
      <c r="AM2003" s="83"/>
      <c r="AN2003" s="83"/>
      <c r="AO2003" s="83"/>
      <c r="AP2003" s="83"/>
      <c r="AQ2003" s="83"/>
      <c r="AR2003" s="83"/>
      <c r="AS2003" s="83"/>
      <c r="AT2003" s="83"/>
    </row>
    <row r="2004" spans="36:46" x14ac:dyDescent="0.3">
      <c r="AJ2004" s="83"/>
      <c r="AK2004" s="83"/>
      <c r="AL2004" s="83"/>
      <c r="AM2004" s="83"/>
      <c r="AN2004" s="83"/>
      <c r="AO2004" s="83"/>
      <c r="AP2004" s="83"/>
      <c r="AQ2004" s="83"/>
      <c r="AR2004" s="83"/>
      <c r="AS2004" s="83"/>
      <c r="AT2004" s="83"/>
    </row>
    <row r="2005" spans="36:46" x14ac:dyDescent="0.3">
      <c r="AJ2005" s="83"/>
      <c r="AK2005" s="83"/>
      <c r="AL2005" s="83"/>
      <c r="AM2005" s="83"/>
      <c r="AN2005" s="83"/>
      <c r="AO2005" s="83"/>
      <c r="AP2005" s="83"/>
      <c r="AQ2005" s="83"/>
      <c r="AR2005" s="83"/>
      <c r="AS2005" s="83"/>
      <c r="AT2005" s="83"/>
    </row>
    <row r="2006" spans="36:46" x14ac:dyDescent="0.3">
      <c r="AJ2006" s="83"/>
      <c r="AK2006" s="83"/>
      <c r="AL2006" s="83"/>
      <c r="AM2006" s="83"/>
      <c r="AN2006" s="83"/>
      <c r="AO2006" s="83"/>
      <c r="AP2006" s="83"/>
      <c r="AQ2006" s="83"/>
      <c r="AR2006" s="83"/>
      <c r="AS2006" s="83"/>
      <c r="AT2006" s="83"/>
    </row>
    <row r="2007" spans="36:46" x14ac:dyDescent="0.3">
      <c r="AJ2007" s="83"/>
      <c r="AK2007" s="83"/>
      <c r="AL2007" s="83"/>
      <c r="AM2007" s="83"/>
      <c r="AN2007" s="83"/>
      <c r="AO2007" s="83"/>
      <c r="AP2007" s="83"/>
      <c r="AQ2007" s="83"/>
      <c r="AR2007" s="83"/>
      <c r="AS2007" s="83"/>
      <c r="AT2007" s="83"/>
    </row>
    <row r="2008" spans="36:46" x14ac:dyDescent="0.3">
      <c r="AJ2008" s="83"/>
      <c r="AK2008" s="83"/>
      <c r="AL2008" s="83"/>
      <c r="AM2008" s="83"/>
      <c r="AN2008" s="83"/>
      <c r="AO2008" s="83"/>
      <c r="AP2008" s="83"/>
      <c r="AQ2008" s="83"/>
      <c r="AR2008" s="83"/>
      <c r="AS2008" s="83"/>
      <c r="AT2008" s="83"/>
    </row>
    <row r="2009" spans="36:46" x14ac:dyDescent="0.3">
      <c r="AJ2009" s="83"/>
      <c r="AK2009" s="83"/>
      <c r="AL2009" s="83"/>
      <c r="AM2009" s="83"/>
      <c r="AN2009" s="83"/>
      <c r="AO2009" s="83"/>
      <c r="AP2009" s="83"/>
      <c r="AQ2009" s="83"/>
      <c r="AR2009" s="83"/>
      <c r="AS2009" s="83"/>
      <c r="AT2009" s="83"/>
    </row>
    <row r="2010" spans="36:46" x14ac:dyDescent="0.3">
      <c r="AJ2010" s="83"/>
      <c r="AK2010" s="83"/>
      <c r="AL2010" s="83"/>
      <c r="AM2010" s="83"/>
      <c r="AN2010" s="83"/>
      <c r="AO2010" s="83"/>
      <c r="AP2010" s="83"/>
      <c r="AQ2010" s="83"/>
      <c r="AR2010" s="83"/>
      <c r="AS2010" s="83"/>
      <c r="AT2010" s="83"/>
    </row>
    <row r="2011" spans="36:46" x14ac:dyDescent="0.3">
      <c r="AJ2011" s="83"/>
      <c r="AK2011" s="83"/>
      <c r="AL2011" s="83"/>
      <c r="AM2011" s="83"/>
      <c r="AN2011" s="83"/>
      <c r="AO2011" s="83"/>
      <c r="AP2011" s="83"/>
      <c r="AQ2011" s="83"/>
      <c r="AR2011" s="83"/>
      <c r="AS2011" s="83"/>
      <c r="AT2011" s="83"/>
    </row>
    <row r="2012" spans="36:46" x14ac:dyDescent="0.3">
      <c r="AJ2012" s="83"/>
      <c r="AK2012" s="83"/>
      <c r="AL2012" s="83"/>
      <c r="AM2012" s="83"/>
      <c r="AN2012" s="83"/>
      <c r="AO2012" s="83"/>
      <c r="AP2012" s="83"/>
      <c r="AQ2012" s="83"/>
      <c r="AR2012" s="83"/>
      <c r="AS2012" s="83"/>
      <c r="AT2012" s="83"/>
    </row>
    <row r="2013" spans="36:46" x14ac:dyDescent="0.3">
      <c r="AJ2013" s="83"/>
      <c r="AK2013" s="83"/>
      <c r="AL2013" s="83"/>
      <c r="AM2013" s="83"/>
      <c r="AN2013" s="83"/>
      <c r="AO2013" s="83"/>
      <c r="AP2013" s="83"/>
      <c r="AQ2013" s="83"/>
      <c r="AR2013" s="83"/>
      <c r="AS2013" s="83"/>
      <c r="AT2013" s="83"/>
    </row>
    <row r="2014" spans="36:46" x14ac:dyDescent="0.3">
      <c r="AJ2014" s="83"/>
      <c r="AK2014" s="83"/>
      <c r="AL2014" s="83"/>
      <c r="AM2014" s="83"/>
      <c r="AN2014" s="83"/>
      <c r="AO2014" s="83"/>
      <c r="AP2014" s="83"/>
      <c r="AQ2014" s="83"/>
      <c r="AR2014" s="83"/>
      <c r="AS2014" s="83"/>
      <c r="AT2014" s="83"/>
    </row>
    <row r="2015" spans="36:46" x14ac:dyDescent="0.3">
      <c r="AJ2015" s="83"/>
      <c r="AK2015" s="83"/>
      <c r="AL2015" s="83"/>
      <c r="AM2015" s="83"/>
      <c r="AN2015" s="83"/>
      <c r="AO2015" s="83"/>
      <c r="AP2015" s="83"/>
      <c r="AQ2015" s="83"/>
      <c r="AR2015" s="83"/>
      <c r="AS2015" s="83"/>
      <c r="AT2015" s="83"/>
    </row>
    <row r="2016" spans="36:46" x14ac:dyDescent="0.3">
      <c r="AJ2016" s="83"/>
      <c r="AK2016" s="83"/>
      <c r="AL2016" s="83"/>
      <c r="AM2016" s="83"/>
      <c r="AN2016" s="83"/>
      <c r="AO2016" s="83"/>
      <c r="AP2016" s="83"/>
      <c r="AQ2016" s="83"/>
      <c r="AR2016" s="83"/>
      <c r="AS2016" s="83"/>
      <c r="AT2016" s="83"/>
    </row>
    <row r="2017" spans="36:46" x14ac:dyDescent="0.3">
      <c r="AJ2017" s="83"/>
      <c r="AK2017" s="83"/>
      <c r="AL2017" s="83"/>
      <c r="AM2017" s="83"/>
      <c r="AN2017" s="83"/>
      <c r="AO2017" s="83"/>
      <c r="AP2017" s="83"/>
      <c r="AQ2017" s="83"/>
      <c r="AR2017" s="83"/>
      <c r="AS2017" s="83"/>
      <c r="AT2017" s="83"/>
    </row>
    <row r="2018" spans="36:46" x14ac:dyDescent="0.3">
      <c r="AJ2018" s="83"/>
      <c r="AK2018" s="83"/>
      <c r="AL2018" s="83"/>
      <c r="AM2018" s="83"/>
      <c r="AN2018" s="83"/>
      <c r="AO2018" s="83"/>
      <c r="AP2018" s="83"/>
      <c r="AQ2018" s="83"/>
      <c r="AR2018" s="83"/>
      <c r="AS2018" s="83"/>
      <c r="AT2018" s="83"/>
    </row>
    <row r="2019" spans="36:46" x14ac:dyDescent="0.3">
      <c r="AJ2019" s="83"/>
      <c r="AK2019" s="83"/>
      <c r="AL2019" s="83"/>
      <c r="AM2019" s="83"/>
      <c r="AN2019" s="83"/>
      <c r="AO2019" s="83"/>
      <c r="AP2019" s="83"/>
      <c r="AQ2019" s="83"/>
      <c r="AR2019" s="83"/>
      <c r="AS2019" s="83"/>
      <c r="AT2019" s="83"/>
    </row>
    <row r="2020" spans="36:46" x14ac:dyDescent="0.3">
      <c r="AJ2020" s="83"/>
      <c r="AK2020" s="83"/>
      <c r="AL2020" s="83"/>
      <c r="AM2020" s="83"/>
      <c r="AN2020" s="83"/>
      <c r="AO2020" s="83"/>
      <c r="AP2020" s="83"/>
      <c r="AQ2020" s="83"/>
      <c r="AR2020" s="83"/>
      <c r="AS2020" s="83"/>
      <c r="AT2020" s="83"/>
    </row>
    <row r="2021" spans="36:46" x14ac:dyDescent="0.3">
      <c r="AJ2021" s="83"/>
      <c r="AK2021" s="83"/>
      <c r="AL2021" s="83"/>
      <c r="AM2021" s="83"/>
      <c r="AN2021" s="83"/>
      <c r="AO2021" s="83"/>
      <c r="AP2021" s="83"/>
      <c r="AQ2021" s="83"/>
      <c r="AR2021" s="83"/>
      <c r="AS2021" s="83"/>
      <c r="AT2021" s="83"/>
    </row>
    <row r="2022" spans="36:46" x14ac:dyDescent="0.3">
      <c r="AJ2022" s="83"/>
      <c r="AK2022" s="83"/>
      <c r="AL2022" s="83"/>
      <c r="AM2022" s="83"/>
      <c r="AN2022" s="83"/>
      <c r="AO2022" s="83"/>
      <c r="AP2022" s="83"/>
      <c r="AQ2022" s="83"/>
      <c r="AR2022" s="83"/>
      <c r="AS2022" s="83"/>
      <c r="AT2022" s="83"/>
    </row>
    <row r="2023" spans="36:46" x14ac:dyDescent="0.3">
      <c r="AJ2023" s="83"/>
      <c r="AK2023" s="83"/>
      <c r="AL2023" s="83"/>
      <c r="AM2023" s="83"/>
      <c r="AN2023" s="83"/>
      <c r="AO2023" s="83"/>
      <c r="AP2023" s="83"/>
      <c r="AQ2023" s="83"/>
      <c r="AR2023" s="83"/>
      <c r="AS2023" s="83"/>
      <c r="AT2023" s="83"/>
    </row>
    <row r="2024" spans="36:46" x14ac:dyDescent="0.3">
      <c r="AJ2024" s="84"/>
      <c r="AK2024" s="85"/>
      <c r="AL2024" s="85"/>
      <c r="AM2024" s="85"/>
      <c r="AN2024" s="85"/>
      <c r="AO2024" s="85"/>
      <c r="AP2024" s="85"/>
      <c r="AQ2024" s="85"/>
      <c r="AR2024" s="85"/>
      <c r="AS2024" s="85"/>
      <c r="AT2024" s="86"/>
    </row>
    <row r="2025" spans="36:46" x14ac:dyDescent="0.3">
      <c r="AJ2025" s="87"/>
      <c r="AK2025" s="83"/>
      <c r="AL2025" s="83"/>
      <c r="AM2025" s="83"/>
      <c r="AN2025" s="83"/>
      <c r="AO2025" s="83"/>
      <c r="AP2025" s="83"/>
      <c r="AQ2025" s="83"/>
      <c r="AR2025" s="83"/>
      <c r="AS2025" s="83"/>
      <c r="AT2025" s="88"/>
    </row>
    <row r="2026" spans="36:46" x14ac:dyDescent="0.3">
      <c r="AJ2026" s="87"/>
      <c r="AK2026" s="83"/>
      <c r="AL2026" s="83"/>
      <c r="AM2026" s="83"/>
      <c r="AN2026" s="83"/>
      <c r="AO2026" s="83"/>
      <c r="AP2026" s="83"/>
      <c r="AQ2026" s="83"/>
      <c r="AR2026" s="83"/>
      <c r="AS2026" s="83"/>
      <c r="AT2026" s="88"/>
    </row>
    <row r="2027" spans="36:46" x14ac:dyDescent="0.3">
      <c r="AJ2027" s="84"/>
      <c r="AK2027" s="85"/>
      <c r="AL2027" s="85"/>
      <c r="AM2027" s="85"/>
      <c r="AN2027" s="85"/>
      <c r="AO2027" s="85"/>
      <c r="AP2027" s="85"/>
      <c r="AQ2027" s="85"/>
      <c r="AR2027" s="85"/>
      <c r="AS2027" s="85"/>
      <c r="AT2027" s="86"/>
    </row>
    <row r="2028" spans="36:46" x14ac:dyDescent="0.3">
      <c r="AJ2028" s="87"/>
      <c r="AK2028" s="83"/>
      <c r="AL2028" s="83"/>
      <c r="AM2028" s="83"/>
      <c r="AN2028" s="83"/>
      <c r="AO2028" s="83"/>
      <c r="AP2028" s="83"/>
      <c r="AQ2028" s="83"/>
      <c r="AR2028" s="83"/>
      <c r="AS2028" s="83"/>
      <c r="AT2028" s="88"/>
    </row>
    <row r="2029" spans="36:46" x14ac:dyDescent="0.3">
      <c r="AJ2029" s="87"/>
      <c r="AK2029" s="83"/>
      <c r="AL2029" s="83"/>
      <c r="AM2029" s="83"/>
      <c r="AN2029" s="83"/>
      <c r="AO2029" s="83"/>
      <c r="AP2029" s="83"/>
      <c r="AQ2029" s="83"/>
      <c r="AR2029" s="83"/>
      <c r="AS2029" s="83"/>
      <c r="AT2029" s="88"/>
    </row>
    <row r="2030" spans="36:46" x14ac:dyDescent="0.3">
      <c r="AJ2030" s="85"/>
      <c r="AK2030" s="85"/>
      <c r="AL2030" s="85"/>
      <c r="AM2030" s="85"/>
      <c r="AN2030" s="85"/>
      <c r="AO2030" s="85"/>
      <c r="AP2030" s="85"/>
      <c r="AQ2030" s="85"/>
      <c r="AR2030" s="85"/>
      <c r="AS2030" s="85"/>
      <c r="AT2030" s="85"/>
    </row>
    <row r="2031" spans="36:46" x14ac:dyDescent="0.3">
      <c r="AJ2031" s="83"/>
      <c r="AK2031" s="83"/>
      <c r="AL2031" s="83"/>
      <c r="AM2031" s="83"/>
      <c r="AN2031" s="83"/>
      <c r="AO2031" s="83"/>
      <c r="AP2031" s="83"/>
      <c r="AQ2031" s="83"/>
      <c r="AR2031" s="83"/>
      <c r="AS2031" s="83"/>
      <c r="AT2031" s="83"/>
    </row>
    <row r="2032" spans="36:46" x14ac:dyDescent="0.3">
      <c r="AJ2032" s="83"/>
      <c r="AK2032" s="83"/>
      <c r="AL2032" s="83"/>
      <c r="AM2032" s="83"/>
      <c r="AN2032" s="83"/>
      <c r="AO2032" s="83"/>
      <c r="AP2032" s="83"/>
      <c r="AQ2032" s="83"/>
      <c r="AR2032" s="83"/>
      <c r="AS2032" s="83"/>
      <c r="AT2032" s="83"/>
    </row>
    <row r="1048443" spans="42:47" x14ac:dyDescent="0.3">
      <c r="AP1048443" s="90" t="s">
        <v>1289</v>
      </c>
      <c r="AQ1048443" s="90"/>
      <c r="AR1048443" s="90"/>
      <c r="AS1048443" s="90"/>
      <c r="AT1048443" s="90"/>
      <c r="AU1048443" s="90"/>
    </row>
    <row r="1048444" spans="42:47" x14ac:dyDescent="0.3">
      <c r="AP1048444" s="196" t="s">
        <v>1284</v>
      </c>
      <c r="AQ1048444" s="196"/>
      <c r="AR1048444" s="196"/>
      <c r="AS1048444" s="39">
        <f>AVERAGEIFS(Tabela_Avaliação_Presencial[4.1 - Conhecimentos e Competências Técnicas],Tabela_Avaliação_Presencial[Nome Completo],$AJ$501)</f>
        <v>4.9375</v>
      </c>
    </row>
    <row r="1048445" spans="42:47" x14ac:dyDescent="0.3">
      <c r="AP1048445" s="197" t="s">
        <v>1285</v>
      </c>
      <c r="AQ1048445" s="197"/>
      <c r="AR1048445" s="197"/>
      <c r="AS1048445" s="39">
        <f>AVERAGEIFS(Tabela_Avaliação_Presencial[4.2 - Comunicação e Competências Pedagógicas],Tabela_Avaliação_Presencial[Nome Completo],$AJ$501)</f>
        <v>4.9375</v>
      </c>
    </row>
    <row r="1048446" spans="42:47" x14ac:dyDescent="0.3">
      <c r="AP1048446" s="197" t="s">
        <v>1286</v>
      </c>
      <c r="AQ1048446" s="197"/>
      <c r="AR1048446" s="197"/>
      <c r="AS1048446" s="39">
        <f>AVERAGEIFS(Tabela_Avaliação_Presencial[4.3 - Pontualidade],Tabela_Avaliação_Presencial[Nome Completo],$AJ$501)</f>
        <v>4.9375</v>
      </c>
    </row>
    <row r="1048447" spans="42:47" x14ac:dyDescent="0.3">
      <c r="AP1048447" s="197" t="s">
        <v>1288</v>
      </c>
      <c r="AQ1048447" s="197"/>
      <c r="AR1048447" s="197"/>
      <c r="AS1048447" s="39">
        <f>AVERAGEIFS(Tabela_Avaliação_Presencial[4.4 - Relação Formador/Formando],Tabela_Avaliação_Presencial[Nome Completo],$AJ$501)</f>
        <v>4.875</v>
      </c>
    </row>
    <row r="1048448" spans="42:47" x14ac:dyDescent="0.3">
      <c r="AP1048448" s="197" t="s">
        <v>1287</v>
      </c>
      <c r="AQ1048448" s="197"/>
      <c r="AR1048448" s="197"/>
      <c r="AS1048448" s="39">
        <f>AVERAGEIFS(Tabela_Avaliação_Presencial[4.5 - Empenhamento na Ação],Tabela_Avaliação_Presencial[Nome Completo],$AJ$501)</f>
        <v>4.9411764705882355</v>
      </c>
    </row>
    <row r="1048462" spans="42:60" x14ac:dyDescent="0.3">
      <c r="AP1048462" s="25"/>
      <c r="AQ1048462" s="91" t="s">
        <v>1272</v>
      </c>
      <c r="AR1048462" s="92"/>
      <c r="AS1048462" s="92"/>
      <c r="AT1048462" s="92"/>
      <c r="AU1048462" s="92"/>
      <c r="AV1048462" s="92"/>
      <c r="AW1048462" s="92"/>
      <c r="AX1048462" s="92"/>
      <c r="AY1048462" s="92"/>
      <c r="AZ1048462" s="92"/>
      <c r="BA1048462" s="93"/>
      <c r="BB1048462" s="26"/>
      <c r="BC1048462" s="26"/>
      <c r="BD1048462" s="26"/>
      <c r="BE1048462" s="26"/>
      <c r="BF1048462" s="26"/>
      <c r="BG1048462" s="27"/>
      <c r="BH1048462" s="15"/>
    </row>
    <row r="1048463" spans="42:60" x14ac:dyDescent="0.3">
      <c r="AP1048463" s="28"/>
      <c r="AQ1048463" s="24"/>
      <c r="AR1048463" s="24"/>
      <c r="AS1048463" s="24"/>
      <c r="AT1048463" s="24"/>
      <c r="AU1048463" s="24"/>
      <c r="AV1048463" s="24"/>
      <c r="AW1048463" s="24"/>
      <c r="AX1048463" s="24"/>
      <c r="AY1048463" s="24"/>
      <c r="AZ1048463" s="24"/>
      <c r="BA1048463" s="24"/>
      <c r="BB1048463" s="24"/>
      <c r="BC1048463" s="24"/>
      <c r="BD1048463" s="24"/>
      <c r="BE1048463" s="24"/>
      <c r="BF1048463" s="24"/>
      <c r="BG1048463" s="29"/>
      <c r="BH1048463" s="15"/>
    </row>
    <row r="1048464" spans="42:60" x14ac:dyDescent="0.3">
      <c r="AP1048464" s="28"/>
      <c r="AQ1048464" s="24"/>
      <c r="AR1048464" s="24"/>
      <c r="AS1048464" s="24"/>
      <c r="AT1048464" s="24"/>
      <c r="AU1048464" s="24"/>
      <c r="AV1048464" s="24"/>
      <c r="AW1048464" s="24"/>
      <c r="AX1048464" s="24"/>
      <c r="AY1048464" s="24"/>
      <c r="AZ1048464" s="24"/>
      <c r="BA1048464" s="24"/>
      <c r="BB1048464" s="24"/>
      <c r="BC1048464" s="24"/>
      <c r="BD1048464" s="24"/>
      <c r="BE1048464" s="24"/>
      <c r="BF1048464" s="24"/>
      <c r="BG1048464" s="29"/>
      <c r="BH1048464" s="15"/>
    </row>
    <row r="1048465" spans="42:60" x14ac:dyDescent="0.3">
      <c r="AP1048465" s="28"/>
      <c r="AQ1048465" s="185" t="s">
        <v>1279</v>
      </c>
      <c r="AR1048465" s="186"/>
      <c r="AS1048465" s="187"/>
      <c r="AT1048465" s="33">
        <f>$AK$212</f>
        <v>13</v>
      </c>
      <c r="AU1048465" s="24"/>
      <c r="AV1048465" s="24"/>
      <c r="AW1048465" s="24"/>
      <c r="AX1048465" s="24"/>
      <c r="AY1048465" s="24"/>
      <c r="AZ1048465" s="24"/>
      <c r="BA1048465" s="24"/>
      <c r="BB1048465" s="24"/>
      <c r="BC1048465" s="90" t="s">
        <v>1280</v>
      </c>
      <c r="BD1048465" s="90"/>
      <c r="BE1048465" s="90"/>
      <c r="BF1048465" s="19">
        <f>COUNTA(TAB_F_Presencial!$B$6:$B$1048576)</f>
        <v>159</v>
      </c>
      <c r="BG1048465" s="29"/>
      <c r="BH1048465" s="15"/>
    </row>
    <row r="1048466" spans="42:60" x14ac:dyDescent="0.3">
      <c r="AP1048466" s="28"/>
      <c r="AQ1048466" s="91" t="s">
        <v>1281</v>
      </c>
      <c r="AR1048466" s="92"/>
      <c r="AS1048466" s="92"/>
      <c r="AT1048466" s="92"/>
      <c r="AU1048466" s="92"/>
      <c r="AV1048466" s="92"/>
      <c r="AW1048466" s="92"/>
      <c r="AX1048466" s="92"/>
      <c r="AY1048466" s="92"/>
      <c r="AZ1048466" s="92"/>
      <c r="BA1048466" s="92"/>
      <c r="BB1048466" s="92"/>
      <c r="BC1048466" s="92"/>
      <c r="BD1048466" s="92"/>
      <c r="BE1048466" s="92"/>
      <c r="BF1048466" s="93"/>
      <c r="BG1048466" s="29"/>
      <c r="BH1048466" s="15"/>
    </row>
    <row r="1048467" spans="42:60" x14ac:dyDescent="0.3">
      <c r="AP1048467" s="28"/>
      <c r="AQ1048467" s="90" t="s">
        <v>1274</v>
      </c>
      <c r="AR1048467" s="90"/>
      <c r="AS1048467" s="90"/>
      <c r="AT1048467" s="90"/>
      <c r="AU1048467" s="90" t="s">
        <v>1275</v>
      </c>
      <c r="AV1048467" s="90"/>
      <c r="AW1048467" s="90"/>
      <c r="AX1048467" s="90"/>
      <c r="AY1048467" s="90"/>
      <c r="AZ1048467" s="90"/>
      <c r="BA1048467" s="90"/>
      <c r="BB1048467" s="13" t="s">
        <v>1276</v>
      </c>
      <c r="BC1048467" s="90" t="s">
        <v>1278</v>
      </c>
      <c r="BD1048467" s="90"/>
      <c r="BE1048467" s="90"/>
      <c r="BF1048467" s="13" t="s">
        <v>1277</v>
      </c>
      <c r="BG1048467" s="29"/>
      <c r="BH1048467" s="15"/>
    </row>
    <row r="1048468" spans="42:60" x14ac:dyDescent="0.3">
      <c r="AP1048468" s="28"/>
      <c r="AQ1048468" s="89" t="s">
        <v>36</v>
      </c>
      <c r="AR1048468" s="89"/>
      <c r="AS1048468" s="89"/>
      <c r="AT1048468" s="89"/>
      <c r="AU1048468" s="18">
        <f>IFERROR((COUNTIFS(Tabela_Geral_Presencial[Cód. Ação],Questionários_FP!$AJ$207,Tabela_Geral_Presencial[Cód. UFCD],Questionários_FP!$AJ$209,Tabela_Geral_Presencial[Como tomou conhecimento da ação?],$AQ1048468)), "")</f>
        <v>0</v>
      </c>
      <c r="AV1048468" s="18"/>
      <c r="AW1048468" s="18"/>
      <c r="AX1048468" s="18"/>
      <c r="AY1048468" s="18"/>
      <c r="AZ1048468" s="18"/>
      <c r="BA1048468" s="18"/>
      <c r="BB1048468" s="34">
        <f>$AU1048468/$AT$1048465</f>
        <v>0</v>
      </c>
      <c r="BC1048468" s="89">
        <f>IFERROR(COUNTIF(Tabela_Geral_Presencial[Como tomou conhecimento da ação?],$AQ1048468), "")</f>
        <v>0</v>
      </c>
      <c r="BD1048468" s="89"/>
      <c r="BE1048468" s="89"/>
      <c r="BF1048468" s="34">
        <f>$BC1048468/$BF$1048465</f>
        <v>0</v>
      </c>
      <c r="BG1048468" s="29"/>
      <c r="BH1048468" s="15"/>
    </row>
    <row r="1048469" spans="42:60" x14ac:dyDescent="0.3">
      <c r="AP1048469" s="28"/>
      <c r="AQ1048469" s="89" t="s">
        <v>37</v>
      </c>
      <c r="AR1048469" s="89"/>
      <c r="AS1048469" s="89"/>
      <c r="AT1048469" s="89"/>
      <c r="AU1048469" s="18">
        <f>IFERROR((COUNTIFS(Tabela_Geral_Presencial[Cód. Ação],Questionários_FP!$AJ$207,Tabela_Geral_Presencial[Cód. UFCD],Questionários_FP!$AJ$209,Tabela_Geral_Presencial[Como tomou conhecimento da ação?],$AQ1048469)), "")</f>
        <v>2</v>
      </c>
      <c r="AV1048469" s="18"/>
      <c r="AW1048469" s="18"/>
      <c r="AX1048469" s="18"/>
      <c r="AY1048469" s="18"/>
      <c r="AZ1048469" s="18"/>
      <c r="BA1048469" s="18"/>
      <c r="BB1048469" s="34">
        <f t="shared" ref="BB1048469:BB1048477" si="8">$AU1048469/$AT$1048465</f>
        <v>0.15384615384615385</v>
      </c>
      <c r="BC1048469" s="89">
        <f>IFERROR(COUNTIF(Tabela_Geral_Presencial[Como tomou conhecimento da ação?],$AQ1048469), "")</f>
        <v>76</v>
      </c>
      <c r="BD1048469" s="89"/>
      <c r="BE1048469" s="89"/>
      <c r="BF1048469" s="34">
        <f t="shared" ref="BF1048469:BF1048477" si="9">$BC1048469/$BF$1048465</f>
        <v>0.4779874213836478</v>
      </c>
      <c r="BG1048469" s="29"/>
      <c r="BH1048469" s="15"/>
    </row>
    <row r="1048470" spans="42:60" x14ac:dyDescent="0.3">
      <c r="AP1048470" s="28"/>
      <c r="AQ1048470" s="89" t="s">
        <v>1295</v>
      </c>
      <c r="AR1048470" s="89"/>
      <c r="AS1048470" s="89"/>
      <c r="AT1048470" s="89"/>
      <c r="AU1048470" s="18">
        <f>IFERROR((COUNTIFS(Tabela_Geral_Presencial[Cód. Ação],Questionários_FP!$AJ$207,Tabela_Geral_Presencial[Cód. UFCD],Questionários_FP!$AJ$209,Tabela_Geral_Presencial[Como tomou conhecimento da ação?],$AQ1048470)), "")</f>
        <v>0</v>
      </c>
      <c r="AV1048470" s="18"/>
      <c r="AW1048470" s="18"/>
      <c r="AX1048470" s="18"/>
      <c r="AY1048470" s="18"/>
      <c r="AZ1048470" s="18"/>
      <c r="BA1048470" s="18"/>
      <c r="BB1048470" s="34">
        <f t="shared" si="8"/>
        <v>0</v>
      </c>
      <c r="BC1048470" s="89">
        <f>IFERROR(COUNTIF(Tabela_Geral_Presencial[Como tomou conhecimento da ação?],$AQ1048470), "")</f>
        <v>0</v>
      </c>
      <c r="BD1048470" s="89"/>
      <c r="BE1048470" s="89"/>
      <c r="BF1048470" s="34">
        <f t="shared" si="9"/>
        <v>0</v>
      </c>
      <c r="BG1048470" s="29"/>
      <c r="BH1048470" s="15"/>
    </row>
    <row r="1048471" spans="42:60" x14ac:dyDescent="0.3">
      <c r="AP1048471" s="28"/>
      <c r="AQ1048471" s="89" t="s">
        <v>38</v>
      </c>
      <c r="AR1048471" s="89"/>
      <c r="AS1048471" s="89"/>
      <c r="AT1048471" s="89"/>
      <c r="AU1048471" s="18">
        <f>IFERROR((COUNTIFS(Tabela_Geral_Presencial[Cód. Ação],Questionários_FP!$AJ$207,Tabela_Geral_Presencial[Cód. UFCD],Questionários_FP!$AJ$209,Tabela_Geral_Presencial[Como tomou conhecimento da ação?],$AQ1048471)), "")</f>
        <v>5</v>
      </c>
      <c r="AV1048471" s="18"/>
      <c r="AW1048471" s="18"/>
      <c r="AX1048471" s="18"/>
      <c r="AY1048471" s="18"/>
      <c r="AZ1048471" s="18"/>
      <c r="BA1048471" s="18"/>
      <c r="BB1048471" s="34">
        <f t="shared" si="8"/>
        <v>0.38461538461538464</v>
      </c>
      <c r="BC1048471" s="89">
        <f>IFERROR(COUNTIF(Tabela_Geral_Presencial[Como tomou conhecimento da ação?],$AQ1048471), "")</f>
        <v>27</v>
      </c>
      <c r="BD1048471" s="89"/>
      <c r="BE1048471" s="89"/>
      <c r="BF1048471" s="34">
        <f t="shared" si="9"/>
        <v>0.16981132075471697</v>
      </c>
      <c r="BG1048471" s="29"/>
      <c r="BH1048471" s="15"/>
    </row>
    <row r="1048472" spans="42:60" x14ac:dyDescent="0.3">
      <c r="AP1048472" s="28"/>
      <c r="AQ1048472" s="89" t="s">
        <v>1219</v>
      </c>
      <c r="AR1048472" s="89"/>
      <c r="AS1048472" s="89"/>
      <c r="AT1048472" s="89"/>
      <c r="AU1048472" s="18">
        <f>IFERROR((COUNTIFS(Tabela_Geral_Presencial[Cód. Ação],Questionários_FP!$AJ$207,Tabela_Geral_Presencial[Cód. UFCD],Questionários_FP!$AJ$209,Tabela_Geral_Presencial[Como tomou conhecimento da ação?],$AQ1048472)), "")</f>
        <v>3</v>
      </c>
      <c r="AV1048472" s="18"/>
      <c r="AW1048472" s="18"/>
      <c r="AX1048472" s="18"/>
      <c r="AY1048472" s="18"/>
      <c r="AZ1048472" s="18"/>
      <c r="BA1048472" s="18"/>
      <c r="BB1048472" s="34">
        <f t="shared" si="8"/>
        <v>0.23076923076923078</v>
      </c>
      <c r="BC1048472" s="89">
        <f>IFERROR(COUNTIF(Tabela_Geral_Presencial[Como tomou conhecimento da ação?],$AQ1048472), "")</f>
        <v>18</v>
      </c>
      <c r="BD1048472" s="89"/>
      <c r="BE1048472" s="89"/>
      <c r="BF1048472" s="34">
        <f t="shared" si="9"/>
        <v>0.11320754716981132</v>
      </c>
      <c r="BG1048472" s="29"/>
      <c r="BH1048472" s="15"/>
    </row>
    <row r="1048473" spans="42:60" x14ac:dyDescent="0.3">
      <c r="AP1048473" s="28"/>
      <c r="AQ1048473" s="89" t="s">
        <v>39</v>
      </c>
      <c r="AR1048473" s="89"/>
      <c r="AS1048473" s="89"/>
      <c r="AT1048473" s="89"/>
      <c r="AU1048473" s="18">
        <f>IFERROR((COUNTIFS(Tabela_Geral_Presencial[Cód. Ação],Questionários_FP!$AJ$207,Tabela_Geral_Presencial[Cód. UFCD],Questionários_FP!$AJ$209,Tabela_Geral_Presencial[Como tomou conhecimento da ação?],$AQ1048473)), "")</f>
        <v>0</v>
      </c>
      <c r="AV1048473" s="18"/>
      <c r="AW1048473" s="18"/>
      <c r="AX1048473" s="18"/>
      <c r="AY1048473" s="18"/>
      <c r="AZ1048473" s="18"/>
      <c r="BA1048473" s="18"/>
      <c r="BB1048473" s="34">
        <f t="shared" si="8"/>
        <v>0</v>
      </c>
      <c r="BC1048473" s="89">
        <f>IFERROR(COUNTIF(Tabela_Geral_Presencial[Como tomou conhecimento da ação?],$AQ1048473), "")</f>
        <v>16</v>
      </c>
      <c r="BD1048473" s="89"/>
      <c r="BE1048473" s="89"/>
      <c r="BF1048473" s="34">
        <f t="shared" si="9"/>
        <v>0.10062893081761007</v>
      </c>
      <c r="BG1048473" s="29"/>
      <c r="BH1048473" s="15"/>
    </row>
    <row r="1048474" spans="42:60" x14ac:dyDescent="0.3">
      <c r="AP1048474" s="28"/>
      <c r="AQ1048474" s="89" t="s">
        <v>40</v>
      </c>
      <c r="AR1048474" s="89"/>
      <c r="AS1048474" s="89"/>
      <c r="AT1048474" s="89"/>
      <c r="AU1048474" s="18">
        <f>IFERROR((COUNTIFS(Tabela_Geral_Presencial[Cód. Ação],Questionários_FP!$AJ$207,Tabela_Geral_Presencial[Cód. UFCD],Questionários_FP!$AJ$209,Tabela_Geral_Presencial[Como tomou conhecimento da ação?],$AQ1048474)), "")</f>
        <v>1</v>
      </c>
      <c r="AV1048474" s="18"/>
      <c r="AW1048474" s="18"/>
      <c r="AX1048474" s="18"/>
      <c r="AY1048474" s="18"/>
      <c r="AZ1048474" s="18"/>
      <c r="BA1048474" s="18"/>
      <c r="BB1048474" s="34">
        <f t="shared" si="8"/>
        <v>7.6923076923076927E-2</v>
      </c>
      <c r="BC1048474" s="89">
        <f>IFERROR(COUNTIF(Tabela_Geral_Presencial[Como tomou conhecimento da ação?],$AQ1048474), "")</f>
        <v>3</v>
      </c>
      <c r="BD1048474" s="89"/>
      <c r="BE1048474" s="89"/>
      <c r="BF1048474" s="34">
        <f t="shared" si="9"/>
        <v>1.8867924528301886E-2</v>
      </c>
      <c r="BG1048474" s="29"/>
      <c r="BH1048474" s="15"/>
    </row>
    <row r="1048475" spans="42:60" x14ac:dyDescent="0.3">
      <c r="AP1048475" s="28"/>
      <c r="AQ1048475" s="89" t="s">
        <v>42</v>
      </c>
      <c r="AR1048475" s="89"/>
      <c r="AS1048475" s="89"/>
      <c r="AT1048475" s="89"/>
      <c r="AU1048475" s="18">
        <f>IFERROR((COUNTIFS(Tabela_Geral_Presencial[Cód. Ação],Questionários_FP!$AJ$207,Tabela_Geral_Presencial[Cód. UFCD],Questionários_FP!$AJ$209,Tabela_Geral_Presencial[Como tomou conhecimento da ação?],$AQ1048475)), "")</f>
        <v>1</v>
      </c>
      <c r="AV1048475" s="18"/>
      <c r="AW1048475" s="18"/>
      <c r="AX1048475" s="18"/>
      <c r="AY1048475" s="18"/>
      <c r="AZ1048475" s="18"/>
      <c r="BA1048475" s="18"/>
      <c r="BB1048475" s="34">
        <f t="shared" si="8"/>
        <v>7.6923076923076927E-2</v>
      </c>
      <c r="BC1048475" s="89">
        <f>IFERROR(COUNTIF(Tabela_Geral_Presencial[Como tomou conhecimento da ação?],$AQ1048475), "")</f>
        <v>1</v>
      </c>
      <c r="BD1048475" s="89"/>
      <c r="BE1048475" s="89"/>
      <c r="BF1048475" s="34">
        <f t="shared" si="9"/>
        <v>6.2893081761006293E-3</v>
      </c>
      <c r="BG1048475" s="29"/>
      <c r="BH1048475" s="15"/>
    </row>
    <row r="1048476" spans="42:60" x14ac:dyDescent="0.3">
      <c r="AP1048476" s="28"/>
      <c r="AQ1048476" s="89" t="s">
        <v>41</v>
      </c>
      <c r="AR1048476" s="89"/>
      <c r="AS1048476" s="89"/>
      <c r="AT1048476" s="89"/>
      <c r="AU1048476" s="18">
        <f>IFERROR((COUNTIFS(Tabela_Geral_Presencial[Cód. Ação],Questionários_FP!$AJ$207,Tabela_Geral_Presencial[Cód. UFCD],Questionários_FP!$AJ$209,Tabela_Geral_Presencial[Como tomou conhecimento da ação?],$AQ1048476)), "")</f>
        <v>0</v>
      </c>
      <c r="AV1048476" s="18"/>
      <c r="AW1048476" s="18"/>
      <c r="AX1048476" s="18"/>
      <c r="AY1048476" s="18"/>
      <c r="AZ1048476" s="18"/>
      <c r="BA1048476" s="18"/>
      <c r="BB1048476" s="34">
        <f t="shared" si="8"/>
        <v>0</v>
      </c>
      <c r="BC1048476" s="89">
        <f>IFERROR(COUNTIF(Tabela_Geral_Presencial[Como tomou conhecimento da ação?],$AQ1048476), "")</f>
        <v>13</v>
      </c>
      <c r="BD1048476" s="89"/>
      <c r="BE1048476" s="89"/>
      <c r="BF1048476" s="34">
        <f t="shared" si="9"/>
        <v>8.1761006289308172E-2</v>
      </c>
      <c r="BG1048476" s="29"/>
      <c r="BH1048476" s="15"/>
    </row>
    <row r="1048477" spans="42:60" x14ac:dyDescent="0.3">
      <c r="AP1048477" s="28"/>
      <c r="AQ1048477" s="89" t="s">
        <v>1273</v>
      </c>
      <c r="AR1048477" s="89"/>
      <c r="AS1048477" s="89"/>
      <c r="AT1048477" s="89"/>
      <c r="AU1048477" s="18">
        <f>IF(SUM($AU$1048468:$BA$1048476) &lt; $AT$1048465, $AT$1048465 - SUM($AU$1048468:$BA$1048476), 0)</f>
        <v>1</v>
      </c>
      <c r="AV1048477" s="18"/>
      <c r="AW1048477" s="18"/>
      <c r="AX1048477" s="18"/>
      <c r="AY1048477" s="18"/>
      <c r="AZ1048477" s="18"/>
      <c r="BA1048477" s="18"/>
      <c r="BB1048477" s="34">
        <f t="shared" si="8"/>
        <v>7.6923076923076927E-2</v>
      </c>
      <c r="BC1048477" s="89">
        <f>$BF$1048465 - SUM($BC$1048468:$BE$1048476)</f>
        <v>5</v>
      </c>
      <c r="BD1048477" s="89"/>
      <c r="BE1048477" s="89"/>
      <c r="BF1048477" s="34">
        <f t="shared" si="9"/>
        <v>3.1446540880503145E-2</v>
      </c>
      <c r="BG1048477" s="29"/>
      <c r="BH1048477" s="15"/>
    </row>
    <row r="1048478" spans="42:60" x14ac:dyDescent="0.3">
      <c r="AP1048478" s="28"/>
      <c r="AQ1048478" s="24"/>
      <c r="AR1048478" s="24"/>
      <c r="AS1048478" s="24"/>
      <c r="AT1048478" s="24"/>
      <c r="AU1048478" s="24"/>
      <c r="AV1048478" s="24"/>
      <c r="AW1048478" s="24"/>
      <c r="AX1048478" s="24"/>
      <c r="AY1048478" s="24"/>
      <c r="AZ1048478" s="24"/>
      <c r="BA1048478" s="24"/>
      <c r="BB1048478" s="24"/>
      <c r="BC1048478" s="24"/>
      <c r="BD1048478" s="24"/>
      <c r="BE1048478" s="24"/>
      <c r="BF1048478" s="24"/>
      <c r="BG1048478" s="29"/>
      <c r="BH1048478" s="15"/>
    </row>
    <row r="1048479" spans="42:60" x14ac:dyDescent="0.3">
      <c r="AP1048479" s="28"/>
      <c r="AQ1048479" s="24"/>
      <c r="AR1048479" s="24"/>
      <c r="AS1048479" s="24"/>
      <c r="AT1048479" s="24"/>
      <c r="AU1048479" s="24"/>
      <c r="AV1048479" s="24"/>
      <c r="AW1048479" s="24"/>
      <c r="AX1048479" s="24"/>
      <c r="AY1048479" s="24"/>
      <c r="AZ1048479" s="24"/>
      <c r="BA1048479" s="24"/>
      <c r="BB1048479" s="24"/>
      <c r="BC1048479" s="24"/>
      <c r="BD1048479" s="24"/>
      <c r="BE1048479" s="24"/>
      <c r="BF1048479" s="24"/>
      <c r="BG1048479" s="29"/>
      <c r="BH1048479" s="15"/>
    </row>
    <row r="1048480" spans="42:60" x14ac:dyDescent="0.3">
      <c r="AP1048480" s="28"/>
      <c r="AQ1048480" s="24"/>
      <c r="AR1048480" s="24"/>
      <c r="AS1048480" s="24"/>
      <c r="AT1048480" s="24"/>
      <c r="AU1048480" s="24"/>
      <c r="AV1048480" s="24"/>
      <c r="AW1048480" s="24"/>
      <c r="AX1048480" s="24"/>
      <c r="AY1048480" s="24"/>
      <c r="AZ1048480" s="24"/>
      <c r="BA1048480" s="24"/>
      <c r="BB1048480" s="24"/>
      <c r="BC1048480" s="24"/>
      <c r="BD1048480" s="24"/>
      <c r="BE1048480" s="24"/>
      <c r="BF1048480" s="24"/>
      <c r="BG1048480" s="29"/>
      <c r="BH1048480" s="15"/>
    </row>
    <row r="1048481" spans="42:60" x14ac:dyDescent="0.3">
      <c r="AP1048481" s="28"/>
      <c r="AQ1048481" s="24"/>
      <c r="AR1048481" s="24"/>
      <c r="AS1048481" s="24"/>
      <c r="AT1048481" s="24"/>
      <c r="AU1048481" s="24"/>
      <c r="AV1048481" s="24"/>
      <c r="AW1048481" s="24"/>
      <c r="AX1048481" s="24"/>
      <c r="AY1048481" s="24"/>
      <c r="AZ1048481" s="24"/>
      <c r="BA1048481" s="24"/>
      <c r="BB1048481" s="24"/>
      <c r="BC1048481" s="24"/>
      <c r="BD1048481" s="24"/>
      <c r="BE1048481" s="24"/>
      <c r="BF1048481" s="24"/>
      <c r="BG1048481" s="29"/>
      <c r="BH1048481" s="15"/>
    </row>
    <row r="1048482" spans="42:60" x14ac:dyDescent="0.3">
      <c r="AP1048482" s="28"/>
      <c r="AQ1048482" s="24"/>
      <c r="AR1048482" s="24"/>
      <c r="AS1048482" s="24"/>
      <c r="AT1048482" s="24"/>
      <c r="AU1048482" s="24"/>
      <c r="AV1048482" s="24"/>
      <c r="AW1048482" s="24"/>
      <c r="AX1048482" s="24"/>
      <c r="AY1048482" s="24"/>
      <c r="AZ1048482" s="24"/>
      <c r="BA1048482" s="24"/>
      <c r="BB1048482" s="24"/>
      <c r="BC1048482" s="24"/>
      <c r="BD1048482" s="24"/>
      <c r="BE1048482" s="24"/>
      <c r="BF1048482" s="24"/>
      <c r="BG1048482" s="29"/>
      <c r="BH1048482" s="15"/>
    </row>
    <row r="1048483" spans="42:60" x14ac:dyDescent="0.3">
      <c r="AP1048483" s="28"/>
      <c r="AQ1048483" s="24"/>
      <c r="AR1048483" s="24"/>
      <c r="AS1048483" s="24"/>
      <c r="AT1048483" s="24"/>
      <c r="AU1048483" s="24"/>
      <c r="AV1048483" s="24"/>
      <c r="AW1048483" s="24"/>
      <c r="AX1048483" s="24"/>
      <c r="AY1048483" s="24"/>
      <c r="AZ1048483" s="24"/>
      <c r="BA1048483" s="24"/>
      <c r="BB1048483" s="24"/>
      <c r="BC1048483" s="24"/>
      <c r="BD1048483" s="24"/>
      <c r="BE1048483" s="24"/>
      <c r="BF1048483" s="24"/>
      <c r="BG1048483" s="29"/>
      <c r="BH1048483" s="15"/>
    </row>
    <row r="1048484" spans="42:60" x14ac:dyDescent="0.3">
      <c r="AP1048484" s="28"/>
      <c r="AQ1048484" s="24"/>
      <c r="AR1048484" s="24"/>
      <c r="AS1048484" s="24"/>
      <c r="AT1048484" s="24"/>
      <c r="AU1048484" s="24"/>
      <c r="AV1048484" s="24"/>
      <c r="AW1048484" s="24"/>
      <c r="AX1048484" s="24"/>
      <c r="AY1048484" s="24"/>
      <c r="AZ1048484" s="24"/>
      <c r="BA1048484" s="24"/>
      <c r="BB1048484" s="24"/>
      <c r="BC1048484" s="24"/>
      <c r="BD1048484" s="24"/>
      <c r="BE1048484" s="24"/>
      <c r="BF1048484" s="24"/>
      <c r="BG1048484" s="29"/>
      <c r="BH1048484" s="15"/>
    </row>
    <row r="1048485" spans="42:60" x14ac:dyDescent="0.3">
      <c r="AP1048485" s="28"/>
      <c r="AQ1048485" s="24"/>
      <c r="AR1048485" s="24"/>
      <c r="AS1048485" s="24"/>
      <c r="AT1048485" s="24"/>
      <c r="AU1048485" s="24"/>
      <c r="AV1048485" s="24"/>
      <c r="AW1048485" s="24"/>
      <c r="AX1048485" s="24"/>
      <c r="AY1048485" s="24"/>
      <c r="AZ1048485" s="24"/>
      <c r="BA1048485" s="24"/>
      <c r="BB1048485" s="24"/>
      <c r="BC1048485" s="24"/>
      <c r="BD1048485" s="24"/>
      <c r="BE1048485" s="24"/>
      <c r="BF1048485" s="24"/>
      <c r="BG1048485" s="29"/>
      <c r="BH1048485" s="15"/>
    </row>
    <row r="1048486" spans="42:60" x14ac:dyDescent="0.3">
      <c r="AP1048486" s="28"/>
      <c r="AQ1048486" s="24"/>
      <c r="AR1048486" s="24"/>
      <c r="AS1048486" s="24"/>
      <c r="AT1048486" s="24"/>
      <c r="AU1048486" s="24"/>
      <c r="AV1048486" s="24"/>
      <c r="AW1048486" s="24"/>
      <c r="AX1048486" s="24"/>
      <c r="AY1048486" s="24"/>
      <c r="AZ1048486" s="24"/>
      <c r="BA1048486" s="24"/>
      <c r="BB1048486" s="24"/>
      <c r="BC1048486" s="24"/>
      <c r="BD1048486" s="24"/>
      <c r="BE1048486" s="24"/>
      <c r="BF1048486" s="24"/>
      <c r="BG1048486" s="29"/>
      <c r="BH1048486" s="15"/>
    </row>
    <row r="1048487" spans="42:60" x14ac:dyDescent="0.3">
      <c r="AP1048487" s="28"/>
      <c r="AQ1048487" s="24"/>
      <c r="AR1048487" s="24"/>
      <c r="AS1048487" s="24"/>
      <c r="AT1048487" s="24"/>
      <c r="AU1048487" s="24"/>
      <c r="AV1048487" s="24"/>
      <c r="AW1048487" s="24"/>
      <c r="AX1048487" s="24"/>
      <c r="AY1048487" s="24"/>
      <c r="AZ1048487" s="24"/>
      <c r="BA1048487" s="24"/>
      <c r="BB1048487" s="24"/>
      <c r="BC1048487" s="24"/>
      <c r="BD1048487" s="24"/>
      <c r="BE1048487" s="24"/>
      <c r="BF1048487" s="24"/>
      <c r="BG1048487" s="29"/>
      <c r="BH1048487" s="15"/>
    </row>
    <row r="1048488" spans="42:60" x14ac:dyDescent="0.3">
      <c r="AP1048488" s="28"/>
      <c r="AQ1048488" s="24"/>
      <c r="AR1048488" s="24"/>
      <c r="AS1048488" s="24"/>
      <c r="AT1048488" s="24"/>
      <c r="AU1048488" s="24"/>
      <c r="AV1048488" s="24"/>
      <c r="AW1048488" s="24"/>
      <c r="AX1048488" s="24"/>
      <c r="AY1048488" s="24"/>
      <c r="AZ1048488" s="24"/>
      <c r="BA1048488" s="24"/>
      <c r="BB1048488" s="24"/>
      <c r="BC1048488" s="24"/>
      <c r="BD1048488" s="24"/>
      <c r="BE1048488" s="24"/>
      <c r="BF1048488" s="24"/>
      <c r="BG1048488" s="29"/>
      <c r="BH1048488" s="15"/>
    </row>
    <row r="1048489" spans="42:60" x14ac:dyDescent="0.3">
      <c r="AP1048489" s="28"/>
      <c r="AQ1048489" s="24"/>
      <c r="AR1048489" s="24"/>
      <c r="AS1048489" s="24"/>
      <c r="AT1048489" s="24"/>
      <c r="AU1048489" s="24"/>
      <c r="AV1048489" s="24"/>
      <c r="AW1048489" s="24"/>
      <c r="AX1048489" s="24"/>
      <c r="AY1048489" s="24"/>
      <c r="AZ1048489" s="24"/>
      <c r="BA1048489" s="24"/>
      <c r="BB1048489" s="24"/>
      <c r="BC1048489" s="24"/>
      <c r="BD1048489" s="24"/>
      <c r="BE1048489" s="24"/>
      <c r="BF1048489" s="24"/>
      <c r="BG1048489" s="29"/>
      <c r="BH1048489" s="15"/>
    </row>
    <row r="1048490" spans="42:60" x14ac:dyDescent="0.3">
      <c r="AP1048490" s="28"/>
      <c r="AQ1048490" s="24"/>
      <c r="AR1048490" s="24"/>
      <c r="AS1048490" s="24"/>
      <c r="AT1048490" s="24"/>
      <c r="AU1048490" s="24"/>
      <c r="AV1048490" s="24"/>
      <c r="AW1048490" s="24"/>
      <c r="AX1048490" s="24"/>
      <c r="AY1048490" s="24"/>
      <c r="AZ1048490" s="24"/>
      <c r="BA1048490" s="24"/>
      <c r="BB1048490" s="24"/>
      <c r="BC1048490" s="24"/>
      <c r="BD1048490" s="24"/>
      <c r="BE1048490" s="24"/>
      <c r="BF1048490" s="24"/>
      <c r="BG1048490" s="29"/>
      <c r="BH1048490" s="15"/>
    </row>
    <row r="1048491" spans="42:60" x14ac:dyDescent="0.3">
      <c r="AP1048491" s="28"/>
      <c r="AQ1048491" s="24"/>
      <c r="AR1048491" s="24"/>
      <c r="AS1048491" s="24"/>
      <c r="AT1048491" s="24"/>
      <c r="AU1048491" s="24"/>
      <c r="AV1048491" s="24"/>
      <c r="AW1048491" s="24"/>
      <c r="AX1048491" s="24"/>
      <c r="AY1048491" s="24"/>
      <c r="AZ1048491" s="24"/>
      <c r="BA1048491" s="24"/>
      <c r="BB1048491" s="24"/>
      <c r="BC1048491" s="24"/>
      <c r="BD1048491" s="24"/>
      <c r="BE1048491" s="24"/>
      <c r="BF1048491" s="24"/>
      <c r="BG1048491" s="29"/>
      <c r="BH1048491" s="15"/>
    </row>
    <row r="1048492" spans="42:60" x14ac:dyDescent="0.3">
      <c r="AP1048492" s="28"/>
      <c r="AQ1048492" s="24"/>
      <c r="AR1048492" s="24"/>
      <c r="AS1048492" s="24"/>
      <c r="AT1048492" s="24"/>
      <c r="AU1048492" s="24"/>
      <c r="AV1048492" s="24"/>
      <c r="AW1048492" s="24"/>
      <c r="AX1048492" s="24"/>
      <c r="AY1048492" s="24"/>
      <c r="AZ1048492" s="24"/>
      <c r="BA1048492" s="24"/>
      <c r="BB1048492" s="24"/>
      <c r="BC1048492" s="24"/>
      <c r="BD1048492" s="24"/>
      <c r="BE1048492" s="24"/>
      <c r="BF1048492" s="24"/>
      <c r="BG1048492" s="29"/>
      <c r="BH1048492" s="15"/>
    </row>
    <row r="1048493" spans="42:60" x14ac:dyDescent="0.3">
      <c r="AP1048493" s="28"/>
      <c r="AQ1048493" s="24"/>
      <c r="AR1048493" s="24"/>
      <c r="AS1048493" s="24"/>
      <c r="AT1048493" s="24"/>
      <c r="AU1048493" s="24"/>
      <c r="AV1048493" s="24"/>
      <c r="AW1048493" s="24"/>
      <c r="AX1048493" s="24"/>
      <c r="AY1048493" s="24"/>
      <c r="AZ1048493" s="24"/>
      <c r="BA1048493" s="24"/>
      <c r="BB1048493" s="24"/>
      <c r="BC1048493" s="24"/>
      <c r="BD1048493" s="24"/>
      <c r="BE1048493" s="24"/>
      <c r="BF1048493" s="24"/>
      <c r="BG1048493" s="29"/>
      <c r="BH1048493" s="15"/>
    </row>
    <row r="1048494" spans="42:60" x14ac:dyDescent="0.3">
      <c r="AP1048494" s="28"/>
      <c r="AQ1048494" s="24"/>
      <c r="AR1048494" s="24"/>
      <c r="AS1048494" s="24"/>
      <c r="AT1048494" s="24"/>
      <c r="AU1048494" s="24"/>
      <c r="AV1048494" s="24"/>
      <c r="AW1048494" s="24"/>
      <c r="AX1048494" s="24"/>
      <c r="AY1048494" s="24"/>
      <c r="AZ1048494" s="24"/>
      <c r="BA1048494" s="24"/>
      <c r="BB1048494" s="24"/>
      <c r="BC1048494" s="24"/>
      <c r="BD1048494" s="24"/>
      <c r="BE1048494" s="24"/>
      <c r="BF1048494" s="24"/>
      <c r="BG1048494" s="29"/>
      <c r="BH1048494" s="15"/>
    </row>
    <row r="1048495" spans="42:60" x14ac:dyDescent="0.3">
      <c r="AP1048495" s="28"/>
      <c r="AQ1048495" s="24"/>
      <c r="AR1048495" s="24"/>
      <c r="AS1048495" s="24"/>
      <c r="AT1048495" s="24"/>
      <c r="AU1048495" s="24"/>
      <c r="AV1048495" s="24"/>
      <c r="AW1048495" s="24"/>
      <c r="AX1048495" s="24"/>
      <c r="AY1048495" s="24"/>
      <c r="AZ1048495" s="24"/>
      <c r="BA1048495" s="24"/>
      <c r="BB1048495" s="24"/>
      <c r="BC1048495" s="24"/>
      <c r="BD1048495" s="24"/>
      <c r="BE1048495" s="24"/>
      <c r="BF1048495" s="24"/>
      <c r="BG1048495" s="29"/>
      <c r="BH1048495" s="15"/>
    </row>
    <row r="1048496" spans="42:60" x14ac:dyDescent="0.3">
      <c r="AP1048496" s="28"/>
      <c r="AQ1048496" s="24"/>
      <c r="AR1048496" s="24"/>
      <c r="AS1048496" s="24"/>
      <c r="AT1048496" s="24"/>
      <c r="AU1048496" s="24"/>
      <c r="AV1048496" s="24"/>
      <c r="AW1048496" s="24"/>
      <c r="AX1048496" s="24"/>
      <c r="AY1048496" s="24"/>
      <c r="AZ1048496" s="24"/>
      <c r="BA1048496" s="24"/>
      <c r="BB1048496" s="24"/>
      <c r="BC1048496" s="24"/>
      <c r="BD1048496" s="24"/>
      <c r="BE1048496" s="24"/>
      <c r="BF1048496" s="24"/>
      <c r="BG1048496" s="29"/>
      <c r="BH1048496" s="15"/>
    </row>
    <row r="1048497" spans="42:60" x14ac:dyDescent="0.3">
      <c r="AP1048497" s="28"/>
      <c r="AQ1048497" s="24"/>
      <c r="AR1048497" s="24"/>
      <c r="AS1048497" s="24"/>
      <c r="AT1048497" s="24"/>
      <c r="AU1048497" s="24"/>
      <c r="AV1048497" s="24"/>
      <c r="AW1048497" s="24"/>
      <c r="AX1048497" s="24"/>
      <c r="AY1048497" s="24"/>
      <c r="AZ1048497" s="24"/>
      <c r="BA1048497" s="24"/>
      <c r="BB1048497" s="24"/>
      <c r="BC1048497" s="24"/>
      <c r="BD1048497" s="24"/>
      <c r="BE1048497" s="24"/>
      <c r="BF1048497" s="24"/>
      <c r="BG1048497" s="29"/>
      <c r="BH1048497" s="15"/>
    </row>
    <row r="1048498" spans="42:60" x14ac:dyDescent="0.3">
      <c r="AP1048498" s="28"/>
      <c r="AQ1048498" s="24"/>
      <c r="AR1048498" s="24"/>
      <c r="AS1048498" s="24"/>
      <c r="AT1048498" s="24"/>
      <c r="AU1048498" s="24"/>
      <c r="AV1048498" s="24"/>
      <c r="AW1048498" s="24"/>
      <c r="AX1048498" s="24"/>
      <c r="AY1048498" s="24"/>
      <c r="AZ1048498" s="24"/>
      <c r="BA1048498" s="24"/>
      <c r="BB1048498" s="24"/>
      <c r="BC1048498" s="24"/>
      <c r="BD1048498" s="24"/>
      <c r="BE1048498" s="24"/>
      <c r="BF1048498" s="24"/>
      <c r="BG1048498" s="29"/>
      <c r="BH1048498" s="15"/>
    </row>
    <row r="1048499" spans="42:60" x14ac:dyDescent="0.3">
      <c r="AP1048499" s="28"/>
      <c r="AQ1048499" s="24"/>
      <c r="AR1048499" s="24"/>
      <c r="AS1048499" s="24"/>
      <c r="AT1048499" s="24"/>
      <c r="AU1048499" s="24"/>
      <c r="AV1048499" s="24"/>
      <c r="AW1048499" s="24"/>
      <c r="AX1048499" s="24"/>
      <c r="AY1048499" s="24"/>
      <c r="AZ1048499" s="24"/>
      <c r="BA1048499" s="24"/>
      <c r="BB1048499" s="24"/>
      <c r="BC1048499" s="24"/>
      <c r="BD1048499" s="24"/>
      <c r="BE1048499" s="24"/>
      <c r="BF1048499" s="24"/>
      <c r="BG1048499" s="29"/>
      <c r="BH1048499" s="15"/>
    </row>
    <row r="1048500" spans="42:60" x14ac:dyDescent="0.3">
      <c r="AP1048500" s="28"/>
      <c r="AQ1048500" s="24"/>
      <c r="AR1048500" s="24"/>
      <c r="AS1048500" s="24"/>
      <c r="AT1048500" s="24"/>
      <c r="AU1048500" s="24"/>
      <c r="AV1048500" s="24"/>
      <c r="AW1048500" s="24"/>
      <c r="AX1048500" s="24"/>
      <c r="AY1048500" s="24"/>
      <c r="AZ1048500" s="24"/>
      <c r="BA1048500" s="24"/>
      <c r="BB1048500" s="24"/>
      <c r="BC1048500" s="24"/>
      <c r="BD1048500" s="24"/>
      <c r="BE1048500" s="24"/>
      <c r="BF1048500" s="24"/>
      <c r="BG1048500" s="29"/>
      <c r="BH1048500" s="15"/>
    </row>
    <row r="1048501" spans="42:60" x14ac:dyDescent="0.3">
      <c r="AP1048501" s="28"/>
      <c r="AQ1048501" s="24"/>
      <c r="AR1048501" s="24"/>
      <c r="AS1048501" s="24"/>
      <c r="AT1048501" s="24"/>
      <c r="AU1048501" s="24"/>
      <c r="AV1048501" s="24"/>
      <c r="AW1048501" s="24"/>
      <c r="AX1048501" s="24"/>
      <c r="AY1048501" s="24"/>
      <c r="AZ1048501" s="24"/>
      <c r="BA1048501" s="24"/>
      <c r="BB1048501" s="24"/>
      <c r="BC1048501" s="24"/>
      <c r="BD1048501" s="24"/>
      <c r="BE1048501" s="24"/>
      <c r="BF1048501" s="24"/>
      <c r="BG1048501" s="29"/>
      <c r="BH1048501" s="15"/>
    </row>
    <row r="1048502" spans="42:60" x14ac:dyDescent="0.3">
      <c r="AP1048502" s="28"/>
      <c r="AQ1048502" s="24"/>
      <c r="AR1048502" s="24"/>
      <c r="AS1048502" s="24"/>
      <c r="AT1048502" s="24"/>
      <c r="AU1048502" s="24"/>
      <c r="AV1048502" s="24"/>
      <c r="AW1048502" s="24"/>
      <c r="AX1048502" s="24"/>
      <c r="AY1048502" s="24"/>
      <c r="AZ1048502" s="24"/>
      <c r="BA1048502" s="24"/>
      <c r="BB1048502" s="24"/>
      <c r="BC1048502" s="24"/>
      <c r="BD1048502" s="24"/>
      <c r="BE1048502" s="24"/>
      <c r="BF1048502" s="24"/>
      <c r="BG1048502" s="29"/>
      <c r="BH1048502" s="15"/>
    </row>
    <row r="1048503" spans="42:60" x14ac:dyDescent="0.3">
      <c r="AP1048503" s="28"/>
      <c r="AQ1048503" s="24"/>
      <c r="AR1048503" s="24"/>
      <c r="AS1048503" s="24"/>
      <c r="AT1048503" s="24"/>
      <c r="AU1048503" s="24"/>
      <c r="AV1048503" s="24"/>
      <c r="AW1048503" s="24"/>
      <c r="AX1048503" s="24"/>
      <c r="AY1048503" s="24"/>
      <c r="AZ1048503" s="24"/>
      <c r="BA1048503" s="24"/>
      <c r="BB1048503" s="24"/>
      <c r="BC1048503" s="24"/>
      <c r="BD1048503" s="24"/>
      <c r="BE1048503" s="24"/>
      <c r="BF1048503" s="24"/>
      <c r="BG1048503" s="29"/>
      <c r="BH1048503" s="15"/>
    </row>
    <row r="1048504" spans="42:60" x14ac:dyDescent="0.3">
      <c r="AP1048504" s="28"/>
      <c r="AQ1048504" s="24"/>
      <c r="AR1048504" s="24"/>
      <c r="AS1048504" s="24"/>
      <c r="AT1048504" s="24"/>
      <c r="AU1048504" s="24"/>
      <c r="AV1048504" s="24"/>
      <c r="AW1048504" s="24"/>
      <c r="AX1048504" s="24"/>
      <c r="AY1048504" s="24"/>
      <c r="AZ1048504" s="24"/>
      <c r="BA1048504" s="24"/>
      <c r="BB1048504" s="24"/>
      <c r="BC1048504" s="24"/>
      <c r="BD1048504" s="24"/>
      <c r="BE1048504" s="24"/>
      <c r="BF1048504" s="24"/>
      <c r="BG1048504" s="29"/>
      <c r="BH1048504" s="15"/>
    </row>
    <row r="1048505" spans="42:60" x14ac:dyDescent="0.3">
      <c r="AP1048505" s="28"/>
      <c r="AQ1048505" s="24"/>
      <c r="AR1048505" s="24"/>
      <c r="AS1048505" s="24"/>
      <c r="AT1048505" s="24"/>
      <c r="AU1048505" s="24"/>
      <c r="AV1048505" s="90" t="s">
        <v>1264</v>
      </c>
      <c r="AW1048505" s="90"/>
      <c r="AX1048505" s="90"/>
      <c r="AY1048505" s="90"/>
      <c r="AZ1048505" s="90"/>
      <c r="BA1048505" s="90"/>
      <c r="BB1048505" s="90"/>
      <c r="BC1048505" s="90"/>
      <c r="BD1048505" s="90"/>
      <c r="BE1048505" s="90"/>
      <c r="BF1048505" s="90"/>
      <c r="BG1048505" s="29"/>
      <c r="BH1048505" s="15"/>
    </row>
    <row r="1048506" spans="42:60" x14ac:dyDescent="0.3">
      <c r="AP1048506" s="28"/>
      <c r="AQ1048506" s="24"/>
      <c r="AR1048506" s="24"/>
      <c r="AS1048506" s="24"/>
      <c r="AT1048506" s="24"/>
      <c r="AU1048506" s="24"/>
      <c r="AV1048506" s="90" t="s">
        <v>1241</v>
      </c>
      <c r="AW1048506" s="90"/>
      <c r="AX1048506" s="90"/>
      <c r="AY1048506" s="90"/>
      <c r="AZ1048506" s="90"/>
      <c r="BA1048506" s="13" t="s">
        <v>26</v>
      </c>
      <c r="BB1048506" s="13" t="s">
        <v>1237</v>
      </c>
      <c r="BC1048506" s="90" t="s">
        <v>1270</v>
      </c>
      <c r="BD1048506" s="90"/>
      <c r="BE1048506" s="90"/>
      <c r="BF1048506" s="90"/>
      <c r="BG1048506" s="29"/>
      <c r="BH1048506" s="15"/>
    </row>
    <row r="1048507" spans="42:60" x14ac:dyDescent="0.3">
      <c r="AP1048507" s="28"/>
      <c r="AQ1048507" s="24"/>
      <c r="AR1048507" s="24"/>
      <c r="AS1048507" s="24"/>
      <c r="AT1048507" s="24"/>
      <c r="AU1048507" s="24"/>
      <c r="AV1048507" s="89" t="str">
        <f>IF($AO$207 = 0,"",AO207)</f>
        <v>Pedro Dos Santos Vicente</v>
      </c>
      <c r="AW1048507" s="89"/>
      <c r="AX1048507" s="89"/>
      <c r="AY1048507" s="89"/>
      <c r="AZ1048507" s="89"/>
      <c r="BA1048507" s="19" t="s">
        <v>1265</v>
      </c>
      <c r="BB1048507" s="20">
        <f>AM233</f>
        <v>4.8461538461538458</v>
      </c>
      <c r="BC1048507" s="21">
        <f>AVERAGE(Tabela_Avaliação_Presencial[4.1 - Conhecimentos e Competências Técnicas])</f>
        <v>4.924050632911392</v>
      </c>
      <c r="BD1048507" s="22"/>
      <c r="BE1048507" s="22"/>
      <c r="BF1048507" s="23"/>
      <c r="BG1048507" s="29"/>
      <c r="BH1048507" s="15"/>
    </row>
    <row r="1048508" spans="42:60" x14ac:dyDescent="0.3">
      <c r="AP1048508" s="28"/>
      <c r="AQ1048508" s="24"/>
      <c r="AR1048508" s="24"/>
      <c r="AS1048508" s="24"/>
      <c r="AT1048508" s="24"/>
      <c r="AU1048508" s="24"/>
      <c r="AV1048508" s="89"/>
      <c r="AW1048508" s="89"/>
      <c r="AX1048508" s="89"/>
      <c r="AY1048508" s="89"/>
      <c r="AZ1048508" s="89"/>
      <c r="BA1048508" s="19" t="s">
        <v>1266</v>
      </c>
      <c r="BB1048508" s="20">
        <f>AM240</f>
        <v>4.7692307692307692</v>
      </c>
      <c r="BC1048508" s="21">
        <f>AVERAGE(Tabela_Avaliação_Presencial[4.2 - Comunicação e Competências Pedagógicas])</f>
        <v>4.924050632911392</v>
      </c>
      <c r="BD1048508" s="22"/>
      <c r="BE1048508" s="22"/>
      <c r="BF1048508" s="23"/>
      <c r="BG1048508" s="29"/>
      <c r="BH1048508" s="15"/>
    </row>
    <row r="1048509" spans="42:60" x14ac:dyDescent="0.3">
      <c r="AP1048509" s="28"/>
      <c r="AQ1048509" s="24"/>
      <c r="AR1048509" s="24"/>
      <c r="AS1048509" s="24"/>
      <c r="AT1048509" s="24"/>
      <c r="AU1048509" s="24"/>
      <c r="AV1048509" s="89"/>
      <c r="AW1048509" s="89"/>
      <c r="AX1048509" s="89"/>
      <c r="AY1048509" s="89"/>
      <c r="AZ1048509" s="89"/>
      <c r="BA1048509" s="19" t="s">
        <v>1267</v>
      </c>
      <c r="BB1048509" s="20">
        <f>AM247</f>
        <v>4.8461538461538458</v>
      </c>
      <c r="BC1048509" s="21">
        <f>AVERAGE(Tabela_Avaliação_Presencial[4.3 - Pontualidade])</f>
        <v>4.924050632911392</v>
      </c>
      <c r="BD1048509" s="22"/>
      <c r="BE1048509" s="22"/>
      <c r="BF1048509" s="23"/>
      <c r="BG1048509" s="29"/>
      <c r="BH1048509" s="15"/>
    </row>
    <row r="1048510" spans="42:60" x14ac:dyDescent="0.3">
      <c r="AP1048510" s="28"/>
      <c r="AQ1048510" s="24"/>
      <c r="AR1048510" s="24"/>
      <c r="AS1048510" s="24"/>
      <c r="AT1048510" s="24"/>
      <c r="AU1048510" s="24"/>
      <c r="AV1048510" s="89"/>
      <c r="AW1048510" s="89"/>
      <c r="AX1048510" s="89"/>
      <c r="AY1048510" s="89"/>
      <c r="AZ1048510" s="89"/>
      <c r="BA1048510" s="19" t="s">
        <v>1268</v>
      </c>
      <c r="BB1048510" s="20">
        <f>AM254</f>
        <v>4.9230769230769234</v>
      </c>
      <c r="BC1048510" s="21">
        <f>AVERAGE(Tabela_Avaliação_Presencial[4.4 - Relação Formador/Formando])</f>
        <v>4.9303797468354427</v>
      </c>
      <c r="BD1048510" s="22"/>
      <c r="BE1048510" s="22"/>
      <c r="BF1048510" s="23"/>
      <c r="BG1048510" s="29"/>
      <c r="BH1048510" s="15"/>
    </row>
    <row r="1048511" spans="42:60" x14ac:dyDescent="0.3">
      <c r="AP1048511" s="28"/>
      <c r="AQ1048511" s="24"/>
      <c r="AR1048511" s="24"/>
      <c r="AS1048511" s="24"/>
      <c r="AT1048511" s="24"/>
      <c r="AU1048511" s="24"/>
      <c r="AV1048511" s="89"/>
      <c r="AW1048511" s="89"/>
      <c r="AX1048511" s="89"/>
      <c r="AY1048511" s="89"/>
      <c r="AZ1048511" s="89"/>
      <c r="BA1048511" s="19" t="s">
        <v>1269</v>
      </c>
      <c r="BB1048511" s="20">
        <f>AM261</f>
        <v>4.9230769230769234</v>
      </c>
      <c r="BC1048511" s="21">
        <f>AVERAGE(Tabela_Avaliação_Presencial[4.5 - Empenhamento na Ação])</f>
        <v>4.9371069182389933</v>
      </c>
      <c r="BD1048511" s="22"/>
      <c r="BE1048511" s="22"/>
      <c r="BF1048511" s="23"/>
      <c r="BG1048511" s="29"/>
      <c r="BH1048511" s="15"/>
    </row>
    <row r="1048512" spans="42:60" hidden="1" x14ac:dyDescent="0.3">
      <c r="AP1048512" s="28"/>
      <c r="AQ1048512" s="24"/>
      <c r="AR1048512" s="24"/>
      <c r="AS1048512" s="24"/>
      <c r="AT1048512" s="24"/>
      <c r="AU1048512" s="24"/>
      <c r="AV1048512" s="89" t="str">
        <f>IF($AO$208 = 0, "", AO208)</f>
        <v/>
      </c>
      <c r="AW1048512" s="89"/>
      <c r="AX1048512" s="89"/>
      <c r="AY1048512" s="89"/>
      <c r="AZ1048512" s="89"/>
      <c r="BA1048512" s="19" t="s">
        <v>1265</v>
      </c>
      <c r="BB1048512" s="20" t="str">
        <f>AM234</f>
        <v/>
      </c>
      <c r="BC1048512" s="21">
        <f>AVERAGE(Tabela_Avaliação_Presencial[4.1 - Conhecimentos e Competências Técnicas])</f>
        <v>4.924050632911392</v>
      </c>
      <c r="BD1048512" s="22"/>
      <c r="BE1048512" s="22"/>
      <c r="BF1048512" s="23"/>
      <c r="BG1048512" s="29"/>
      <c r="BH1048512" s="15"/>
    </row>
    <row r="1048513" spans="42:60" hidden="1" x14ac:dyDescent="0.3">
      <c r="AP1048513" s="28"/>
      <c r="AQ1048513" s="24"/>
      <c r="AR1048513" s="24"/>
      <c r="AS1048513" s="24"/>
      <c r="AT1048513" s="24"/>
      <c r="AU1048513" s="24"/>
      <c r="AV1048513" s="89"/>
      <c r="AW1048513" s="89"/>
      <c r="AX1048513" s="89"/>
      <c r="AY1048513" s="89"/>
      <c r="AZ1048513" s="89"/>
      <c r="BA1048513" s="19" t="s">
        <v>1266</v>
      </c>
      <c r="BB1048513" s="20" t="str">
        <f>AM241</f>
        <v/>
      </c>
      <c r="BC1048513" s="21">
        <f>AVERAGE(Tabela_Avaliação_Presencial[4.2 - Comunicação e Competências Pedagógicas])</f>
        <v>4.924050632911392</v>
      </c>
      <c r="BD1048513" s="22"/>
      <c r="BE1048513" s="22"/>
      <c r="BF1048513" s="23"/>
      <c r="BG1048513" s="29"/>
      <c r="BH1048513" s="15"/>
    </row>
    <row r="1048514" spans="42:60" hidden="1" x14ac:dyDescent="0.3">
      <c r="AP1048514" s="28"/>
      <c r="AQ1048514" s="24"/>
      <c r="AR1048514" s="24"/>
      <c r="AS1048514" s="24"/>
      <c r="AT1048514" s="24"/>
      <c r="AU1048514" s="24"/>
      <c r="AV1048514" s="89"/>
      <c r="AW1048514" s="89"/>
      <c r="AX1048514" s="89"/>
      <c r="AY1048514" s="89"/>
      <c r="AZ1048514" s="89"/>
      <c r="BA1048514" s="19" t="s">
        <v>1267</v>
      </c>
      <c r="BB1048514" s="20" t="str">
        <f>AM248</f>
        <v/>
      </c>
      <c r="BC1048514" s="21">
        <f>AVERAGE(Tabela_Avaliação_Presencial[4.3 - Pontualidade])</f>
        <v>4.924050632911392</v>
      </c>
      <c r="BD1048514" s="22"/>
      <c r="BE1048514" s="22"/>
      <c r="BF1048514" s="23"/>
      <c r="BG1048514" s="29"/>
      <c r="BH1048514" s="15"/>
    </row>
    <row r="1048515" spans="42:60" hidden="1" x14ac:dyDescent="0.3">
      <c r="AP1048515" s="28"/>
      <c r="AQ1048515" s="24"/>
      <c r="AR1048515" s="24"/>
      <c r="AS1048515" s="24"/>
      <c r="AT1048515" s="24"/>
      <c r="AU1048515" s="24"/>
      <c r="AV1048515" s="89"/>
      <c r="AW1048515" s="89"/>
      <c r="AX1048515" s="89"/>
      <c r="AY1048515" s="89"/>
      <c r="AZ1048515" s="89"/>
      <c r="BA1048515" s="19" t="s">
        <v>1268</v>
      </c>
      <c r="BB1048515" s="20" t="str">
        <f>AM255</f>
        <v/>
      </c>
      <c r="BC1048515" s="21">
        <f>AVERAGE(Tabela_Avaliação_Presencial[4.4 - Relação Formador/Formando])</f>
        <v>4.9303797468354427</v>
      </c>
      <c r="BD1048515" s="22"/>
      <c r="BE1048515" s="22"/>
      <c r="BF1048515" s="23"/>
      <c r="BG1048515" s="29"/>
      <c r="BH1048515" s="15"/>
    </row>
    <row r="1048516" spans="42:60" hidden="1" x14ac:dyDescent="0.3">
      <c r="AP1048516" s="28"/>
      <c r="AQ1048516" s="24"/>
      <c r="AR1048516" s="24"/>
      <c r="AS1048516" s="24"/>
      <c r="AT1048516" s="24"/>
      <c r="AU1048516" s="24"/>
      <c r="AV1048516" s="89"/>
      <c r="AW1048516" s="89"/>
      <c r="AX1048516" s="89"/>
      <c r="AY1048516" s="89"/>
      <c r="AZ1048516" s="89"/>
      <c r="BA1048516" s="19" t="s">
        <v>1269</v>
      </c>
      <c r="BB1048516" s="20" t="str">
        <f>AM262</f>
        <v/>
      </c>
      <c r="BC1048516" s="21">
        <f>AVERAGE(Tabela_Avaliação_Presencial[4.5 - Empenhamento na Ação])</f>
        <v>4.9371069182389933</v>
      </c>
      <c r="BD1048516" s="22"/>
      <c r="BE1048516" s="22"/>
      <c r="BF1048516" s="23"/>
      <c r="BG1048516" s="29"/>
      <c r="BH1048516" s="15"/>
    </row>
    <row r="1048517" spans="42:60" ht="17.25" hidden="1" customHeight="1" x14ac:dyDescent="0.3">
      <c r="AP1048517" s="28"/>
      <c r="AQ1048517" s="24"/>
      <c r="AR1048517" s="24"/>
      <c r="AS1048517" s="24"/>
      <c r="AT1048517" s="24"/>
      <c r="AU1048517" s="24"/>
      <c r="AV1048517" s="89" t="str">
        <f>IF($AO$209 = 0, "", AO209)</f>
        <v/>
      </c>
      <c r="AW1048517" s="89"/>
      <c r="AX1048517" s="89"/>
      <c r="AY1048517" s="89"/>
      <c r="AZ1048517" s="89"/>
      <c r="BA1048517" s="19" t="s">
        <v>1265</v>
      </c>
      <c r="BB1048517" s="20" t="str">
        <f>AM235</f>
        <v/>
      </c>
      <c r="BC1048517" s="21">
        <f>AVERAGE(Tabela_Avaliação_Presencial[4.1 - Conhecimentos e Competências Técnicas])</f>
        <v>4.924050632911392</v>
      </c>
      <c r="BD1048517" s="22"/>
      <c r="BE1048517" s="22"/>
      <c r="BF1048517" s="23"/>
      <c r="BG1048517" s="29"/>
      <c r="BH1048517" s="15"/>
    </row>
    <row r="1048518" spans="42:60" ht="17.25" hidden="1" customHeight="1" x14ac:dyDescent="0.3">
      <c r="AP1048518" s="28"/>
      <c r="AQ1048518" s="24"/>
      <c r="AR1048518" s="24"/>
      <c r="AS1048518" s="24"/>
      <c r="AT1048518" s="24"/>
      <c r="AU1048518" s="24"/>
      <c r="AV1048518" s="89"/>
      <c r="AW1048518" s="89"/>
      <c r="AX1048518" s="89"/>
      <c r="AY1048518" s="89"/>
      <c r="AZ1048518" s="89"/>
      <c r="BA1048518" s="19" t="s">
        <v>1266</v>
      </c>
      <c r="BB1048518" s="20" t="str">
        <f>AM242</f>
        <v/>
      </c>
      <c r="BC1048518" s="21">
        <f>AVERAGE(Tabela_Avaliação_Presencial[4.2 - Comunicação e Competências Pedagógicas])</f>
        <v>4.924050632911392</v>
      </c>
      <c r="BD1048518" s="22"/>
      <c r="BE1048518" s="22"/>
      <c r="BF1048518" s="23"/>
      <c r="BG1048518" s="29"/>
      <c r="BH1048518" s="15"/>
    </row>
    <row r="1048519" spans="42:60" ht="17.25" hidden="1" customHeight="1" x14ac:dyDescent="0.3">
      <c r="AP1048519" s="28"/>
      <c r="AQ1048519" s="24"/>
      <c r="AR1048519" s="24"/>
      <c r="AS1048519" s="24"/>
      <c r="AT1048519" s="24"/>
      <c r="AU1048519" s="24"/>
      <c r="AV1048519" s="89"/>
      <c r="AW1048519" s="89"/>
      <c r="AX1048519" s="89"/>
      <c r="AY1048519" s="89"/>
      <c r="AZ1048519" s="89"/>
      <c r="BA1048519" s="19" t="s">
        <v>1267</v>
      </c>
      <c r="BB1048519" s="20" t="str">
        <f>AM249</f>
        <v/>
      </c>
      <c r="BC1048519" s="21">
        <f>AVERAGE(Tabela_Avaliação_Presencial[4.3 - Pontualidade])</f>
        <v>4.924050632911392</v>
      </c>
      <c r="BD1048519" s="22"/>
      <c r="BE1048519" s="22"/>
      <c r="BF1048519" s="23"/>
      <c r="BG1048519" s="29"/>
      <c r="BH1048519" s="15"/>
    </row>
    <row r="1048520" spans="42:60" ht="17.25" hidden="1" customHeight="1" x14ac:dyDescent="0.3">
      <c r="AP1048520" s="28"/>
      <c r="AQ1048520" s="24"/>
      <c r="AR1048520" s="24"/>
      <c r="AS1048520" s="24"/>
      <c r="AT1048520" s="24"/>
      <c r="AU1048520" s="24"/>
      <c r="AV1048520" s="89"/>
      <c r="AW1048520" s="89"/>
      <c r="AX1048520" s="89"/>
      <c r="AY1048520" s="89"/>
      <c r="AZ1048520" s="89"/>
      <c r="BA1048520" s="19" t="s">
        <v>1268</v>
      </c>
      <c r="BB1048520" s="20" t="str">
        <f>AM256</f>
        <v/>
      </c>
      <c r="BC1048520" s="21">
        <f>AVERAGE(Tabela_Avaliação_Presencial[4.4 - Relação Formador/Formando])</f>
        <v>4.9303797468354427</v>
      </c>
      <c r="BD1048520" s="22"/>
      <c r="BE1048520" s="22"/>
      <c r="BF1048520" s="23"/>
      <c r="BG1048520" s="29"/>
      <c r="BH1048520" s="15"/>
    </row>
    <row r="1048521" spans="42:60" ht="17.25" hidden="1" customHeight="1" x14ac:dyDescent="0.3">
      <c r="AP1048521" s="28"/>
      <c r="AQ1048521" s="24"/>
      <c r="AR1048521" s="24"/>
      <c r="AS1048521" s="24"/>
      <c r="AT1048521" s="24"/>
      <c r="AU1048521" s="24"/>
      <c r="AV1048521" s="89"/>
      <c r="AW1048521" s="89"/>
      <c r="AX1048521" s="89"/>
      <c r="AY1048521" s="89"/>
      <c r="AZ1048521" s="89"/>
      <c r="BA1048521" s="19" t="s">
        <v>1269</v>
      </c>
      <c r="BB1048521" s="20" t="str">
        <f>AM263</f>
        <v/>
      </c>
      <c r="BC1048521" s="21">
        <f>AVERAGE(Tabela_Avaliação_Presencial[4.5 - Empenhamento na Ação])</f>
        <v>4.9371069182389933</v>
      </c>
      <c r="BD1048521" s="22"/>
      <c r="BE1048521" s="22"/>
      <c r="BF1048521" s="23"/>
      <c r="BG1048521" s="29"/>
      <c r="BH1048521" s="15"/>
    </row>
    <row r="1048522" spans="42:60" ht="17.25" hidden="1" customHeight="1" x14ac:dyDescent="0.3">
      <c r="AP1048522" s="28"/>
      <c r="AQ1048522" s="24"/>
      <c r="AR1048522" s="24"/>
      <c r="AS1048522" s="24"/>
      <c r="AT1048522" s="24"/>
      <c r="AU1048522" s="24"/>
      <c r="AV1048522" s="89" t="str">
        <f>IF($AO210 = 0, "",AO210)</f>
        <v/>
      </c>
      <c r="AW1048522" s="89"/>
      <c r="AX1048522" s="89"/>
      <c r="AY1048522" s="89"/>
      <c r="AZ1048522" s="89"/>
      <c r="BA1048522" s="19" t="s">
        <v>1265</v>
      </c>
      <c r="BB1048522" s="20" t="str">
        <f>AM236</f>
        <v/>
      </c>
      <c r="BC1048522" s="21">
        <f>AVERAGE(Tabela_Avaliação_Presencial[4.1 - Conhecimentos e Competências Técnicas])</f>
        <v>4.924050632911392</v>
      </c>
      <c r="BD1048522" s="22"/>
      <c r="BE1048522" s="22"/>
      <c r="BF1048522" s="23"/>
      <c r="BG1048522" s="29"/>
      <c r="BH1048522" s="15"/>
    </row>
    <row r="1048523" spans="42:60" ht="17.25" hidden="1" customHeight="1" x14ac:dyDescent="0.3">
      <c r="AP1048523" s="28"/>
      <c r="AQ1048523" s="24"/>
      <c r="AR1048523" s="24"/>
      <c r="AS1048523" s="24"/>
      <c r="AT1048523" s="24"/>
      <c r="AU1048523" s="24"/>
      <c r="AV1048523" s="89"/>
      <c r="AW1048523" s="89"/>
      <c r="AX1048523" s="89"/>
      <c r="AY1048523" s="89"/>
      <c r="AZ1048523" s="89"/>
      <c r="BA1048523" s="19" t="s">
        <v>1266</v>
      </c>
      <c r="BB1048523" s="20" t="str">
        <f>AM243</f>
        <v/>
      </c>
      <c r="BC1048523" s="21">
        <f>AVERAGE(Tabela_Avaliação_Presencial[4.2 - Comunicação e Competências Pedagógicas])</f>
        <v>4.924050632911392</v>
      </c>
      <c r="BD1048523" s="22"/>
      <c r="BE1048523" s="22"/>
      <c r="BF1048523" s="23"/>
      <c r="BG1048523" s="29"/>
      <c r="BH1048523" s="15"/>
    </row>
    <row r="1048524" spans="42:60" ht="17.25" hidden="1" customHeight="1" x14ac:dyDescent="0.3">
      <c r="AP1048524" s="28"/>
      <c r="AQ1048524" s="24"/>
      <c r="AR1048524" s="24"/>
      <c r="AS1048524" s="24"/>
      <c r="AT1048524" s="24"/>
      <c r="AU1048524" s="24"/>
      <c r="AV1048524" s="89"/>
      <c r="AW1048524" s="89"/>
      <c r="AX1048524" s="89"/>
      <c r="AY1048524" s="89"/>
      <c r="AZ1048524" s="89"/>
      <c r="BA1048524" s="19" t="s">
        <v>1267</v>
      </c>
      <c r="BB1048524" s="20" t="str">
        <f>AM250</f>
        <v/>
      </c>
      <c r="BC1048524" s="21">
        <f>AVERAGE(Tabela_Avaliação_Presencial[4.3 - Pontualidade])</f>
        <v>4.924050632911392</v>
      </c>
      <c r="BD1048524" s="22"/>
      <c r="BE1048524" s="22"/>
      <c r="BF1048524" s="23"/>
      <c r="BG1048524" s="29"/>
      <c r="BH1048524" s="15"/>
    </row>
    <row r="1048525" spans="42:60" ht="17.25" hidden="1" customHeight="1" x14ac:dyDescent="0.3">
      <c r="AP1048525" s="28"/>
      <c r="AQ1048525" s="24"/>
      <c r="AR1048525" s="24"/>
      <c r="AS1048525" s="24"/>
      <c r="AT1048525" s="24"/>
      <c r="AU1048525" s="24"/>
      <c r="AV1048525" s="89"/>
      <c r="AW1048525" s="89"/>
      <c r="AX1048525" s="89"/>
      <c r="AY1048525" s="89"/>
      <c r="AZ1048525" s="89"/>
      <c r="BA1048525" s="19" t="s">
        <v>1268</v>
      </c>
      <c r="BB1048525" s="20" t="str">
        <f>AM257</f>
        <v/>
      </c>
      <c r="BC1048525" s="21">
        <f>AVERAGE(Tabela_Avaliação_Presencial[4.4 - Relação Formador/Formando])</f>
        <v>4.9303797468354427</v>
      </c>
      <c r="BD1048525" s="22"/>
      <c r="BE1048525" s="22"/>
      <c r="BF1048525" s="23"/>
      <c r="BG1048525" s="29"/>
      <c r="BH1048525" s="15"/>
    </row>
    <row r="1048526" spans="42:60" ht="17.25" hidden="1" customHeight="1" x14ac:dyDescent="0.3">
      <c r="AP1048526" s="28"/>
      <c r="AQ1048526" s="24"/>
      <c r="AR1048526" s="24"/>
      <c r="AS1048526" s="24"/>
      <c r="AT1048526" s="24"/>
      <c r="AU1048526" s="24"/>
      <c r="AV1048526" s="89"/>
      <c r="AW1048526" s="89"/>
      <c r="AX1048526" s="89"/>
      <c r="AY1048526" s="89"/>
      <c r="AZ1048526" s="89"/>
      <c r="BA1048526" s="19" t="s">
        <v>1269</v>
      </c>
      <c r="BB1048526" s="20" t="str">
        <f>AM264</f>
        <v/>
      </c>
      <c r="BC1048526" s="21">
        <f>AVERAGE(Tabela_Avaliação_Presencial[4.5 - Empenhamento na Ação])</f>
        <v>4.9371069182389933</v>
      </c>
      <c r="BD1048526" s="22"/>
      <c r="BE1048526" s="22"/>
      <c r="BF1048526" s="23"/>
      <c r="BG1048526" s="29"/>
      <c r="BH1048526" s="15"/>
    </row>
    <row r="1048527" spans="42:60" ht="17.25" hidden="1" customHeight="1" x14ac:dyDescent="0.3">
      <c r="AP1048527" s="28"/>
      <c r="AQ1048527" s="24"/>
      <c r="AR1048527" s="24"/>
      <c r="AS1048527" s="24"/>
      <c r="AT1048527" s="24"/>
      <c r="AU1048527" s="24"/>
      <c r="AV1048527" s="89" t="str">
        <f>IF($AO211 = 0, "",AO211)</f>
        <v/>
      </c>
      <c r="AW1048527" s="89"/>
      <c r="AX1048527" s="89"/>
      <c r="AY1048527" s="89"/>
      <c r="AZ1048527" s="89"/>
      <c r="BA1048527" s="19" t="s">
        <v>1265</v>
      </c>
      <c r="BB1048527" s="20" t="str">
        <f>AM237</f>
        <v/>
      </c>
      <c r="BC1048527" s="21">
        <f>AVERAGE(Tabela_Avaliação_Presencial[4.1 - Conhecimentos e Competências Técnicas])</f>
        <v>4.924050632911392</v>
      </c>
      <c r="BD1048527" s="22"/>
      <c r="BE1048527" s="22"/>
      <c r="BF1048527" s="23"/>
      <c r="BG1048527" s="29"/>
      <c r="BH1048527" s="15"/>
    </row>
    <row r="1048528" spans="42:60" ht="17.25" hidden="1" customHeight="1" x14ac:dyDescent="0.3">
      <c r="AP1048528" s="28"/>
      <c r="AQ1048528" s="24"/>
      <c r="AR1048528" s="24"/>
      <c r="AS1048528" s="24"/>
      <c r="AT1048528" s="24"/>
      <c r="AU1048528" s="24"/>
      <c r="AV1048528" s="89"/>
      <c r="AW1048528" s="89"/>
      <c r="AX1048528" s="89"/>
      <c r="AY1048528" s="89"/>
      <c r="AZ1048528" s="89"/>
      <c r="BA1048528" s="19" t="s">
        <v>1266</v>
      </c>
      <c r="BB1048528" s="20" t="str">
        <f>AM244</f>
        <v/>
      </c>
      <c r="BC1048528" s="21">
        <f>AVERAGE(Tabela_Avaliação_Presencial[4.2 - Comunicação e Competências Pedagógicas])</f>
        <v>4.924050632911392</v>
      </c>
      <c r="BD1048528" s="22"/>
      <c r="BE1048528" s="22"/>
      <c r="BF1048528" s="23"/>
      <c r="BG1048528" s="29"/>
      <c r="BH1048528" s="15"/>
    </row>
    <row r="1048529" spans="42:60" ht="17.25" hidden="1" customHeight="1" x14ac:dyDescent="0.3">
      <c r="AP1048529" s="28"/>
      <c r="AQ1048529" s="24"/>
      <c r="AR1048529" s="24"/>
      <c r="AS1048529" s="24"/>
      <c r="AT1048529" s="24"/>
      <c r="AU1048529" s="24"/>
      <c r="AV1048529" s="89"/>
      <c r="AW1048529" s="89"/>
      <c r="AX1048529" s="89"/>
      <c r="AY1048529" s="89"/>
      <c r="AZ1048529" s="89"/>
      <c r="BA1048529" s="19" t="s">
        <v>1267</v>
      </c>
      <c r="BB1048529" s="20" t="str">
        <f>AM251</f>
        <v/>
      </c>
      <c r="BC1048529" s="21">
        <f>AVERAGE(Tabela_Avaliação_Presencial[4.3 - Pontualidade])</f>
        <v>4.924050632911392</v>
      </c>
      <c r="BD1048529" s="22"/>
      <c r="BE1048529" s="22"/>
      <c r="BF1048529" s="23"/>
      <c r="BG1048529" s="29"/>
      <c r="BH1048529" s="15"/>
    </row>
    <row r="1048530" spans="42:60" ht="17.25" hidden="1" customHeight="1" x14ac:dyDescent="0.3">
      <c r="AP1048530" s="28"/>
      <c r="AQ1048530" s="24"/>
      <c r="AR1048530" s="24"/>
      <c r="AS1048530" s="24"/>
      <c r="AT1048530" s="24"/>
      <c r="AU1048530" s="24"/>
      <c r="AV1048530" s="89"/>
      <c r="AW1048530" s="89"/>
      <c r="AX1048530" s="89"/>
      <c r="AY1048530" s="89"/>
      <c r="AZ1048530" s="89"/>
      <c r="BA1048530" s="19" t="s">
        <v>1268</v>
      </c>
      <c r="BB1048530" s="20" t="str">
        <f>AM258</f>
        <v/>
      </c>
      <c r="BC1048530" s="21">
        <f>AVERAGE(Tabela_Avaliação_Presencial[4.4 - Relação Formador/Formando])</f>
        <v>4.9303797468354427</v>
      </c>
      <c r="BD1048530" s="22"/>
      <c r="BE1048530" s="22"/>
      <c r="BF1048530" s="23"/>
      <c r="BG1048530" s="29"/>
      <c r="BH1048530" s="15"/>
    </row>
    <row r="1048531" spans="42:60" ht="17.25" hidden="1" customHeight="1" x14ac:dyDescent="0.3">
      <c r="AP1048531" s="28"/>
      <c r="AQ1048531" s="24"/>
      <c r="AR1048531" s="24"/>
      <c r="AS1048531" s="24"/>
      <c r="AT1048531" s="24"/>
      <c r="AU1048531" s="24"/>
      <c r="AV1048531" s="89"/>
      <c r="AW1048531" s="89"/>
      <c r="AX1048531" s="89"/>
      <c r="AY1048531" s="89"/>
      <c r="AZ1048531" s="89"/>
      <c r="BA1048531" s="19" t="s">
        <v>1269</v>
      </c>
      <c r="BB1048531" s="20" t="str">
        <f>AM265</f>
        <v/>
      </c>
      <c r="BC1048531" s="21">
        <f>AVERAGE(Tabela_Avaliação_Presencial[4.5 - Empenhamento na Ação])</f>
        <v>4.9371069182389933</v>
      </c>
      <c r="BD1048531" s="22"/>
      <c r="BE1048531" s="22"/>
      <c r="BF1048531" s="23"/>
      <c r="BG1048531" s="29"/>
      <c r="BH1048531" s="15"/>
    </row>
    <row r="1048532" spans="42:60" ht="17.25" hidden="1" customHeight="1" x14ac:dyDescent="0.3">
      <c r="AP1048532" s="28"/>
      <c r="AQ1048532" s="24"/>
      <c r="AR1048532" s="24"/>
      <c r="AS1048532" s="24"/>
      <c r="AT1048532" s="24"/>
      <c r="AU1048532" s="24"/>
      <c r="AV1048532" s="89" t="str">
        <f>IF($AO212 = 0, "",AO212)</f>
        <v/>
      </c>
      <c r="AW1048532" s="89"/>
      <c r="AX1048532" s="89"/>
      <c r="AY1048532" s="89"/>
      <c r="AZ1048532" s="89"/>
      <c r="BA1048532" s="19" t="s">
        <v>1265</v>
      </c>
      <c r="BB1048532" s="20" t="str">
        <f>AM238</f>
        <v/>
      </c>
      <c r="BC1048532" s="21">
        <f>AVERAGE(Tabela_Avaliação_Presencial[4.1 - Conhecimentos e Competências Técnicas])</f>
        <v>4.924050632911392</v>
      </c>
      <c r="BD1048532" s="22"/>
      <c r="BE1048532" s="22"/>
      <c r="BF1048532" s="23"/>
      <c r="BG1048532" s="29"/>
      <c r="BH1048532" s="15"/>
    </row>
    <row r="1048533" spans="42:60" ht="17.25" hidden="1" customHeight="1" x14ac:dyDescent="0.3">
      <c r="AP1048533" s="28"/>
      <c r="AQ1048533" s="24"/>
      <c r="AR1048533" s="24"/>
      <c r="AS1048533" s="24"/>
      <c r="AT1048533" s="24"/>
      <c r="AU1048533" s="24"/>
      <c r="AV1048533" s="89"/>
      <c r="AW1048533" s="89"/>
      <c r="AX1048533" s="89"/>
      <c r="AY1048533" s="89"/>
      <c r="AZ1048533" s="89"/>
      <c r="BA1048533" s="19" t="s">
        <v>1266</v>
      </c>
      <c r="BB1048533" s="20" t="str">
        <f>AM245</f>
        <v/>
      </c>
      <c r="BC1048533" s="21">
        <f>AVERAGE(Tabela_Avaliação_Presencial[4.2 - Comunicação e Competências Pedagógicas])</f>
        <v>4.924050632911392</v>
      </c>
      <c r="BD1048533" s="22"/>
      <c r="BE1048533" s="22"/>
      <c r="BF1048533" s="23"/>
      <c r="BG1048533" s="29"/>
      <c r="BH1048533" s="15"/>
    </row>
    <row r="1048534" spans="42:60" ht="17.25" hidden="1" customHeight="1" x14ac:dyDescent="0.3">
      <c r="AP1048534" s="28"/>
      <c r="AQ1048534" s="24"/>
      <c r="AR1048534" s="24"/>
      <c r="AS1048534" s="24"/>
      <c r="AT1048534" s="24"/>
      <c r="AU1048534" s="24"/>
      <c r="AV1048534" s="89"/>
      <c r="AW1048534" s="89"/>
      <c r="AX1048534" s="89"/>
      <c r="AY1048534" s="89"/>
      <c r="AZ1048534" s="89"/>
      <c r="BA1048534" s="19" t="s">
        <v>1267</v>
      </c>
      <c r="BB1048534" s="20" t="str">
        <f>AM252</f>
        <v/>
      </c>
      <c r="BC1048534" s="21">
        <f>AVERAGE(Tabela_Avaliação_Presencial[4.3 - Pontualidade])</f>
        <v>4.924050632911392</v>
      </c>
      <c r="BD1048534" s="22"/>
      <c r="BE1048534" s="22"/>
      <c r="BF1048534" s="23"/>
      <c r="BG1048534" s="29"/>
      <c r="BH1048534" s="15"/>
    </row>
    <row r="1048535" spans="42:60" ht="17.25" hidden="1" customHeight="1" x14ac:dyDescent="0.3">
      <c r="AP1048535" s="28"/>
      <c r="AQ1048535" s="24"/>
      <c r="AR1048535" s="24"/>
      <c r="AS1048535" s="24"/>
      <c r="AT1048535" s="24"/>
      <c r="AU1048535" s="24"/>
      <c r="AV1048535" s="89"/>
      <c r="AW1048535" s="89"/>
      <c r="AX1048535" s="89"/>
      <c r="AY1048535" s="89"/>
      <c r="AZ1048535" s="89"/>
      <c r="BA1048535" s="19" t="s">
        <v>1268</v>
      </c>
      <c r="BB1048535" s="20" t="str">
        <f>AM259</f>
        <v/>
      </c>
      <c r="BC1048535" s="21">
        <f>AVERAGE(Tabela_Avaliação_Presencial[4.4 - Relação Formador/Formando])</f>
        <v>4.9303797468354427</v>
      </c>
      <c r="BD1048535" s="22"/>
      <c r="BE1048535" s="22"/>
      <c r="BF1048535" s="23"/>
      <c r="BG1048535" s="29"/>
      <c r="BH1048535" s="15"/>
    </row>
    <row r="1048536" spans="42:60" ht="17.25" hidden="1" customHeight="1" x14ac:dyDescent="0.3">
      <c r="AP1048536" s="28"/>
      <c r="AQ1048536" s="24"/>
      <c r="AR1048536" s="24"/>
      <c r="AS1048536" s="24"/>
      <c r="AT1048536" s="24"/>
      <c r="AU1048536" s="24"/>
      <c r="AV1048536" s="89"/>
      <c r="AW1048536" s="89"/>
      <c r="AX1048536" s="89"/>
      <c r="AY1048536" s="89"/>
      <c r="AZ1048536" s="89"/>
      <c r="BA1048536" s="19" t="s">
        <v>1269</v>
      </c>
      <c r="BB1048536" s="20" t="str">
        <f>AM266</f>
        <v/>
      </c>
      <c r="BC1048536" s="21">
        <f>AVERAGE(Tabela_Avaliação_Presencial[4.5 - Empenhamento na Ação])</f>
        <v>4.9371069182389933</v>
      </c>
      <c r="BD1048536" s="22"/>
      <c r="BE1048536" s="22"/>
      <c r="BF1048536" s="23"/>
      <c r="BG1048536" s="29"/>
      <c r="BH1048536" s="15"/>
    </row>
    <row r="1048537" spans="42:60" x14ac:dyDescent="0.3">
      <c r="AP1048537" s="28"/>
      <c r="AQ1048537" s="24"/>
      <c r="AR1048537" s="24"/>
      <c r="AS1048537" s="24"/>
      <c r="AT1048537" s="24"/>
      <c r="AU1048537" s="24"/>
      <c r="AV1048537" s="24"/>
      <c r="AW1048537" s="24"/>
      <c r="AX1048537" s="24"/>
      <c r="AY1048537" s="24"/>
      <c r="AZ1048537" s="24"/>
      <c r="BA1048537" s="24"/>
      <c r="BB1048537" s="24"/>
      <c r="BC1048537" s="24"/>
      <c r="BD1048537" s="24"/>
      <c r="BE1048537" s="24"/>
      <c r="BF1048537" s="24"/>
      <c r="BG1048537" s="29"/>
      <c r="BH1048537" s="15"/>
    </row>
    <row r="1048538" spans="42:60" x14ac:dyDescent="0.3">
      <c r="AP1048538" s="28"/>
      <c r="AQ1048538" s="24"/>
      <c r="AR1048538" s="24"/>
      <c r="AS1048538" s="24"/>
      <c r="AT1048538" s="24"/>
      <c r="AU1048538" s="24"/>
      <c r="AV1048538" s="24"/>
      <c r="AW1048538" s="24"/>
      <c r="AX1048538" s="24"/>
      <c r="AY1048538" s="24"/>
      <c r="AZ1048538" s="24"/>
      <c r="BA1048538" s="24"/>
      <c r="BB1048538" s="24"/>
      <c r="BC1048538" s="24"/>
      <c r="BD1048538" s="24"/>
      <c r="BE1048538" s="24"/>
      <c r="BF1048538" s="24"/>
      <c r="BG1048538" s="29"/>
      <c r="BH1048538" s="15"/>
    </row>
    <row r="1048539" spans="42:60" x14ac:dyDescent="0.3">
      <c r="AP1048539" s="28"/>
      <c r="AQ1048539" s="24"/>
      <c r="AR1048539" s="24"/>
      <c r="AS1048539" s="24"/>
      <c r="AT1048539" s="24"/>
      <c r="AU1048539" s="24"/>
      <c r="AV1048539" s="24"/>
      <c r="AW1048539" s="24"/>
      <c r="AX1048539" s="24"/>
      <c r="AY1048539" s="24"/>
      <c r="AZ1048539" s="24"/>
      <c r="BA1048539" s="24"/>
      <c r="BB1048539" s="24"/>
      <c r="BC1048539" s="24"/>
      <c r="BD1048539" s="24"/>
      <c r="BE1048539" s="24"/>
      <c r="BF1048539" s="24"/>
      <c r="BG1048539" s="29"/>
      <c r="BH1048539" s="15"/>
    </row>
    <row r="1048540" spans="42:60" x14ac:dyDescent="0.3">
      <c r="AP1048540" s="28"/>
      <c r="AQ1048540" s="24"/>
      <c r="AR1048540" s="24"/>
      <c r="AS1048540" s="24"/>
      <c r="AT1048540" s="24"/>
      <c r="AU1048540" s="24"/>
      <c r="AV1048540" s="24"/>
      <c r="AW1048540" s="24"/>
      <c r="AX1048540" s="24"/>
      <c r="AY1048540" s="24"/>
      <c r="AZ1048540" s="24"/>
      <c r="BA1048540" s="24"/>
      <c r="BB1048540" s="24"/>
      <c r="BC1048540" s="24"/>
      <c r="BD1048540" s="24"/>
      <c r="BE1048540" s="24"/>
      <c r="BF1048540" s="24"/>
      <c r="BG1048540" s="29"/>
      <c r="BH1048540" s="15"/>
    </row>
    <row r="1048541" spans="42:60" x14ac:dyDescent="0.3">
      <c r="AP1048541" s="28"/>
      <c r="AQ1048541" s="24"/>
      <c r="AR1048541" s="24"/>
      <c r="AS1048541" s="24"/>
      <c r="AT1048541" s="24"/>
      <c r="AU1048541" s="24"/>
      <c r="AV1048541" s="24"/>
      <c r="AW1048541" s="24"/>
      <c r="AX1048541" s="24"/>
      <c r="AY1048541" s="24"/>
      <c r="AZ1048541" s="24"/>
      <c r="BA1048541" s="24"/>
      <c r="BB1048541" s="24"/>
      <c r="BC1048541" s="24"/>
      <c r="BD1048541" s="24"/>
      <c r="BE1048541" s="24"/>
      <c r="BF1048541" s="24"/>
      <c r="BG1048541" s="29"/>
      <c r="BH1048541" s="15"/>
    </row>
    <row r="1048542" spans="42:60" x14ac:dyDescent="0.3">
      <c r="AP1048542" s="28"/>
      <c r="AQ1048542" s="24"/>
      <c r="AR1048542" s="24"/>
      <c r="AS1048542" s="24"/>
      <c r="AT1048542" s="24"/>
      <c r="AU1048542" s="24"/>
      <c r="AV1048542" s="24"/>
      <c r="AW1048542" s="24"/>
      <c r="AX1048542" s="24"/>
      <c r="AY1048542" s="24"/>
      <c r="AZ1048542" s="24"/>
      <c r="BA1048542" s="24"/>
      <c r="BB1048542" s="24"/>
      <c r="BC1048542" s="24"/>
      <c r="BD1048542" s="24"/>
      <c r="BE1048542" s="24"/>
      <c r="BF1048542" s="24"/>
      <c r="BG1048542" s="29"/>
      <c r="BH1048542" s="15"/>
    </row>
    <row r="1048543" spans="42:60" x14ac:dyDescent="0.3">
      <c r="AP1048543" s="28"/>
      <c r="AQ1048543" s="24"/>
      <c r="AR1048543" s="24"/>
      <c r="AS1048543" s="24"/>
      <c r="AT1048543" s="24"/>
      <c r="AU1048543" s="24"/>
      <c r="AV1048543" s="24"/>
      <c r="AW1048543" s="24"/>
      <c r="AX1048543" s="24"/>
      <c r="AY1048543" s="24"/>
      <c r="AZ1048543" s="24"/>
      <c r="BA1048543" s="24"/>
      <c r="BB1048543" s="24"/>
      <c r="BC1048543" s="24"/>
      <c r="BD1048543" s="24"/>
      <c r="BE1048543" s="24"/>
      <c r="BF1048543" s="24"/>
      <c r="BG1048543" s="29"/>
      <c r="BH1048543" s="15"/>
    </row>
    <row r="1048544" spans="42:60" x14ac:dyDescent="0.3">
      <c r="AP1048544" s="28"/>
      <c r="AQ1048544" s="24"/>
      <c r="AR1048544" s="24"/>
      <c r="AS1048544" s="24"/>
      <c r="AT1048544" s="24"/>
      <c r="AU1048544" s="24"/>
      <c r="AV1048544" s="24"/>
      <c r="AW1048544" s="24"/>
      <c r="AX1048544" s="24"/>
      <c r="AY1048544" s="24"/>
      <c r="AZ1048544" s="24"/>
      <c r="BA1048544" s="24"/>
      <c r="BB1048544" s="24"/>
      <c r="BC1048544" s="24"/>
      <c r="BD1048544" s="24"/>
      <c r="BE1048544" s="24"/>
      <c r="BF1048544" s="24"/>
      <c r="BG1048544" s="29"/>
      <c r="BH1048544" s="15"/>
    </row>
    <row r="1048545" spans="42:60" x14ac:dyDescent="0.3">
      <c r="AP1048545" s="28"/>
      <c r="AQ1048545" s="24"/>
      <c r="AR1048545" s="24"/>
      <c r="AS1048545" s="24"/>
      <c r="AT1048545" s="24"/>
      <c r="AU1048545" s="24"/>
      <c r="AV1048545" s="24"/>
      <c r="AW1048545" s="24"/>
      <c r="AX1048545" s="24"/>
      <c r="AY1048545" s="24"/>
      <c r="AZ1048545" s="24"/>
      <c r="BA1048545" s="24"/>
      <c r="BB1048545" s="24"/>
      <c r="BC1048545" s="24"/>
      <c r="BD1048545" s="24"/>
      <c r="BE1048545" s="24"/>
      <c r="BF1048545" s="24"/>
      <c r="BG1048545" s="29"/>
      <c r="BH1048545" s="15"/>
    </row>
    <row r="1048546" spans="42:60" x14ac:dyDescent="0.3">
      <c r="AP1048546" s="28"/>
      <c r="AQ1048546" s="24"/>
      <c r="AR1048546" s="24"/>
      <c r="AS1048546" s="24"/>
      <c r="AT1048546" s="24"/>
      <c r="AU1048546" s="24"/>
      <c r="AV1048546" s="24"/>
      <c r="AW1048546" s="24"/>
      <c r="AX1048546" s="24"/>
      <c r="AY1048546" s="24"/>
      <c r="AZ1048546" s="24"/>
      <c r="BA1048546" s="24"/>
      <c r="BB1048546" s="24"/>
      <c r="BC1048546" s="24"/>
      <c r="BD1048546" s="24"/>
      <c r="BE1048546" s="24"/>
      <c r="BF1048546" s="24"/>
      <c r="BG1048546" s="29"/>
      <c r="BH1048546" s="15"/>
    </row>
    <row r="1048547" spans="42:60" x14ac:dyDescent="0.3">
      <c r="AP1048547" s="28"/>
      <c r="AQ1048547" s="24"/>
      <c r="AR1048547" s="24"/>
      <c r="AS1048547" s="24"/>
      <c r="AT1048547" s="24"/>
      <c r="AU1048547" s="24"/>
      <c r="AV1048547" s="24"/>
      <c r="AW1048547" s="24"/>
      <c r="AX1048547" s="24"/>
      <c r="AY1048547" s="24"/>
      <c r="AZ1048547" s="24"/>
      <c r="BA1048547" s="24"/>
      <c r="BB1048547" s="24"/>
      <c r="BC1048547" s="24"/>
      <c r="BD1048547" s="24"/>
      <c r="BE1048547" s="24"/>
      <c r="BF1048547" s="24"/>
      <c r="BG1048547" s="29"/>
      <c r="BH1048547" s="15"/>
    </row>
    <row r="1048548" spans="42:60" ht="46.5" customHeight="1" x14ac:dyDescent="0.3">
      <c r="AP1048548" s="28"/>
      <c r="AQ1048548" s="24"/>
      <c r="AR1048548" s="24"/>
      <c r="AS1048548" s="24"/>
      <c r="AT1048548" s="24"/>
      <c r="AU1048548" s="24"/>
      <c r="AV1048548" s="24"/>
      <c r="AW1048548" s="24"/>
      <c r="AX1048548" s="24"/>
      <c r="AY1048548" s="24"/>
      <c r="AZ1048548" s="24"/>
      <c r="BA1048548" s="24"/>
      <c r="BB1048548" s="24"/>
      <c r="BC1048548" s="24"/>
      <c r="BD1048548" s="24"/>
      <c r="BE1048548" s="24"/>
      <c r="BF1048548" s="24"/>
      <c r="BG1048548" s="29"/>
      <c r="BH1048548" s="15"/>
    </row>
    <row r="1048549" spans="42:60" x14ac:dyDescent="0.3">
      <c r="AP1048549" s="28"/>
      <c r="AQ1048549" s="24"/>
      <c r="AR1048549" s="24"/>
      <c r="AS1048549" s="24"/>
      <c r="AT1048549" s="24"/>
      <c r="AU1048549" s="24"/>
      <c r="AV1048549" s="24"/>
      <c r="AW1048549" s="24"/>
      <c r="AX1048549" s="24"/>
      <c r="AY1048549" s="24"/>
      <c r="AZ1048549" s="24"/>
      <c r="BA1048549" s="24"/>
      <c r="BB1048549" s="24"/>
      <c r="BC1048549" s="24"/>
      <c r="BD1048549" s="24"/>
      <c r="BE1048549" s="24"/>
      <c r="BF1048549" s="24"/>
      <c r="BG1048549" s="29"/>
      <c r="BH1048549" s="15"/>
    </row>
    <row r="1048550" spans="42:60" x14ac:dyDescent="0.3">
      <c r="AP1048550" s="28"/>
      <c r="AQ1048550" s="24"/>
      <c r="AR1048550" s="24"/>
      <c r="AS1048550" s="24"/>
      <c r="AT1048550" s="24"/>
      <c r="AU1048550" s="24"/>
      <c r="AV1048550" s="24"/>
      <c r="AW1048550" s="24"/>
      <c r="AX1048550" s="24"/>
      <c r="AY1048550" s="24"/>
      <c r="AZ1048550" s="24"/>
      <c r="BA1048550" s="24"/>
      <c r="BB1048550" s="24"/>
      <c r="BC1048550" s="24"/>
      <c r="BD1048550" s="24"/>
      <c r="BE1048550" s="24"/>
      <c r="BF1048550" s="24"/>
      <c r="BG1048550" s="29"/>
      <c r="BH1048550" s="15"/>
    </row>
    <row r="1048551" spans="42:60" x14ac:dyDescent="0.3">
      <c r="AP1048551" s="28"/>
      <c r="AQ1048551" s="24"/>
      <c r="AR1048551" s="24"/>
      <c r="AS1048551" s="24"/>
      <c r="AT1048551" s="24"/>
      <c r="AU1048551" s="24"/>
      <c r="AV1048551" s="24"/>
      <c r="AW1048551" s="24"/>
      <c r="AX1048551" s="24"/>
      <c r="AY1048551" s="24"/>
      <c r="AZ1048551" s="24"/>
      <c r="BA1048551" s="24"/>
      <c r="BB1048551" s="24"/>
      <c r="BC1048551" s="24"/>
      <c r="BD1048551" s="24"/>
      <c r="BE1048551" s="24"/>
      <c r="BF1048551" s="24"/>
      <c r="BG1048551" s="29"/>
      <c r="BH1048551" s="15"/>
    </row>
    <row r="1048552" spans="42:60" x14ac:dyDescent="0.3">
      <c r="AP1048552" s="28"/>
      <c r="AQ1048552" s="24"/>
      <c r="AR1048552" s="24"/>
      <c r="AS1048552" s="24"/>
      <c r="AT1048552" s="24"/>
      <c r="AU1048552" s="24"/>
      <c r="AV1048552" s="24"/>
      <c r="AW1048552" s="24"/>
      <c r="AX1048552" s="24"/>
      <c r="AY1048552" s="24"/>
      <c r="AZ1048552" s="24"/>
      <c r="BA1048552" s="24"/>
      <c r="BB1048552" s="24"/>
      <c r="BC1048552" s="24"/>
      <c r="BD1048552" s="24"/>
      <c r="BE1048552" s="24"/>
      <c r="BF1048552" s="24"/>
      <c r="BG1048552" s="29"/>
      <c r="BH1048552" s="15"/>
    </row>
    <row r="1048553" spans="42:60" x14ac:dyDescent="0.3">
      <c r="AP1048553" s="28"/>
      <c r="AQ1048553" s="24"/>
      <c r="AR1048553" s="24"/>
      <c r="AS1048553" s="24"/>
      <c r="AT1048553" s="24"/>
      <c r="AU1048553" s="24"/>
      <c r="AV1048553" s="24"/>
      <c r="AW1048553" s="24"/>
      <c r="AX1048553" s="24"/>
      <c r="AY1048553" s="24"/>
      <c r="AZ1048553" s="24"/>
      <c r="BA1048553" s="24"/>
      <c r="BB1048553" s="24"/>
      <c r="BC1048553" s="24"/>
      <c r="BD1048553" s="24"/>
      <c r="BE1048553" s="24"/>
      <c r="BF1048553" s="24"/>
      <c r="BG1048553" s="29"/>
      <c r="BH1048553" s="15"/>
    </row>
    <row r="1048554" spans="42:60" x14ac:dyDescent="0.3">
      <c r="AP1048554" s="28"/>
      <c r="AQ1048554" s="24"/>
      <c r="AR1048554" s="24"/>
      <c r="AS1048554" s="24"/>
      <c r="AT1048554" s="24"/>
      <c r="AU1048554" s="24"/>
      <c r="AV1048554" s="24"/>
      <c r="AW1048554" s="24"/>
      <c r="AX1048554" s="24"/>
      <c r="AY1048554" s="24"/>
      <c r="AZ1048554" s="24"/>
      <c r="BA1048554" s="24"/>
      <c r="BB1048554" s="24"/>
      <c r="BC1048554" s="24"/>
      <c r="BD1048554" s="24"/>
      <c r="BE1048554" s="24"/>
      <c r="BF1048554" s="24"/>
      <c r="BG1048554" s="29"/>
      <c r="BH1048554" s="15"/>
    </row>
    <row r="1048555" spans="42:60" x14ac:dyDescent="0.3">
      <c r="AP1048555" s="28"/>
      <c r="AQ1048555" s="24"/>
      <c r="AR1048555" s="24"/>
      <c r="AS1048555" s="24"/>
      <c r="AT1048555" s="24"/>
      <c r="AU1048555" s="24"/>
      <c r="AV1048555" s="24"/>
      <c r="AW1048555" s="90" t="s">
        <v>1262</v>
      </c>
      <c r="AX1048555" s="90"/>
      <c r="AY1048555" s="90"/>
      <c r="AZ1048555" s="90"/>
      <c r="BA1048555" s="24"/>
      <c r="BB1048555" s="24"/>
      <c r="BC1048555" s="24"/>
      <c r="BD1048555" s="24"/>
      <c r="BE1048555" s="24"/>
      <c r="BF1048555" s="24"/>
      <c r="BG1048555" s="29"/>
      <c r="BH1048555" s="15"/>
    </row>
    <row r="1048556" spans="42:60" x14ac:dyDescent="0.3">
      <c r="AP1048556" s="28"/>
      <c r="AQ1048556" s="24"/>
      <c r="AR1048556" s="24"/>
      <c r="AS1048556" s="24"/>
      <c r="AT1048556" s="24"/>
      <c r="AU1048556" s="24"/>
      <c r="AV1048556" s="24"/>
      <c r="AW1048556" s="90" t="s">
        <v>1263</v>
      </c>
      <c r="AX1048556" s="90"/>
      <c r="AY1048556" s="90"/>
      <c r="AZ1048556" s="90"/>
      <c r="BA1048556" s="24"/>
      <c r="BB1048556" s="24"/>
      <c r="BC1048556" s="24"/>
      <c r="BD1048556" s="24"/>
      <c r="BE1048556" s="24"/>
      <c r="BF1048556" s="24"/>
      <c r="BG1048556" s="29"/>
      <c r="BH1048556" s="15"/>
    </row>
    <row r="1048557" spans="42:60" x14ac:dyDescent="0.3">
      <c r="AP1048557" s="28"/>
      <c r="AQ1048557" s="24"/>
      <c r="AR1048557" s="24"/>
      <c r="AS1048557" s="24"/>
      <c r="AT1048557" s="24"/>
      <c r="AU1048557" s="24"/>
      <c r="AV1048557" s="24"/>
      <c r="AW1048557" s="19" t="s">
        <v>1252</v>
      </c>
      <c r="AX1048557" s="128">
        <f>AVERAGE(Tabela_Geral_Presencial[1.1 - Utilidade dos temas tratados])</f>
        <v>4.7924528301886795</v>
      </c>
      <c r="AY1048557" s="128"/>
      <c r="AZ1048557" s="128"/>
      <c r="BA1048557" s="24"/>
      <c r="BB1048557" s="24"/>
      <c r="BC1048557" s="24"/>
      <c r="BD1048557" s="24"/>
      <c r="BE1048557" s="24"/>
      <c r="BF1048557" s="24"/>
      <c r="BG1048557" s="29"/>
      <c r="BH1048557" s="15"/>
    </row>
    <row r="1048558" spans="42:60" x14ac:dyDescent="0.3">
      <c r="AP1048558" s="28"/>
      <c r="AQ1048558" s="24"/>
      <c r="AR1048558" s="24"/>
      <c r="AS1048558" s="24"/>
      <c r="AT1048558" s="24"/>
      <c r="AU1048558" s="24"/>
      <c r="AV1048558" s="24"/>
      <c r="AW1048558" s="19" t="s">
        <v>1250</v>
      </c>
      <c r="AX1048558" s="128">
        <f>AVERAGE(Tabela_Geral_Presencial[2.1 - Cumprimento dos objetivos])</f>
        <v>4.7025316455696204</v>
      </c>
      <c r="AY1048558" s="128"/>
      <c r="AZ1048558" s="128"/>
      <c r="BA1048558" s="24"/>
      <c r="BB1048558" s="24"/>
      <c r="BC1048558" s="24"/>
      <c r="BD1048558" s="24"/>
      <c r="BE1048558" s="24"/>
      <c r="BF1048558" s="24"/>
      <c r="BG1048558" s="29"/>
      <c r="BH1048558" s="15"/>
    </row>
    <row r="1048559" spans="42:60" x14ac:dyDescent="0.3">
      <c r="AP1048559" s="28"/>
      <c r="AQ1048559" s="24"/>
      <c r="AR1048559" s="24"/>
      <c r="AS1048559" s="24"/>
      <c r="AT1048559" s="24"/>
      <c r="AU1048559" s="24"/>
      <c r="AV1048559" s="24"/>
      <c r="AW1048559" s="19" t="s">
        <v>1251</v>
      </c>
      <c r="AX1048559" s="128">
        <f>AVERAGE(Tabela_Geral_Presencial[2.2 - Desenvolvimento do Programa])</f>
        <v>4.6558441558441555</v>
      </c>
      <c r="AY1048559" s="128"/>
      <c r="AZ1048559" s="128"/>
      <c r="BA1048559" s="24"/>
      <c r="BB1048559" s="24"/>
      <c r="BC1048559" s="24"/>
      <c r="BD1048559" s="24"/>
      <c r="BE1048559" s="24"/>
      <c r="BF1048559" s="24"/>
      <c r="BG1048559" s="29"/>
      <c r="BH1048559" s="15"/>
    </row>
    <row r="1048560" spans="42:60" x14ac:dyDescent="0.3">
      <c r="AP1048560" s="28"/>
      <c r="AQ1048560" s="24"/>
      <c r="AR1048560" s="24"/>
      <c r="AS1048560" s="24"/>
      <c r="AT1048560" s="24"/>
      <c r="AU1048560" s="24"/>
      <c r="AV1048560" s="24"/>
      <c r="AW1048560" s="19" t="s">
        <v>1253</v>
      </c>
      <c r="AX1048560" s="128">
        <f>AVERAGE(Tabela_Geral_Presencial[2.3 - Conhecimentos Adquiridos])</f>
        <v>4.580645161290323</v>
      </c>
      <c r="AY1048560" s="128"/>
      <c r="AZ1048560" s="128"/>
      <c r="BA1048560" s="24"/>
      <c r="BB1048560" s="24"/>
      <c r="BC1048560" s="24"/>
      <c r="BD1048560" s="24"/>
      <c r="BE1048560" s="24"/>
      <c r="BF1048560" s="24"/>
      <c r="BG1048560" s="29"/>
      <c r="BH1048560" s="15"/>
    </row>
    <row r="1048561" spans="42:60" x14ac:dyDescent="0.3">
      <c r="AP1048561" s="28"/>
      <c r="AQ1048561" s="24"/>
      <c r="AR1048561" s="24"/>
      <c r="AS1048561" s="24"/>
      <c r="AT1048561" s="24"/>
      <c r="AU1048561" s="24"/>
      <c r="AV1048561" s="24"/>
      <c r="AW1048561" s="19" t="s">
        <v>1254</v>
      </c>
      <c r="AX1048561" s="128">
        <f>AVERAGE(Tabela_Geral_Presencial[3.1 - Materiais e/ou equipamentos utilizados])</f>
        <v>4.4933333333333332</v>
      </c>
      <c r="AY1048561" s="128"/>
      <c r="AZ1048561" s="128"/>
      <c r="BA1048561" s="24"/>
      <c r="BB1048561" s="24"/>
      <c r="BC1048561" s="24"/>
      <c r="BD1048561" s="24"/>
      <c r="BE1048561" s="24"/>
      <c r="BF1048561" s="24"/>
      <c r="BG1048561" s="29"/>
      <c r="BH1048561" s="15"/>
    </row>
    <row r="1048562" spans="42:60" x14ac:dyDescent="0.3">
      <c r="AP1048562" s="28"/>
      <c r="AQ1048562" s="24"/>
      <c r="AR1048562" s="24"/>
      <c r="AS1048562" s="24"/>
      <c r="AT1048562" s="24"/>
      <c r="AU1048562" s="24"/>
      <c r="AV1048562" s="24"/>
      <c r="AW1048562" s="19" t="s">
        <v>1255</v>
      </c>
      <c r="AX1048562" s="128">
        <f>AVERAGE(Tabela_Geral_Presencial[3.2 - Documentação distribuída])</f>
        <v>4.5192307692307692</v>
      </c>
      <c r="AY1048562" s="128"/>
      <c r="AZ1048562" s="128"/>
      <c r="BA1048562" s="24"/>
      <c r="BB1048562" s="24"/>
      <c r="BC1048562" s="24"/>
      <c r="BD1048562" s="24"/>
      <c r="BE1048562" s="24"/>
      <c r="BF1048562" s="24"/>
      <c r="BG1048562" s="29"/>
      <c r="BH1048562" s="15"/>
    </row>
    <row r="1048563" spans="42:60" x14ac:dyDescent="0.3">
      <c r="AP1048563" s="28"/>
      <c r="AQ1048563" s="24"/>
      <c r="AR1048563" s="24"/>
      <c r="AS1048563" s="24"/>
      <c r="AT1048563" s="24"/>
      <c r="AU1048563" s="24"/>
      <c r="AV1048563" s="24"/>
      <c r="AW1048563" s="19" t="s">
        <v>1256</v>
      </c>
      <c r="AX1048563" s="128">
        <f>AVERAGE(Tabela_Geral_Presencial[3.3.1 - Serviços de Apoio: Receção / Segurança])</f>
        <v>4.5555555555555554</v>
      </c>
      <c r="AY1048563" s="128"/>
      <c r="AZ1048563" s="128"/>
      <c r="BA1048563" s="24"/>
      <c r="BB1048563" s="24"/>
      <c r="BC1048563" s="24"/>
      <c r="BD1048563" s="24"/>
      <c r="BE1048563" s="24"/>
      <c r="BF1048563" s="24"/>
      <c r="BG1048563" s="29"/>
      <c r="BH1048563" s="15"/>
    </row>
    <row r="1048564" spans="42:60" x14ac:dyDescent="0.3">
      <c r="AP1048564" s="28"/>
      <c r="AQ1048564" s="24"/>
      <c r="AR1048564" s="24"/>
      <c r="AS1048564" s="24"/>
      <c r="AT1048564" s="24"/>
      <c r="AU1048564" s="24"/>
      <c r="AV1048564" s="24"/>
      <c r="AW1048564" s="19" t="s">
        <v>1257</v>
      </c>
      <c r="AX1048564" s="128">
        <f>AVERAGE(Tabela_Geral_Presencial[3.3.2 - Serviços de Apoio: Bar])</f>
        <v>3.984375</v>
      </c>
      <c r="AY1048564" s="128"/>
      <c r="AZ1048564" s="128"/>
      <c r="BA1048564" s="24"/>
      <c r="BB1048564" s="24"/>
      <c r="BC1048564" s="24"/>
      <c r="BD1048564" s="24"/>
      <c r="BE1048564" s="24"/>
      <c r="BF1048564" s="24"/>
      <c r="BG1048564" s="29"/>
      <c r="BH1048564" s="15"/>
    </row>
    <row r="1048565" spans="42:60" x14ac:dyDescent="0.3">
      <c r="AP1048565" s="28"/>
      <c r="AQ1048565" s="24"/>
      <c r="AR1048565" s="24"/>
      <c r="AS1048565" s="24"/>
      <c r="AT1048565" s="24"/>
      <c r="AU1048565" s="24"/>
      <c r="AV1048565" s="24"/>
      <c r="AW1048565" s="19" t="s">
        <v>1258</v>
      </c>
      <c r="AX1048565" s="128">
        <f>AVERAGE(Tabela_Geral_Presencial[3.3.3 - Serviços de Apoio: CRC])</f>
        <v>4.4024390243902438</v>
      </c>
      <c r="AY1048565" s="128"/>
      <c r="AZ1048565" s="128"/>
      <c r="BA1048565" s="24"/>
      <c r="BB1048565" s="24"/>
      <c r="BC1048565" s="24"/>
      <c r="BD1048565" s="24"/>
      <c r="BE1048565" s="24"/>
      <c r="BF1048565" s="24"/>
      <c r="BG1048565" s="29"/>
      <c r="BH1048565" s="15"/>
    </row>
    <row r="1048566" spans="42:60" x14ac:dyDescent="0.3">
      <c r="AP1048566" s="28"/>
      <c r="AQ1048566" s="24"/>
      <c r="AR1048566" s="24"/>
      <c r="AS1048566" s="24"/>
      <c r="AT1048566" s="24"/>
      <c r="AU1048566" s="24"/>
      <c r="AV1048566" s="24"/>
      <c r="AW1048566" s="19" t="s">
        <v>1259</v>
      </c>
      <c r="AX1048566" s="128">
        <f>AVERAGE(Tabela_Geral_Presencial[3.3.4 - Atendimento ao Cliente / Formando])</f>
        <v>4.4571428571428573</v>
      </c>
      <c r="AY1048566" s="128"/>
      <c r="AZ1048566" s="128"/>
      <c r="BA1048566" s="24"/>
      <c r="BB1048566" s="24"/>
      <c r="BC1048566" s="24"/>
      <c r="BD1048566" s="24"/>
      <c r="BE1048566" s="24"/>
      <c r="BF1048566" s="24"/>
      <c r="BG1048566" s="29"/>
      <c r="BH1048566" s="15"/>
    </row>
    <row r="1048567" spans="42:60" x14ac:dyDescent="0.3">
      <c r="AP1048567" s="28"/>
      <c r="AQ1048567" s="24"/>
      <c r="AR1048567" s="24"/>
      <c r="AS1048567" s="24"/>
      <c r="AT1048567" s="24"/>
      <c r="AU1048567" s="24"/>
      <c r="AV1048567" s="24"/>
      <c r="AW1048567" s="19" t="s">
        <v>1260</v>
      </c>
      <c r="AX1048567" s="128">
        <f>AVERAGE(Tabela_Geral_Presencial[3.4 - Instalações onde decorreu a ação / módulo])</f>
        <v>4.2348993288590604</v>
      </c>
      <c r="AY1048567" s="128"/>
      <c r="AZ1048567" s="128"/>
      <c r="BA1048567" s="24"/>
      <c r="BB1048567" s="24"/>
      <c r="BC1048567" s="24"/>
      <c r="BD1048567" s="24"/>
      <c r="BE1048567" s="24"/>
      <c r="BF1048567" s="24"/>
      <c r="BG1048567" s="29"/>
      <c r="BH1048567" s="15"/>
    </row>
    <row r="1048568" spans="42:60" x14ac:dyDescent="0.3">
      <c r="AP1048568" s="28"/>
      <c r="AQ1048568" s="24"/>
      <c r="AR1048568" s="24"/>
      <c r="AS1048568" s="24"/>
      <c r="AT1048568" s="24"/>
      <c r="AU1048568" s="24"/>
      <c r="AV1048568" s="24"/>
      <c r="AW1048568" s="19" t="s">
        <v>1261</v>
      </c>
      <c r="AX1048568" s="128">
        <f>AVERAGE(Tabela_Geral_Presencial[5.1 - Avaliação Geral da Ação / Módulo])</f>
        <v>4.7898089171974521</v>
      </c>
      <c r="AY1048568" s="128"/>
      <c r="AZ1048568" s="128"/>
      <c r="BA1048568" s="24"/>
      <c r="BB1048568" s="24"/>
      <c r="BC1048568" s="24"/>
      <c r="BD1048568" s="24"/>
      <c r="BE1048568" s="24"/>
      <c r="BF1048568" s="24"/>
      <c r="BG1048568" s="29"/>
      <c r="BH1048568" s="15"/>
    </row>
    <row r="1048569" spans="42:60" x14ac:dyDescent="0.3">
      <c r="AP1048569" s="28"/>
      <c r="AQ1048569" s="24"/>
      <c r="AR1048569" s="24"/>
      <c r="AS1048569" s="24"/>
      <c r="AT1048569" s="24"/>
      <c r="AU1048569" s="24"/>
      <c r="AV1048569" s="24"/>
      <c r="AW1048569" s="24"/>
      <c r="AX1048569" s="24"/>
      <c r="AY1048569" s="24"/>
      <c r="AZ1048569" s="24"/>
      <c r="BA1048569" s="24"/>
      <c r="BB1048569" s="24"/>
      <c r="BC1048569" s="24"/>
      <c r="BD1048569" s="24"/>
      <c r="BE1048569" s="24"/>
      <c r="BF1048569" s="24"/>
      <c r="BG1048569" s="29"/>
      <c r="BH1048569" s="15"/>
    </row>
    <row r="1048570" spans="42:60" x14ac:dyDescent="0.3">
      <c r="AP1048570" s="28"/>
      <c r="AQ1048570" s="24"/>
      <c r="AR1048570" s="24"/>
      <c r="AS1048570" s="24"/>
      <c r="AT1048570" s="24"/>
      <c r="AU1048570" s="24"/>
      <c r="AV1048570" s="24"/>
      <c r="AW1048570" s="24"/>
      <c r="AX1048570" s="24"/>
      <c r="AY1048570" s="24"/>
      <c r="AZ1048570" s="24"/>
      <c r="BA1048570" s="24"/>
      <c r="BB1048570" s="24"/>
      <c r="BC1048570" s="24"/>
      <c r="BD1048570" s="24"/>
      <c r="BE1048570" s="24"/>
      <c r="BF1048570" s="24"/>
      <c r="BG1048570" s="29"/>
      <c r="BH1048570" s="15"/>
    </row>
    <row r="1048571" spans="42:60" x14ac:dyDescent="0.3">
      <c r="AP1048571" s="28"/>
      <c r="AQ1048571" s="24"/>
      <c r="AR1048571" s="24"/>
      <c r="AS1048571" s="24"/>
      <c r="AT1048571" s="24"/>
      <c r="AU1048571" s="24"/>
      <c r="AV1048571" s="24"/>
      <c r="AW1048571" s="24"/>
      <c r="AX1048571" s="24"/>
      <c r="AY1048571" s="24"/>
      <c r="AZ1048571" s="24"/>
      <c r="BA1048571" s="24"/>
      <c r="BB1048571" s="24"/>
      <c r="BC1048571" s="24"/>
      <c r="BD1048571" s="24"/>
      <c r="BE1048571" s="24"/>
      <c r="BF1048571" s="24"/>
      <c r="BG1048571" s="29"/>
      <c r="BH1048571" s="15"/>
    </row>
    <row r="1048572" spans="42:60" x14ac:dyDescent="0.3">
      <c r="AP1048572" s="28"/>
      <c r="AQ1048572" s="24"/>
      <c r="AR1048572" s="24"/>
      <c r="AS1048572" s="24"/>
      <c r="AT1048572" s="24"/>
      <c r="AU1048572" s="24"/>
      <c r="AV1048572" s="24"/>
      <c r="AW1048572" s="24"/>
      <c r="AX1048572" s="24"/>
      <c r="AY1048572" s="24"/>
      <c r="AZ1048572" s="24"/>
      <c r="BA1048572" s="24"/>
      <c r="BB1048572" s="24"/>
      <c r="BC1048572" s="24"/>
      <c r="BD1048572" s="24"/>
      <c r="BE1048572" s="24"/>
      <c r="BF1048572" s="24"/>
      <c r="BG1048572" s="29"/>
      <c r="BH1048572" s="15"/>
    </row>
    <row r="1048573" spans="42:60" x14ac:dyDescent="0.3">
      <c r="AP1048573" s="28"/>
      <c r="AQ1048573" s="24"/>
      <c r="AR1048573" s="24"/>
      <c r="AS1048573" s="24"/>
      <c r="AT1048573" s="24"/>
      <c r="AU1048573" s="24"/>
      <c r="AV1048573" s="24"/>
      <c r="AW1048573" s="24"/>
      <c r="AX1048573" s="24"/>
      <c r="AY1048573" s="24"/>
      <c r="AZ1048573" s="24"/>
      <c r="BA1048573" s="24"/>
      <c r="BB1048573" s="24"/>
      <c r="BC1048573" s="24"/>
      <c r="BD1048573" s="24"/>
      <c r="BE1048573" s="24"/>
      <c r="BF1048573" s="24"/>
      <c r="BG1048573" s="29"/>
      <c r="BH1048573" s="15"/>
    </row>
    <row r="1048574" spans="42:60" x14ac:dyDescent="0.3">
      <c r="AP1048574" s="28"/>
      <c r="AQ1048574" s="24"/>
      <c r="AR1048574" s="24"/>
      <c r="AS1048574" s="24"/>
      <c r="AT1048574" s="24"/>
      <c r="AU1048574" s="24"/>
      <c r="AV1048574" s="24"/>
      <c r="AW1048574" s="24"/>
      <c r="AX1048574" s="24"/>
      <c r="AY1048574" s="24"/>
      <c r="AZ1048574" s="24"/>
      <c r="BA1048574" s="24"/>
      <c r="BB1048574" s="24"/>
      <c r="BC1048574" s="24"/>
      <c r="BD1048574" s="24"/>
      <c r="BE1048574" s="24"/>
      <c r="BF1048574" s="24"/>
      <c r="BG1048574" s="29"/>
      <c r="BH1048574" s="15"/>
    </row>
    <row r="1048575" spans="42:60" x14ac:dyDescent="0.3">
      <c r="AP1048575" s="28"/>
      <c r="AQ1048575" s="24"/>
      <c r="AR1048575" s="24"/>
      <c r="AS1048575" s="24"/>
      <c r="AT1048575" s="24"/>
      <c r="AU1048575" s="24"/>
      <c r="AV1048575" s="24"/>
      <c r="AW1048575" s="24"/>
      <c r="AX1048575" s="24"/>
      <c r="AY1048575" s="24"/>
      <c r="AZ1048575" s="24"/>
      <c r="BA1048575" s="24"/>
      <c r="BB1048575" s="24"/>
      <c r="BC1048575" s="24"/>
      <c r="BD1048575" s="24"/>
      <c r="BE1048575" s="24"/>
      <c r="BF1048575" s="24"/>
      <c r="BG1048575" s="29"/>
      <c r="BH1048575" s="15"/>
    </row>
    <row r="1048576" spans="42:60" x14ac:dyDescent="0.3">
      <c r="AP1048576" s="30"/>
      <c r="AQ1048576" s="31"/>
      <c r="AR1048576" s="31"/>
      <c r="AS1048576" s="31"/>
      <c r="AT1048576" s="31"/>
      <c r="AU1048576" s="31"/>
      <c r="AV1048576" s="31"/>
      <c r="AW1048576" s="31"/>
      <c r="AX1048576" s="31"/>
      <c r="AY1048576" s="31"/>
      <c r="AZ1048576" s="31"/>
      <c r="BA1048576" s="31"/>
      <c r="BB1048576" s="31"/>
      <c r="BC1048576" s="31"/>
      <c r="BD1048576" s="31"/>
      <c r="BE1048576" s="31"/>
      <c r="BF1048576" s="31"/>
      <c r="BG1048576" s="32"/>
      <c r="BH1048576" s="15"/>
    </row>
  </sheetData>
  <sheetProtection algorithmName="SHA-512" hashValue="n4QGjdw2lUtp2jUOyLZ8Ft54Rg1bkaGqjMZKFUdcDVRstYGItioEcBSvsg3uAFlbg6ytF6Q2qVTy8jh9LdjhQA==" saltValue="IscdHCZx8oib9uAXzce/ZA==" spinCount="100000" sheet="1" objects="1" scenarios="1"/>
  <mergeCells count="882">
    <mergeCell ref="AP1048443:AU1048443"/>
    <mergeCell ref="AP1048444:AR1048444"/>
    <mergeCell ref="AP1048445:AR1048445"/>
    <mergeCell ref="AP1048446:AR1048446"/>
    <mergeCell ref="AP1048447:AR1048447"/>
    <mergeCell ref="AP1048448:AR1048448"/>
    <mergeCell ref="AO527:AQ527"/>
    <mergeCell ref="AR527:AT527"/>
    <mergeCell ref="AO528:AQ528"/>
    <mergeCell ref="AR528:AT528"/>
    <mergeCell ref="AO529:AQ529"/>
    <mergeCell ref="AR529:AT529"/>
    <mergeCell ref="AO530:AQ530"/>
    <mergeCell ref="AR530:AT530"/>
    <mergeCell ref="AJ575:AT577"/>
    <mergeCell ref="AJ578:AT580"/>
    <mergeCell ref="AJ581:AT583"/>
    <mergeCell ref="AJ584:AT586"/>
    <mergeCell ref="AJ587:AT589"/>
    <mergeCell ref="AJ590:AT592"/>
    <mergeCell ref="AJ593:AT595"/>
    <mergeCell ref="AJ596:AT598"/>
    <mergeCell ref="AJ599:AT601"/>
    <mergeCell ref="AJ602:AT604"/>
    <mergeCell ref="AK497:AT498"/>
    <mergeCell ref="AJ505:AK505"/>
    <mergeCell ref="AL505:AM505"/>
    <mergeCell ref="AJ507:AK507"/>
    <mergeCell ref="AL507:AM507"/>
    <mergeCell ref="AO522:AQ522"/>
    <mergeCell ref="AR522:AT522"/>
    <mergeCell ref="AO523:AQ523"/>
    <mergeCell ref="AR523:AT523"/>
    <mergeCell ref="AO512:AQ512"/>
    <mergeCell ref="AR512:AT512"/>
    <mergeCell ref="AO513:AQ513"/>
    <mergeCell ref="AR513:AT513"/>
    <mergeCell ref="AO514:AQ514"/>
    <mergeCell ref="AR514:AT514"/>
    <mergeCell ref="AO515:AQ515"/>
    <mergeCell ref="AR515:AT515"/>
    <mergeCell ref="AO516:AQ516"/>
    <mergeCell ref="AR516:AT516"/>
    <mergeCell ref="AO507:AQ507"/>
    <mergeCell ref="AR507:AT507"/>
    <mergeCell ref="AO508:AQ508"/>
    <mergeCell ref="AR508:AT508"/>
    <mergeCell ref="AO509:AQ509"/>
    <mergeCell ref="AO524:AQ524"/>
    <mergeCell ref="AR524:AT524"/>
    <mergeCell ref="AO525:AQ525"/>
    <mergeCell ref="AR525:AT525"/>
    <mergeCell ref="AO526:AQ526"/>
    <mergeCell ref="AR526:AT526"/>
    <mergeCell ref="AO517:AQ517"/>
    <mergeCell ref="AR517:AT517"/>
    <mergeCell ref="AO518:AQ518"/>
    <mergeCell ref="AR518:AT518"/>
    <mergeCell ref="AO519:AQ519"/>
    <mergeCell ref="AR519:AT519"/>
    <mergeCell ref="AO520:AQ520"/>
    <mergeCell ref="AR520:AT520"/>
    <mergeCell ref="AO521:AQ521"/>
    <mergeCell ref="AR521:AT521"/>
    <mergeCell ref="AR509:AT509"/>
    <mergeCell ref="AO510:AQ510"/>
    <mergeCell ref="AR510:AT510"/>
    <mergeCell ref="AO511:AQ511"/>
    <mergeCell ref="AR511:AT511"/>
    <mergeCell ref="AR502:AT502"/>
    <mergeCell ref="AO503:AQ503"/>
    <mergeCell ref="AR503:AT503"/>
    <mergeCell ref="AO504:AQ504"/>
    <mergeCell ref="AR504:AT504"/>
    <mergeCell ref="AO505:AQ505"/>
    <mergeCell ref="AR505:AT505"/>
    <mergeCell ref="AO506:AQ506"/>
    <mergeCell ref="AR506:AT506"/>
    <mergeCell ref="AK271:AL271"/>
    <mergeCell ref="AQ1048477:AT1048477"/>
    <mergeCell ref="AU1048467:BA1048467"/>
    <mergeCell ref="AQ1048465:AS1048465"/>
    <mergeCell ref="AQ1048467:AT1048467"/>
    <mergeCell ref="AQ1048468:AT1048468"/>
    <mergeCell ref="AQ1048469:AT1048469"/>
    <mergeCell ref="AQ1048470:AT1048470"/>
    <mergeCell ref="AQ1048471:AT1048471"/>
    <mergeCell ref="AQ1048474:AT1048474"/>
    <mergeCell ref="AQ1048475:AT1048475"/>
    <mergeCell ref="AQ1048476:AT1048476"/>
    <mergeCell ref="AJ500:AM500"/>
    <mergeCell ref="AJ502:AK502"/>
    <mergeCell ref="AL502:AM502"/>
    <mergeCell ref="AJ501:AM501"/>
    <mergeCell ref="AJ503:AK503"/>
    <mergeCell ref="AL503:AM503"/>
    <mergeCell ref="AO501:AQ501"/>
    <mergeCell ref="AO500:AT500"/>
    <mergeCell ref="AR501:AT501"/>
    <mergeCell ref="AO502:AQ502"/>
    <mergeCell ref="AK273:AS273"/>
    <mergeCell ref="AJ572:AT574"/>
    <mergeCell ref="BC1048467:BE1048467"/>
    <mergeCell ref="BC1048468:BE1048468"/>
    <mergeCell ref="BC1048469:BE1048469"/>
    <mergeCell ref="BC1048470:BE1048470"/>
    <mergeCell ref="BC1048471:BE1048471"/>
    <mergeCell ref="BC1048465:BE1048465"/>
    <mergeCell ref="AQ1048466:BF1048466"/>
    <mergeCell ref="AQ1048472:AT1048472"/>
    <mergeCell ref="AQ1048473:AT1048473"/>
    <mergeCell ref="BC1048506:BF1048506"/>
    <mergeCell ref="AV1048505:BF1048505"/>
    <mergeCell ref="AV1048507:AZ1048511"/>
    <mergeCell ref="AV1048512:AZ1048516"/>
    <mergeCell ref="AV1048517:AZ1048521"/>
    <mergeCell ref="BC1048472:BE1048472"/>
    <mergeCell ref="BC1048473:BE1048473"/>
    <mergeCell ref="BC1048474:BE1048474"/>
    <mergeCell ref="BC1048475:BE1048475"/>
    <mergeCell ref="BC1048476:BE1048476"/>
    <mergeCell ref="BC1048477:BE1048477"/>
    <mergeCell ref="P59:S59"/>
    <mergeCell ref="T59:X59"/>
    <mergeCell ref="B77:H77"/>
    <mergeCell ref="I75:O75"/>
    <mergeCell ref="I76:O76"/>
    <mergeCell ref="B67:H67"/>
    <mergeCell ref="B69:H69"/>
    <mergeCell ref="B70:H70"/>
    <mergeCell ref="AK232:AL232"/>
    <mergeCell ref="B64:H64"/>
    <mergeCell ref="B65:H65"/>
    <mergeCell ref="B66:H66"/>
    <mergeCell ref="T65:X65"/>
    <mergeCell ref="P60:S60"/>
    <mergeCell ref="P61:S61"/>
    <mergeCell ref="P62:S62"/>
    <mergeCell ref="P63:S63"/>
    <mergeCell ref="P64:S64"/>
    <mergeCell ref="T60:X60"/>
    <mergeCell ref="B79:H79"/>
    <mergeCell ref="I60:O60"/>
    <mergeCell ref="I79:O79"/>
    <mergeCell ref="B73:H73"/>
    <mergeCell ref="I74:O74"/>
    <mergeCell ref="C49:D49"/>
    <mergeCell ref="C50:D50"/>
    <mergeCell ref="C51:D51"/>
    <mergeCell ref="C52:D52"/>
    <mergeCell ref="C53:D53"/>
    <mergeCell ref="C54:D54"/>
    <mergeCell ref="C55:D55"/>
    <mergeCell ref="C57:D57"/>
    <mergeCell ref="B63:H63"/>
    <mergeCell ref="R7:S7"/>
    <mergeCell ref="R11:S11"/>
    <mergeCell ref="E12:J12"/>
    <mergeCell ref="B17:B19"/>
    <mergeCell ref="C4:X4"/>
    <mergeCell ref="E7:J7"/>
    <mergeCell ref="R5:X5"/>
    <mergeCell ref="R6:X6"/>
    <mergeCell ref="R10:X10"/>
    <mergeCell ref="T7:X7"/>
    <mergeCell ref="T11:X11"/>
    <mergeCell ref="R12:S12"/>
    <mergeCell ref="T12:X12"/>
    <mergeCell ref="R8:S8"/>
    <mergeCell ref="T8:X8"/>
    <mergeCell ref="R9:X9"/>
    <mergeCell ref="K12:L12"/>
    <mergeCell ref="M12:Q12"/>
    <mergeCell ref="K8:L8"/>
    <mergeCell ref="M8:Q8"/>
    <mergeCell ref="K11:L11"/>
    <mergeCell ref="M11:Q11"/>
    <mergeCell ref="E14:X14"/>
    <mergeCell ref="C14:D15"/>
    <mergeCell ref="A17:A19"/>
    <mergeCell ref="A20:A26"/>
    <mergeCell ref="A27:A56"/>
    <mergeCell ref="D5:J5"/>
    <mergeCell ref="D6:J6"/>
    <mergeCell ref="E8:J8"/>
    <mergeCell ref="K5:Q5"/>
    <mergeCell ref="D9:J9"/>
    <mergeCell ref="D10:J10"/>
    <mergeCell ref="E11:J11"/>
    <mergeCell ref="K6:Q6"/>
    <mergeCell ref="K9:Q9"/>
    <mergeCell ref="K10:Q10"/>
    <mergeCell ref="K7:L7"/>
    <mergeCell ref="M7:Q7"/>
    <mergeCell ref="B6:B8"/>
    <mergeCell ref="C6:C8"/>
    <mergeCell ref="B10:B12"/>
    <mergeCell ref="C10:C12"/>
    <mergeCell ref="B39:B44"/>
    <mergeCell ref="B45:B50"/>
    <mergeCell ref="B51:B56"/>
    <mergeCell ref="C27:D27"/>
    <mergeCell ref="C28:D28"/>
    <mergeCell ref="B14:B15"/>
    <mergeCell ref="C24:D24"/>
    <mergeCell ref="C25:D25"/>
    <mergeCell ref="C26:D26"/>
    <mergeCell ref="B20:B26"/>
    <mergeCell ref="C16:D16"/>
    <mergeCell ref="C17:D17"/>
    <mergeCell ref="C18:D18"/>
    <mergeCell ref="C19:D19"/>
    <mergeCell ref="C20:D20"/>
    <mergeCell ref="C21:D21"/>
    <mergeCell ref="C22:D22"/>
    <mergeCell ref="C23:D23"/>
    <mergeCell ref="B27:B32"/>
    <mergeCell ref="B33:B38"/>
    <mergeCell ref="C29:D29"/>
    <mergeCell ref="C30:D30"/>
    <mergeCell ref="C31:D31"/>
    <mergeCell ref="C32:D32"/>
    <mergeCell ref="C33:D33"/>
    <mergeCell ref="C34:D34"/>
    <mergeCell ref="B62:H62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56:D56"/>
    <mergeCell ref="C47:D47"/>
    <mergeCell ref="C48:D48"/>
    <mergeCell ref="I59:O59"/>
    <mergeCell ref="B59:H59"/>
    <mergeCell ref="B60:H60"/>
    <mergeCell ref="B61:H61"/>
    <mergeCell ref="B75:H75"/>
    <mergeCell ref="I69:O69"/>
    <mergeCell ref="I70:O70"/>
    <mergeCell ref="I71:O71"/>
    <mergeCell ref="I72:O72"/>
    <mergeCell ref="I73:O73"/>
    <mergeCell ref="I64:O64"/>
    <mergeCell ref="I65:O65"/>
    <mergeCell ref="I66:O66"/>
    <mergeCell ref="I67:O67"/>
    <mergeCell ref="I68:O68"/>
    <mergeCell ref="B76:H76"/>
    <mergeCell ref="B78:H78"/>
    <mergeCell ref="I77:O77"/>
    <mergeCell ref="I78:O78"/>
    <mergeCell ref="I61:O61"/>
    <mergeCell ref="I62:O62"/>
    <mergeCell ref="I63:O63"/>
    <mergeCell ref="T61:X61"/>
    <mergeCell ref="T62:X62"/>
    <mergeCell ref="T63:X63"/>
    <mergeCell ref="T64:X64"/>
    <mergeCell ref="T72:X72"/>
    <mergeCell ref="T73:X73"/>
    <mergeCell ref="T74:X74"/>
    <mergeCell ref="P71:S71"/>
    <mergeCell ref="P72:S72"/>
    <mergeCell ref="P65:S65"/>
    <mergeCell ref="P66:S66"/>
    <mergeCell ref="B71:H71"/>
    <mergeCell ref="B72:H72"/>
    <mergeCell ref="B68:H68"/>
    <mergeCell ref="B74:H74"/>
    <mergeCell ref="T79:X79"/>
    <mergeCell ref="T66:X66"/>
    <mergeCell ref="T67:X67"/>
    <mergeCell ref="T68:X68"/>
    <mergeCell ref="T69:X69"/>
    <mergeCell ref="T70:X70"/>
    <mergeCell ref="T71:X71"/>
    <mergeCell ref="P79:S79"/>
    <mergeCell ref="P73:S73"/>
    <mergeCell ref="P74:S74"/>
    <mergeCell ref="P75:S75"/>
    <mergeCell ref="P76:S76"/>
    <mergeCell ref="P77:S77"/>
    <mergeCell ref="P78:S78"/>
    <mergeCell ref="P67:S67"/>
    <mergeCell ref="P68:S68"/>
    <mergeCell ref="P69:S69"/>
    <mergeCell ref="P70:S70"/>
    <mergeCell ref="T75:X75"/>
    <mergeCell ref="T76:X76"/>
    <mergeCell ref="T77:X77"/>
    <mergeCell ref="T78:X78"/>
    <mergeCell ref="AK266:AL266"/>
    <mergeCell ref="AK246:AL246"/>
    <mergeCell ref="AK253:AL253"/>
    <mergeCell ref="AK260:AL260"/>
    <mergeCell ref="AK267:AL267"/>
    <mergeCell ref="AK240:AL240"/>
    <mergeCell ref="AK255:AL255"/>
    <mergeCell ref="AK256:AL256"/>
    <mergeCell ref="AK257:AL257"/>
    <mergeCell ref="AK258:AL258"/>
    <mergeCell ref="AK259:AL259"/>
    <mergeCell ref="AK241:AL241"/>
    <mergeCell ref="AK242:AL242"/>
    <mergeCell ref="AK243:AL243"/>
    <mergeCell ref="AK244:AL244"/>
    <mergeCell ref="AK245:AL245"/>
    <mergeCell ref="AK247:AL247"/>
    <mergeCell ref="AK251:AL251"/>
    <mergeCell ref="AK252:AL252"/>
    <mergeCell ref="AK254:AL254"/>
    <mergeCell ref="AK248:AL248"/>
    <mergeCell ref="AK237:AL237"/>
    <mergeCell ref="AK238:AL238"/>
    <mergeCell ref="AK262:AL262"/>
    <mergeCell ref="AK263:AL263"/>
    <mergeCell ref="AK249:AL249"/>
    <mergeCell ref="AK250:AL250"/>
    <mergeCell ref="AK264:AL264"/>
    <mergeCell ref="AK265:AL265"/>
    <mergeCell ref="AK261:AL261"/>
    <mergeCell ref="AX1048565:AZ1048565"/>
    <mergeCell ref="AX1048566:AZ1048566"/>
    <mergeCell ref="AX1048567:AZ1048567"/>
    <mergeCell ref="AX1048568:AZ1048568"/>
    <mergeCell ref="AW1048555:AZ1048555"/>
    <mergeCell ref="AW1048556:AZ1048556"/>
    <mergeCell ref="AX1048557:AZ1048557"/>
    <mergeCell ref="AX1048558:AZ1048558"/>
    <mergeCell ref="AX1048559:AZ1048559"/>
    <mergeCell ref="AX1048560:AZ1048560"/>
    <mergeCell ref="AX1048561:AZ1048561"/>
    <mergeCell ref="AX1048562:AZ1048562"/>
    <mergeCell ref="AX1048563:AZ1048563"/>
    <mergeCell ref="AX1048564:AZ1048564"/>
    <mergeCell ref="AK203:AS203"/>
    <mergeCell ref="AO206:AR206"/>
    <mergeCell ref="AO207:AR207"/>
    <mergeCell ref="AO208:AR208"/>
    <mergeCell ref="AO210:AR210"/>
    <mergeCell ref="AO211:AR211"/>
    <mergeCell ref="AO212:AR212"/>
    <mergeCell ref="AO214:AS214"/>
    <mergeCell ref="AO213:AS213"/>
    <mergeCell ref="AK204:AS204"/>
    <mergeCell ref="AO209:AR209"/>
    <mergeCell ref="AK206:AM206"/>
    <mergeCell ref="AK207:AM207"/>
    <mergeCell ref="AK208:AM208"/>
    <mergeCell ref="AK209:AM209"/>
    <mergeCell ref="AK220:AL220"/>
    <mergeCell ref="AJ218:AJ220"/>
    <mergeCell ref="AK229:AL229"/>
    <mergeCell ref="AJ497:AJ498"/>
    <mergeCell ref="AV1048522:AZ1048526"/>
    <mergeCell ref="AV1048527:AZ1048531"/>
    <mergeCell ref="AJ533:AT535"/>
    <mergeCell ref="AJ536:AT538"/>
    <mergeCell ref="AJ539:AT541"/>
    <mergeCell ref="AJ542:AT544"/>
    <mergeCell ref="AJ545:AT547"/>
    <mergeCell ref="AJ548:AT550"/>
    <mergeCell ref="AJ551:AT553"/>
    <mergeCell ref="AJ554:AT556"/>
    <mergeCell ref="AJ557:AT559"/>
    <mergeCell ref="AJ560:AT562"/>
    <mergeCell ref="AJ563:AT565"/>
    <mergeCell ref="AJ566:AT568"/>
    <mergeCell ref="AJ569:AT571"/>
    <mergeCell ref="AK239:AL239"/>
    <mergeCell ref="AK233:AL233"/>
    <mergeCell ref="AK234:AL234"/>
    <mergeCell ref="AK235:AL235"/>
    <mergeCell ref="AK236:AL236"/>
    <mergeCell ref="AV1048532:AZ1048536"/>
    <mergeCell ref="AV1048506:AZ1048506"/>
    <mergeCell ref="AQ1048462:BA1048462"/>
    <mergeCell ref="AJ338:AS355"/>
    <mergeCell ref="B2:J2"/>
    <mergeCell ref="AJ223:AJ229"/>
    <mergeCell ref="AK218:AL218"/>
    <mergeCell ref="AK219:AL219"/>
    <mergeCell ref="AK223:AL223"/>
    <mergeCell ref="AK224:AL224"/>
    <mergeCell ref="AK225:AL225"/>
    <mergeCell ref="AK226:AL226"/>
    <mergeCell ref="AK227:AL227"/>
    <mergeCell ref="AK228:AL228"/>
    <mergeCell ref="AJ247:AJ253"/>
    <mergeCell ref="AJ254:AJ260"/>
    <mergeCell ref="AJ261:AJ267"/>
    <mergeCell ref="AJ233:AJ239"/>
    <mergeCell ref="AJ240:AJ246"/>
    <mergeCell ref="AK270:AL270"/>
    <mergeCell ref="AJ532:AL532"/>
    <mergeCell ref="AJ215:AL215"/>
    <mergeCell ref="AJ203:AJ204"/>
    <mergeCell ref="AK216:AL216"/>
    <mergeCell ref="AJ605:AT607"/>
    <mergeCell ref="AJ608:AT610"/>
    <mergeCell ref="AJ611:AT613"/>
    <mergeCell ref="AJ614:AT616"/>
    <mergeCell ref="AJ617:AT619"/>
    <mergeCell ref="AJ620:AT622"/>
    <mergeCell ref="AJ623:AT625"/>
    <mergeCell ref="AJ626:AT628"/>
    <mergeCell ref="AJ629:AT631"/>
    <mergeCell ref="AJ632:AT634"/>
    <mergeCell ref="AJ635:AT637"/>
    <mergeCell ref="AJ638:AT640"/>
    <mergeCell ref="AJ641:AT643"/>
    <mergeCell ref="AJ644:AT646"/>
    <mergeCell ref="AJ647:AT649"/>
    <mergeCell ref="AJ650:AT652"/>
    <mergeCell ref="AJ653:AT655"/>
    <mergeCell ref="AJ656:AT658"/>
    <mergeCell ref="AJ686:AT688"/>
    <mergeCell ref="AJ689:AT691"/>
    <mergeCell ref="AJ692:AT694"/>
    <mergeCell ref="AJ695:AT697"/>
    <mergeCell ref="AJ698:AT700"/>
    <mergeCell ref="AJ701:AT703"/>
    <mergeCell ref="AJ704:AT706"/>
    <mergeCell ref="AJ707:AT709"/>
    <mergeCell ref="AJ659:AT661"/>
    <mergeCell ref="AJ662:AT664"/>
    <mergeCell ref="AJ665:AT667"/>
    <mergeCell ref="AJ668:AT670"/>
    <mergeCell ref="AJ671:AT673"/>
    <mergeCell ref="AJ674:AT676"/>
    <mergeCell ref="AJ677:AT679"/>
    <mergeCell ref="AJ680:AT682"/>
    <mergeCell ref="AJ683:AT685"/>
    <mergeCell ref="AJ710:AT712"/>
    <mergeCell ref="AJ713:AT715"/>
    <mergeCell ref="AJ716:AT718"/>
    <mergeCell ref="AJ719:AT721"/>
    <mergeCell ref="AJ722:AT724"/>
    <mergeCell ref="AJ725:AT727"/>
    <mergeCell ref="AJ728:AT730"/>
    <mergeCell ref="AJ731:AT733"/>
    <mergeCell ref="AJ734:AT736"/>
    <mergeCell ref="AJ737:AT739"/>
    <mergeCell ref="AJ740:AT742"/>
    <mergeCell ref="AJ743:AT745"/>
    <mergeCell ref="AJ746:AT748"/>
    <mergeCell ref="AJ749:AT751"/>
    <mergeCell ref="AJ752:AT754"/>
    <mergeCell ref="AJ755:AT757"/>
    <mergeCell ref="AJ758:AT760"/>
    <mergeCell ref="AJ761:AT763"/>
    <mergeCell ref="AJ764:AT766"/>
    <mergeCell ref="AJ767:AT769"/>
    <mergeCell ref="AJ770:AT772"/>
    <mergeCell ref="AJ773:AT775"/>
    <mergeCell ref="AJ776:AT778"/>
    <mergeCell ref="AJ779:AT781"/>
    <mergeCell ref="AJ782:AT784"/>
    <mergeCell ref="AJ785:AT787"/>
    <mergeCell ref="AJ788:AT790"/>
    <mergeCell ref="AJ791:AT793"/>
    <mergeCell ref="AJ794:AT796"/>
    <mergeCell ref="AJ797:AT799"/>
    <mergeCell ref="AJ800:AT802"/>
    <mergeCell ref="AJ803:AT805"/>
    <mergeCell ref="AJ806:AT808"/>
    <mergeCell ref="AJ809:AT811"/>
    <mergeCell ref="AJ812:AT814"/>
    <mergeCell ref="AJ815:AT817"/>
    <mergeCell ref="AJ818:AT820"/>
    <mergeCell ref="AJ821:AT823"/>
    <mergeCell ref="AJ824:AT826"/>
    <mergeCell ref="AJ827:AT829"/>
    <mergeCell ref="AJ830:AT832"/>
    <mergeCell ref="AJ833:AT835"/>
    <mergeCell ref="AJ836:AT838"/>
    <mergeCell ref="AJ839:AT841"/>
    <mergeCell ref="AJ842:AT844"/>
    <mergeCell ref="AJ845:AT847"/>
    <mergeCell ref="AJ848:AT850"/>
    <mergeCell ref="AJ851:AT853"/>
    <mergeCell ref="AJ854:AT856"/>
    <mergeCell ref="AJ857:AT859"/>
    <mergeCell ref="AJ860:AT862"/>
    <mergeCell ref="AJ863:AT865"/>
    <mergeCell ref="AJ866:AT868"/>
    <mergeCell ref="AJ869:AT871"/>
    <mergeCell ref="AJ872:AT874"/>
    <mergeCell ref="AJ875:AT877"/>
    <mergeCell ref="AJ878:AT880"/>
    <mergeCell ref="AJ881:AT883"/>
    <mergeCell ref="AJ884:AT886"/>
    <mergeCell ref="AJ887:AT889"/>
    <mergeCell ref="AJ890:AT892"/>
    <mergeCell ref="AJ893:AT895"/>
    <mergeCell ref="AJ896:AT898"/>
    <mergeCell ref="AJ899:AT901"/>
    <mergeCell ref="AJ902:AT904"/>
    <mergeCell ref="AJ905:AT907"/>
    <mergeCell ref="AJ908:AT910"/>
    <mergeCell ref="AJ911:AT913"/>
    <mergeCell ref="AJ914:AT916"/>
    <mergeCell ref="AJ917:AT919"/>
    <mergeCell ref="AJ920:AT922"/>
    <mergeCell ref="AJ923:AT925"/>
    <mergeCell ref="AJ926:AT928"/>
    <mergeCell ref="AJ929:AT931"/>
    <mergeCell ref="AJ932:AT934"/>
    <mergeCell ref="AJ935:AT937"/>
    <mergeCell ref="AJ938:AT940"/>
    <mergeCell ref="AJ941:AT943"/>
    <mergeCell ref="AJ944:AT946"/>
    <mergeCell ref="AJ947:AT949"/>
    <mergeCell ref="AJ950:AT952"/>
    <mergeCell ref="AJ953:AT955"/>
    <mergeCell ref="AJ956:AT958"/>
    <mergeCell ref="AJ959:AT961"/>
    <mergeCell ref="AJ962:AT964"/>
    <mergeCell ref="AJ965:AT967"/>
    <mergeCell ref="AJ968:AT970"/>
    <mergeCell ref="AJ971:AT973"/>
    <mergeCell ref="AJ974:AT976"/>
    <mergeCell ref="AJ977:AT979"/>
    <mergeCell ref="AJ980:AT982"/>
    <mergeCell ref="AJ983:AT985"/>
    <mergeCell ref="AJ986:AT988"/>
    <mergeCell ref="AJ989:AT991"/>
    <mergeCell ref="AJ992:AT994"/>
    <mergeCell ref="AJ995:AT997"/>
    <mergeCell ref="AJ998:AT1000"/>
    <mergeCell ref="AJ1001:AT1003"/>
    <mergeCell ref="AJ1004:AT1006"/>
    <mergeCell ref="AJ1007:AT1009"/>
    <mergeCell ref="AJ1010:AT1012"/>
    <mergeCell ref="AJ1013:AT1015"/>
    <mergeCell ref="AJ1016:AT1018"/>
    <mergeCell ref="AJ1019:AT1021"/>
    <mergeCell ref="AJ1022:AT1024"/>
    <mergeCell ref="AJ1025:AT1027"/>
    <mergeCell ref="AJ1028:AT1030"/>
    <mergeCell ref="AJ1031:AT1033"/>
    <mergeCell ref="AJ1034:AT1036"/>
    <mergeCell ref="AJ1037:AT1039"/>
    <mergeCell ref="AJ1040:AT1042"/>
    <mergeCell ref="AJ1043:AT1045"/>
    <mergeCell ref="AJ1046:AT1048"/>
    <mergeCell ref="AJ1049:AT1051"/>
    <mergeCell ref="AJ1052:AT1054"/>
    <mergeCell ref="AJ1055:AT1057"/>
    <mergeCell ref="AJ1058:AT1060"/>
    <mergeCell ref="AJ1061:AT1063"/>
    <mergeCell ref="AJ1064:AT1066"/>
    <mergeCell ref="AJ1067:AT1069"/>
    <mergeCell ref="AJ1070:AT1072"/>
    <mergeCell ref="AJ1073:AT1075"/>
    <mergeCell ref="AJ1076:AT1078"/>
    <mergeCell ref="AJ1079:AT1081"/>
    <mergeCell ref="AJ1082:AT1084"/>
    <mergeCell ref="AJ1085:AT1087"/>
    <mergeCell ref="AJ1088:AT1090"/>
    <mergeCell ref="AJ1091:AT1093"/>
    <mergeCell ref="AJ1094:AT1096"/>
    <mergeCell ref="AJ1097:AT1099"/>
    <mergeCell ref="AJ1100:AT1102"/>
    <mergeCell ref="AJ1103:AT1105"/>
    <mergeCell ref="AJ1106:AT1108"/>
    <mergeCell ref="AJ1109:AT1111"/>
    <mergeCell ref="AJ1112:AT1114"/>
    <mergeCell ref="AJ1115:AT1117"/>
    <mergeCell ref="AJ1118:AT1120"/>
    <mergeCell ref="AJ1121:AT1123"/>
    <mergeCell ref="AJ1124:AT1126"/>
    <mergeCell ref="AJ1127:AT1129"/>
    <mergeCell ref="AJ1130:AT1132"/>
    <mergeCell ref="AJ1133:AT1135"/>
    <mergeCell ref="AJ1136:AT1138"/>
    <mergeCell ref="AJ1139:AT1141"/>
    <mergeCell ref="AJ1142:AT1144"/>
    <mergeCell ref="AJ1145:AT1147"/>
    <mergeCell ref="AJ1148:AT1150"/>
    <mergeCell ref="AJ1151:AT1153"/>
    <mergeCell ref="AJ1154:AT1156"/>
    <mergeCell ref="AJ1157:AT1159"/>
    <mergeCell ref="AJ1160:AT1162"/>
    <mergeCell ref="AJ1163:AT1165"/>
    <mergeCell ref="AJ1166:AT1168"/>
    <mergeCell ref="AJ1169:AT1171"/>
    <mergeCell ref="AJ1172:AT1174"/>
    <mergeCell ref="AJ1175:AT1177"/>
    <mergeCell ref="AJ1178:AT1180"/>
    <mergeCell ref="AJ1181:AT1183"/>
    <mergeCell ref="AJ1184:AT1186"/>
    <mergeCell ref="AJ1187:AT1189"/>
    <mergeCell ref="AJ1190:AT1192"/>
    <mergeCell ref="AJ1193:AT1195"/>
    <mergeCell ref="AJ1196:AT1198"/>
    <mergeCell ref="AJ1199:AT1201"/>
    <mergeCell ref="AJ1202:AT1204"/>
    <mergeCell ref="AJ1205:AT1207"/>
    <mergeCell ref="AJ1208:AT1210"/>
    <mergeCell ref="AJ1211:AT1213"/>
    <mergeCell ref="AJ1214:AT1216"/>
    <mergeCell ref="AJ1217:AT1219"/>
    <mergeCell ref="AJ1220:AT1222"/>
    <mergeCell ref="AJ1223:AT1225"/>
    <mergeCell ref="AJ1226:AT1228"/>
    <mergeCell ref="AJ1229:AT1231"/>
    <mergeCell ref="AJ1232:AT1234"/>
    <mergeCell ref="AJ1235:AT1237"/>
    <mergeCell ref="AJ1238:AT1240"/>
    <mergeCell ref="AJ1241:AT1243"/>
    <mergeCell ref="AJ1244:AT1246"/>
    <mergeCell ref="AJ1247:AT1249"/>
    <mergeCell ref="AJ1250:AT1252"/>
    <mergeCell ref="AJ1253:AT1255"/>
    <mergeCell ref="AJ1256:AT1258"/>
    <mergeCell ref="AJ1259:AT1261"/>
    <mergeCell ref="AJ1262:AT1264"/>
    <mergeCell ref="AJ1265:AT1267"/>
    <mergeCell ref="AJ1268:AT1270"/>
    <mergeCell ref="AJ1271:AT1273"/>
    <mergeCell ref="AJ1274:AT1276"/>
    <mergeCell ref="AJ1277:AT1279"/>
    <mergeCell ref="AJ1280:AT1282"/>
    <mergeCell ref="AJ1283:AT1285"/>
    <mergeCell ref="AJ1286:AT1288"/>
    <mergeCell ref="AJ1289:AT1291"/>
    <mergeCell ref="AJ1292:AT1294"/>
    <mergeCell ref="AJ1295:AT1297"/>
    <mergeCell ref="AJ1298:AT1300"/>
    <mergeCell ref="AJ1301:AT1303"/>
    <mergeCell ref="AJ1304:AT1306"/>
    <mergeCell ref="AJ1307:AT1309"/>
    <mergeCell ref="AJ1310:AT1312"/>
    <mergeCell ref="AJ1313:AT1315"/>
    <mergeCell ref="AJ1316:AT1318"/>
    <mergeCell ref="AJ1319:AT1321"/>
    <mergeCell ref="AJ1322:AT1324"/>
    <mergeCell ref="AJ1325:AT1327"/>
    <mergeCell ref="AJ1328:AT1330"/>
    <mergeCell ref="AJ1331:AT1333"/>
    <mergeCell ref="AJ1334:AT1336"/>
    <mergeCell ref="AJ1337:AT1339"/>
    <mergeCell ref="AJ1340:AT1342"/>
    <mergeCell ref="AJ1343:AT1345"/>
    <mergeCell ref="AJ1346:AT1348"/>
    <mergeCell ref="AJ1349:AT1351"/>
    <mergeCell ref="AJ1352:AT1354"/>
    <mergeCell ref="AJ1355:AT1357"/>
    <mergeCell ref="AJ1358:AT1360"/>
    <mergeCell ref="AJ1361:AT1363"/>
    <mergeCell ref="AJ1364:AT1366"/>
    <mergeCell ref="AJ1367:AT1369"/>
    <mergeCell ref="AJ1370:AT1372"/>
    <mergeCell ref="AJ1373:AT1375"/>
    <mergeCell ref="AJ1376:AT1378"/>
    <mergeCell ref="AJ1379:AT1381"/>
    <mergeCell ref="AJ1382:AT1384"/>
    <mergeCell ref="AJ1385:AT1387"/>
    <mergeCell ref="AJ1388:AT1390"/>
    <mergeCell ref="AJ1391:AT1393"/>
    <mergeCell ref="AJ1394:AT1396"/>
    <mergeCell ref="AJ1397:AT1399"/>
    <mergeCell ref="AJ1400:AT1402"/>
    <mergeCell ref="AJ1403:AT1405"/>
    <mergeCell ref="AJ1406:AT1408"/>
    <mergeCell ref="AJ1409:AT1411"/>
    <mergeCell ref="AJ1412:AT1414"/>
    <mergeCell ref="AJ1415:AT1417"/>
    <mergeCell ref="AJ1418:AT1420"/>
    <mergeCell ref="AJ1421:AT1423"/>
    <mergeCell ref="AJ1424:AT1426"/>
    <mergeCell ref="AJ1427:AT1429"/>
    <mergeCell ref="AJ1430:AT1432"/>
    <mergeCell ref="AJ1433:AT1435"/>
    <mergeCell ref="AJ1436:AT1438"/>
    <mergeCell ref="AJ1439:AT1441"/>
    <mergeCell ref="AJ1442:AT1444"/>
    <mergeCell ref="AJ1445:AT1447"/>
    <mergeCell ref="AJ1448:AT1450"/>
    <mergeCell ref="AJ1451:AT1453"/>
    <mergeCell ref="AJ1454:AT1456"/>
    <mergeCell ref="AJ1457:AT1459"/>
    <mergeCell ref="AJ1460:AT1462"/>
    <mergeCell ref="AJ1463:AT1465"/>
    <mergeCell ref="AJ1466:AT1468"/>
    <mergeCell ref="AJ1469:AT1471"/>
    <mergeCell ref="AJ1472:AT1474"/>
    <mergeCell ref="AJ1475:AT1477"/>
    <mergeCell ref="AJ1478:AT1480"/>
    <mergeCell ref="AJ1481:AT1483"/>
    <mergeCell ref="AJ1484:AT1486"/>
    <mergeCell ref="AJ1487:AT1489"/>
    <mergeCell ref="AJ1490:AT1492"/>
    <mergeCell ref="AJ1493:AT1495"/>
    <mergeCell ref="AJ1496:AT1498"/>
    <mergeCell ref="AJ1499:AT1501"/>
    <mergeCell ref="AJ1502:AT1504"/>
    <mergeCell ref="AJ1505:AT1507"/>
    <mergeCell ref="AJ1508:AT1510"/>
    <mergeCell ref="AJ1511:AT1513"/>
    <mergeCell ref="AJ1514:AT1516"/>
    <mergeCell ref="AJ1517:AT1519"/>
    <mergeCell ref="AJ1520:AT1522"/>
    <mergeCell ref="AJ1523:AT1525"/>
    <mergeCell ref="AJ1526:AT1528"/>
    <mergeCell ref="AJ1529:AT1531"/>
    <mergeCell ref="AJ1532:AT1534"/>
    <mergeCell ref="AJ1535:AT1537"/>
    <mergeCell ref="AJ1538:AT1540"/>
    <mergeCell ref="AJ1541:AT1543"/>
    <mergeCell ref="AJ1544:AT1546"/>
    <mergeCell ref="AJ1547:AT1549"/>
    <mergeCell ref="AJ1550:AT1552"/>
    <mergeCell ref="AJ1553:AT1555"/>
    <mergeCell ref="AJ1556:AT1558"/>
    <mergeCell ref="AJ1559:AT1561"/>
    <mergeCell ref="AJ1562:AT1564"/>
    <mergeCell ref="AJ1565:AT1567"/>
    <mergeCell ref="AJ1568:AT1570"/>
    <mergeCell ref="AJ1571:AT1573"/>
    <mergeCell ref="AJ1574:AT1576"/>
    <mergeCell ref="AJ1577:AT1579"/>
    <mergeCell ref="AJ1580:AT1582"/>
    <mergeCell ref="AJ1583:AT1585"/>
    <mergeCell ref="AJ1586:AT1588"/>
    <mergeCell ref="AJ1589:AT1591"/>
    <mergeCell ref="AJ1592:AT1594"/>
    <mergeCell ref="AJ1595:AT1597"/>
    <mergeCell ref="AJ1598:AT1600"/>
    <mergeCell ref="AJ1601:AT1603"/>
    <mergeCell ref="AJ1604:AT1606"/>
    <mergeCell ref="AJ1607:AT1609"/>
    <mergeCell ref="AJ1610:AT1612"/>
    <mergeCell ref="AJ1613:AT1615"/>
    <mergeCell ref="AJ1616:AT1618"/>
    <mergeCell ref="AJ1619:AT1621"/>
    <mergeCell ref="AJ1622:AT1624"/>
    <mergeCell ref="AJ1625:AT1627"/>
    <mergeCell ref="AJ1628:AT1630"/>
    <mergeCell ref="AJ1631:AT1633"/>
    <mergeCell ref="AJ1634:AT1636"/>
    <mergeCell ref="AJ1637:AT1639"/>
    <mergeCell ref="AJ1640:AT1642"/>
    <mergeCell ref="AJ1643:AT1645"/>
    <mergeCell ref="AJ1646:AT1648"/>
    <mergeCell ref="AJ1649:AT1651"/>
    <mergeCell ref="AJ1652:AT1654"/>
    <mergeCell ref="AJ1655:AT1657"/>
    <mergeCell ref="AJ1658:AT1660"/>
    <mergeCell ref="AJ1661:AT1663"/>
    <mergeCell ref="AJ1664:AT1666"/>
    <mergeCell ref="AJ1667:AT1669"/>
    <mergeCell ref="AJ1670:AT1672"/>
    <mergeCell ref="AJ1673:AT1675"/>
    <mergeCell ref="AJ1676:AT1678"/>
    <mergeCell ref="AJ1679:AT1681"/>
    <mergeCell ref="AJ1682:AT1684"/>
    <mergeCell ref="AJ1685:AT1687"/>
    <mergeCell ref="AJ1688:AT1690"/>
    <mergeCell ref="AJ1691:AT1693"/>
    <mergeCell ref="AJ1694:AT1696"/>
    <mergeCell ref="AJ1697:AT1699"/>
    <mergeCell ref="AJ1700:AT1702"/>
    <mergeCell ref="AJ1703:AT1705"/>
    <mergeCell ref="AJ1706:AT1708"/>
    <mergeCell ref="AJ1709:AT1711"/>
    <mergeCell ref="AJ1712:AT1714"/>
    <mergeCell ref="AJ1715:AT1717"/>
    <mergeCell ref="AJ1718:AT1720"/>
    <mergeCell ref="AJ1721:AT1723"/>
    <mergeCell ref="AJ1724:AT1726"/>
    <mergeCell ref="AJ1727:AT1729"/>
    <mergeCell ref="AJ1730:AT1732"/>
    <mergeCell ref="AJ1733:AT1735"/>
    <mergeCell ref="AJ1736:AT1738"/>
    <mergeCell ref="AJ1739:AT1741"/>
    <mergeCell ref="AJ1742:AT1744"/>
    <mergeCell ref="AJ1745:AT1747"/>
    <mergeCell ref="AJ1748:AT1750"/>
    <mergeCell ref="AJ1751:AT1753"/>
    <mergeCell ref="AJ1754:AT1756"/>
    <mergeCell ref="AJ1757:AT1759"/>
    <mergeCell ref="AJ1760:AT1762"/>
    <mergeCell ref="AJ1763:AT1765"/>
    <mergeCell ref="AJ1766:AT1768"/>
    <mergeCell ref="AJ1769:AT1771"/>
    <mergeCell ref="AJ1772:AT1774"/>
    <mergeCell ref="AJ1775:AT1777"/>
    <mergeCell ref="AJ1778:AT1780"/>
    <mergeCell ref="AJ1781:AT1783"/>
    <mergeCell ref="AJ1784:AT1786"/>
    <mergeCell ref="AJ1787:AT1789"/>
    <mergeCell ref="AJ1790:AT1792"/>
    <mergeCell ref="AJ1793:AT1795"/>
    <mergeCell ref="AJ1796:AT1798"/>
    <mergeCell ref="AJ1799:AT1801"/>
    <mergeCell ref="AJ1802:AT1804"/>
    <mergeCell ref="AJ1805:AT1807"/>
    <mergeCell ref="AJ1808:AT1810"/>
    <mergeCell ref="AJ1811:AT1813"/>
    <mergeCell ref="AJ1814:AT1816"/>
    <mergeCell ref="AJ1817:AT1819"/>
    <mergeCell ref="AJ1820:AT1822"/>
    <mergeCell ref="AJ1823:AT1825"/>
    <mergeCell ref="AJ1826:AT1828"/>
    <mergeCell ref="AJ1829:AT1831"/>
    <mergeCell ref="AJ1832:AT1834"/>
    <mergeCell ref="AJ1835:AT1837"/>
    <mergeCell ref="AJ1838:AT1840"/>
    <mergeCell ref="AJ1841:AT1843"/>
    <mergeCell ref="AJ1844:AT1846"/>
    <mergeCell ref="AJ1847:AT1849"/>
    <mergeCell ref="AJ1850:AT1852"/>
    <mergeCell ref="AJ1853:AT1855"/>
    <mergeCell ref="AJ1856:AT1858"/>
    <mergeCell ref="AJ1859:AT1861"/>
    <mergeCell ref="AJ1862:AT1864"/>
    <mergeCell ref="AJ1865:AT1867"/>
    <mergeCell ref="AJ1868:AT1870"/>
    <mergeCell ref="AJ1871:AT1873"/>
    <mergeCell ref="AJ1874:AT1876"/>
    <mergeCell ref="AJ1877:AT1879"/>
    <mergeCell ref="AJ1880:AT1882"/>
    <mergeCell ref="AJ1883:AT1885"/>
    <mergeCell ref="AJ1886:AT1888"/>
    <mergeCell ref="AJ1889:AT1891"/>
    <mergeCell ref="AJ1892:AT1894"/>
    <mergeCell ref="AJ1895:AT1897"/>
    <mergeCell ref="AJ1898:AT1900"/>
    <mergeCell ref="AJ1901:AT1903"/>
    <mergeCell ref="AJ1904:AT1906"/>
    <mergeCell ref="AJ1907:AT1909"/>
    <mergeCell ref="AJ1910:AT1912"/>
    <mergeCell ref="AJ1913:AT1915"/>
    <mergeCell ref="AJ1916:AT1918"/>
    <mergeCell ref="AJ1919:AT1921"/>
    <mergeCell ref="AJ1922:AT1924"/>
    <mergeCell ref="AJ1925:AT1927"/>
    <mergeCell ref="AJ1928:AT1930"/>
    <mergeCell ref="AJ1931:AT1933"/>
    <mergeCell ref="AJ1934:AT1936"/>
    <mergeCell ref="AJ1937:AT1939"/>
    <mergeCell ref="AJ1940:AT1942"/>
    <mergeCell ref="AJ1943:AT1945"/>
    <mergeCell ref="AJ1946:AT1948"/>
    <mergeCell ref="AJ1949:AT1951"/>
    <mergeCell ref="AJ1952:AT1954"/>
    <mergeCell ref="AJ1955:AT1957"/>
    <mergeCell ref="AJ1958:AT1960"/>
    <mergeCell ref="AJ1961:AT1963"/>
    <mergeCell ref="AJ1964:AT1966"/>
    <mergeCell ref="AJ1967:AT1969"/>
    <mergeCell ref="AJ1970:AT1972"/>
    <mergeCell ref="AJ1973:AT1975"/>
    <mergeCell ref="AJ1976:AT1978"/>
    <mergeCell ref="AJ1979:AT1981"/>
    <mergeCell ref="AJ1982:AT1984"/>
    <mergeCell ref="AJ1985:AT1987"/>
    <mergeCell ref="AJ1988:AT1990"/>
    <mergeCell ref="AJ1991:AT1993"/>
    <mergeCell ref="AJ1994:AT1996"/>
    <mergeCell ref="AJ1997:AT1999"/>
    <mergeCell ref="AJ2000:AT2002"/>
    <mergeCell ref="AJ2003:AT2005"/>
    <mergeCell ref="AJ2006:AT2008"/>
    <mergeCell ref="AJ2009:AT2011"/>
    <mergeCell ref="AJ2012:AT2014"/>
    <mergeCell ref="AJ2015:AT2017"/>
    <mergeCell ref="AJ2018:AT2020"/>
    <mergeCell ref="AJ2021:AT2023"/>
    <mergeCell ref="AJ2024:AT2026"/>
    <mergeCell ref="AJ2027:AT2029"/>
    <mergeCell ref="AJ2030:AT2032"/>
  </mergeCells>
  <phoneticPr fontId="4" type="noConversion"/>
  <dataValidations count="2">
    <dataValidation type="list" allowBlank="1" showInputMessage="1" showErrorMessage="1" sqref="I60:O79" xr:uid="{5EFED077-5A2F-4C6F-8CA0-3FE7252690C1}">
      <formula1>Conhecimento_da_Ação</formula1>
    </dataValidation>
    <dataValidation type="whole" allowBlank="1" showInputMessage="1" showErrorMessage="1" errorTitle="Entrada não válida" error="A escala de avaliação varia entre 1 e 5._x000a_Por favor, insira um valor válido neste intervalo." sqref="E16:X57" xr:uid="{0D68AF78-1521-416B-9CD7-755D594E2202}">
      <formula1>1</formula1>
      <formula2>5</formula2>
    </dataValidation>
  </dataValidations>
  <printOptions horizontalCentered="1"/>
  <pageMargins left="0.23622047244094502" right="0.23622047244094502" top="0.15748031496063" bottom="0.35433070866141703" header="0.11811023622047198" footer="0.11811023622047198"/>
  <pageSetup paperSize="9" scale="59" fitToHeight="0" orientation="portrait" r:id="rId1"/>
  <headerFooter>
    <oddFooter>&amp;L&amp;"Segoe UI,Normal"&amp;12Mod. F 037. 11&amp;C&amp;"Segoe UI,Normal"&amp;12&amp;D&amp;R&amp;P &amp; / &amp; &amp;N</oddFooter>
  </headerFooter>
  <rowBreaks count="1" manualBreakCount="1">
    <brk id="273" min="35" max="44" man="1"/>
  </rowBreaks>
  <drawing r:id="rId2"/>
  <legacyDrawing r:id="rId3"/>
  <controls>
    <mc:AlternateContent xmlns:mc="http://schemas.openxmlformats.org/markup-compatibility/2006">
      <mc:Choice Requires="x14">
        <control shapeId="1030" r:id="rId4" name="Combo_F1">
          <controlPr defaultSize="0" autoLine="0" autoPict="0" r:id="rId5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9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1030" r:id="rId4" name="Combo_F1"/>
      </mc:Fallback>
    </mc:AlternateContent>
    <mc:AlternateContent xmlns:mc="http://schemas.openxmlformats.org/markup-compatibility/2006">
      <mc:Choice Requires="x14">
        <control shapeId="1031" r:id="rId6" name="Combo_F2">
          <controlPr defaultSize="0" autoLine="0" autoPict="0" r:id="rId7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9</xdr:col>
                <xdr:colOff>514350</xdr:colOff>
                <xdr:row>10</xdr:row>
                <xdr:rowOff>0</xdr:rowOff>
              </to>
            </anchor>
          </controlPr>
        </control>
      </mc:Choice>
      <mc:Fallback>
        <control shapeId="1031" r:id="rId6" name="Combo_F2"/>
      </mc:Fallback>
    </mc:AlternateContent>
    <mc:AlternateContent xmlns:mc="http://schemas.openxmlformats.org/markup-compatibility/2006">
      <mc:Choice Requires="x14">
        <control shapeId="1032" r:id="rId8" name="Combo_F3">
          <controlPr defaultSize="0" disabled="1" autoLine="0" r:id="rId9">
            <anchor moveWithCells="1">
              <from>
                <xdr:col>10</xdr:col>
                <xdr:colOff>9525</xdr:colOff>
                <xdr:row>5</xdr:row>
                <xdr:rowOff>9525</xdr:rowOff>
              </from>
              <to>
                <xdr:col>16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1032" r:id="rId8" name="Combo_F3"/>
      </mc:Fallback>
    </mc:AlternateContent>
    <mc:AlternateContent xmlns:mc="http://schemas.openxmlformats.org/markup-compatibility/2006">
      <mc:Choice Requires="x14">
        <control shapeId="1033" r:id="rId10" name="Combo_F4">
          <controlPr defaultSize="0" disabled="1" autoLine="0" r:id="rId9">
            <anchor moveWithCells="1">
              <from>
                <xdr:col>10</xdr:col>
                <xdr:colOff>9525</xdr:colOff>
                <xdr:row>9</xdr:row>
                <xdr:rowOff>9525</xdr:rowOff>
              </from>
              <to>
                <xdr:col>16</xdr:col>
                <xdr:colOff>514350</xdr:colOff>
                <xdr:row>10</xdr:row>
                <xdr:rowOff>0</xdr:rowOff>
              </to>
            </anchor>
          </controlPr>
        </control>
      </mc:Choice>
      <mc:Fallback>
        <control shapeId="1033" r:id="rId10" name="Combo_F4"/>
      </mc:Fallback>
    </mc:AlternateContent>
    <mc:AlternateContent xmlns:mc="http://schemas.openxmlformats.org/markup-compatibility/2006">
      <mc:Choice Requires="x14">
        <control shapeId="1034" r:id="rId11" name="Combo_F5">
          <controlPr defaultSize="0" disabled="1" autoLine="0" r:id="rId9">
            <anchor moveWithCells="1">
              <from>
                <xdr:col>17</xdr:col>
                <xdr:colOff>9525</xdr:colOff>
                <xdr:row>5</xdr:row>
                <xdr:rowOff>9525</xdr:rowOff>
              </from>
              <to>
                <xdr:col>23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1034" r:id="rId11" name="Combo_F5"/>
      </mc:Fallback>
    </mc:AlternateContent>
    <mc:AlternateContent xmlns:mc="http://schemas.openxmlformats.org/markup-compatibility/2006">
      <mc:Choice Requires="x14">
        <control shapeId="1035" r:id="rId12" name="Combo_F6">
          <controlPr defaultSize="0" disabled="1" autoLine="0" r:id="rId9">
            <anchor moveWithCells="1">
              <from>
                <xdr:col>17</xdr:col>
                <xdr:colOff>9525</xdr:colOff>
                <xdr:row>9</xdr:row>
                <xdr:rowOff>9525</xdr:rowOff>
              </from>
              <to>
                <xdr:col>23</xdr:col>
                <xdr:colOff>514350</xdr:colOff>
                <xdr:row>10</xdr:row>
                <xdr:rowOff>0</xdr:rowOff>
              </to>
            </anchor>
          </controlPr>
        </control>
      </mc:Choice>
      <mc:Fallback>
        <control shapeId="1035" r:id="rId12" name="Combo_F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B70B-9B7C-4D78-AD72-60503E4D9DB3}">
  <sheetPr codeName="Folha3">
    <pageSetUpPr fitToPage="1"/>
  </sheetPr>
  <dimension ref="B1:BG164"/>
  <sheetViews>
    <sheetView zoomScale="90" zoomScaleNormal="90" workbookViewId="0">
      <selection activeCell="B164" sqref="B164"/>
    </sheetView>
  </sheetViews>
  <sheetFormatPr defaultRowHeight="17.25" x14ac:dyDescent="0.3"/>
  <cols>
    <col min="1" max="1" width="2.375" style="2" customWidth="1"/>
    <col min="2" max="2" width="33.375" style="2" customWidth="1"/>
    <col min="3" max="3" width="25" style="2" customWidth="1"/>
    <col min="4" max="4" width="19.875" style="2" customWidth="1"/>
    <col min="5" max="5" width="25.5" style="2" customWidth="1"/>
    <col min="6" max="6" width="18.125" style="2" customWidth="1"/>
    <col min="7" max="7" width="26.25" style="2" customWidth="1"/>
    <col min="8" max="11" width="12.625" style="2" customWidth="1"/>
    <col min="12" max="12" width="16.125" style="2" customWidth="1"/>
    <col min="13" max="19" width="12.625" style="2" customWidth="1"/>
    <col min="20" max="20" width="56.5" style="2" customWidth="1"/>
    <col min="21" max="21" width="37.375" style="2" customWidth="1"/>
    <col min="22" max="22" width="41.875" style="2" customWidth="1"/>
    <col min="23" max="24" width="17.625" style="2" customWidth="1"/>
    <col min="25" max="25" width="29.5" style="2" customWidth="1"/>
    <col min="26" max="26" width="33.125" style="2" customWidth="1"/>
    <col min="27" max="27" width="21.25" style="2" customWidth="1"/>
    <col min="28" max="28" width="35.25" style="2" customWidth="1"/>
    <col min="29" max="29" width="21.375" style="2" customWidth="1"/>
    <col min="30" max="30" width="25.5" style="2" customWidth="1"/>
    <col min="31" max="31" width="56.25" style="2" customWidth="1"/>
    <col min="32" max="32" width="22.125" style="2" customWidth="1"/>
    <col min="33" max="33" width="20.25" style="2" customWidth="1"/>
    <col min="34" max="34" width="20.125" style="2" customWidth="1"/>
    <col min="35" max="35" width="22.875" style="2" customWidth="1"/>
    <col min="36" max="36" width="22.5" style="2" customWidth="1"/>
    <col min="37" max="37" width="41.125" style="2" customWidth="1"/>
    <col min="38" max="52" width="17.625" style="2" customWidth="1"/>
    <col min="53" max="53" width="64" style="2" customWidth="1"/>
    <col min="54" max="59" width="20.625" style="2" customWidth="1"/>
    <col min="60" max="16384" width="9" style="2"/>
  </cols>
  <sheetData>
    <row r="1" spans="2:59" ht="24.95" customHeight="1" x14ac:dyDescent="0.3"/>
    <row r="2" spans="2:59" ht="24.95" customHeight="1" x14ac:dyDescent="0.3"/>
    <row r="3" spans="2:59" ht="45" customHeight="1" x14ac:dyDescent="0.3">
      <c r="B3" s="200" t="s">
        <v>1233</v>
      </c>
      <c r="C3" s="200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Y3" s="200" t="s">
        <v>1232</v>
      </c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BA3" s="198"/>
      <c r="BB3" s="198"/>
      <c r="BC3" s="198"/>
      <c r="BD3" s="198"/>
      <c r="BE3" s="198"/>
      <c r="BF3" s="198"/>
      <c r="BG3" s="74"/>
    </row>
    <row r="4" spans="2:59" ht="45" customHeight="1" x14ac:dyDescent="0.3">
      <c r="B4" s="199" t="s">
        <v>1226</v>
      </c>
      <c r="C4" s="199"/>
      <c r="D4" s="199"/>
      <c r="E4" s="199"/>
      <c r="F4" s="199"/>
      <c r="G4" s="199"/>
      <c r="H4" s="199" t="s">
        <v>1227</v>
      </c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 t="s">
        <v>1229</v>
      </c>
      <c r="T4" s="199"/>
      <c r="U4" s="199"/>
      <c r="V4" s="199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BA4" s="198"/>
      <c r="BB4" s="198"/>
      <c r="BC4" s="198"/>
      <c r="BD4" s="198"/>
      <c r="BE4" s="198"/>
      <c r="BF4" s="198"/>
      <c r="BG4" s="74"/>
    </row>
    <row r="5" spans="2:59" ht="99.75" customHeight="1" x14ac:dyDescent="0.3">
      <c r="B5" s="79" t="s">
        <v>1220</v>
      </c>
      <c r="C5" s="79" t="s">
        <v>1221</v>
      </c>
      <c r="D5" s="80" t="s">
        <v>1222</v>
      </c>
      <c r="E5" s="80" t="s">
        <v>1223</v>
      </c>
      <c r="F5" s="80" t="s">
        <v>1224</v>
      </c>
      <c r="G5" s="80" t="s">
        <v>1225</v>
      </c>
      <c r="H5" s="80" t="s">
        <v>9</v>
      </c>
      <c r="I5" s="80" t="s">
        <v>1217</v>
      </c>
      <c r="J5" s="80" t="s">
        <v>10</v>
      </c>
      <c r="K5" s="80" t="s">
        <v>11</v>
      </c>
      <c r="L5" s="80" t="s">
        <v>12</v>
      </c>
      <c r="M5" s="80" t="s">
        <v>13</v>
      </c>
      <c r="N5" s="80" t="s">
        <v>14</v>
      </c>
      <c r="O5" s="80" t="s">
        <v>15</v>
      </c>
      <c r="P5" s="80" t="s">
        <v>16</v>
      </c>
      <c r="Q5" s="80" t="s">
        <v>17</v>
      </c>
      <c r="R5" s="80" t="s">
        <v>18</v>
      </c>
      <c r="S5" s="80" t="s">
        <v>24</v>
      </c>
      <c r="T5" s="80" t="s">
        <v>31</v>
      </c>
      <c r="U5" s="80" t="s">
        <v>33</v>
      </c>
      <c r="V5" s="80" t="s">
        <v>1230</v>
      </c>
      <c r="Y5" s="80" t="s">
        <v>1220</v>
      </c>
      <c r="Z5" s="80" t="s">
        <v>1221</v>
      </c>
      <c r="AA5" s="80" t="s">
        <v>1222</v>
      </c>
      <c r="AB5" s="80" t="s">
        <v>1223</v>
      </c>
      <c r="AC5" s="80" t="s">
        <v>1224</v>
      </c>
      <c r="AD5" s="80" t="s">
        <v>1225</v>
      </c>
      <c r="AE5" s="80" t="s">
        <v>1228</v>
      </c>
      <c r="AF5" s="80" t="s">
        <v>19</v>
      </c>
      <c r="AG5" s="80" t="s">
        <v>21</v>
      </c>
      <c r="AH5" s="80" t="s">
        <v>20</v>
      </c>
      <c r="AI5" s="80" t="s">
        <v>22</v>
      </c>
      <c r="AJ5" s="80" t="s">
        <v>23</v>
      </c>
      <c r="AK5" s="80" t="s">
        <v>31</v>
      </c>
      <c r="BA5" s="75" t="s">
        <v>1228</v>
      </c>
      <c r="BB5" s="75" t="s">
        <v>19</v>
      </c>
      <c r="BC5" s="75" t="s">
        <v>21</v>
      </c>
      <c r="BD5" s="75" t="s">
        <v>20</v>
      </c>
      <c r="BE5" s="75" t="s">
        <v>1293</v>
      </c>
      <c r="BF5" s="75" t="s">
        <v>23</v>
      </c>
      <c r="BG5" s="76" t="s">
        <v>1292</v>
      </c>
    </row>
    <row r="6" spans="2:59" ht="17.25" customHeight="1" x14ac:dyDescent="0.3">
      <c r="B6" s="73" t="s">
        <v>1447</v>
      </c>
      <c r="C6" s="73" t="s">
        <v>1448</v>
      </c>
      <c r="D6" s="73" t="s">
        <v>1351</v>
      </c>
      <c r="E6" s="73"/>
      <c r="F6" s="73" t="s">
        <v>1352</v>
      </c>
      <c r="G6" s="73" t="s">
        <v>1452</v>
      </c>
      <c r="H6" s="73">
        <v>5</v>
      </c>
      <c r="I6" s="73">
        <v>5</v>
      </c>
      <c r="J6" s="73">
        <v>4</v>
      </c>
      <c r="K6" s="73">
        <v>4</v>
      </c>
      <c r="L6" s="73">
        <v>3</v>
      </c>
      <c r="M6" s="73">
        <v>5</v>
      </c>
      <c r="N6" s="73">
        <v>5</v>
      </c>
      <c r="O6" s="73">
        <v>3</v>
      </c>
      <c r="P6" s="73">
        <v>4</v>
      </c>
      <c r="Q6" s="73">
        <v>5</v>
      </c>
      <c r="R6" s="73">
        <v>5</v>
      </c>
      <c r="S6" s="73">
        <v>5</v>
      </c>
      <c r="T6" s="73" t="s">
        <v>1449</v>
      </c>
      <c r="U6" s="73" t="s">
        <v>1219</v>
      </c>
      <c r="V6" s="73" t="s">
        <v>1367</v>
      </c>
      <c r="Y6" s="73" t="s">
        <v>1358</v>
      </c>
      <c r="Z6" s="73" t="s">
        <v>1359</v>
      </c>
      <c r="AA6" s="73" t="s">
        <v>1351</v>
      </c>
      <c r="AB6" s="73"/>
      <c r="AC6" s="73" t="s">
        <v>1352</v>
      </c>
      <c r="AD6" s="73" t="s">
        <v>1360</v>
      </c>
      <c r="AE6" s="73" t="s">
        <v>521</v>
      </c>
      <c r="AF6" s="73">
        <v>5</v>
      </c>
      <c r="AG6" s="73">
        <v>5</v>
      </c>
      <c r="AH6" s="73">
        <v>5</v>
      </c>
      <c r="AI6" s="73">
        <v>5</v>
      </c>
      <c r="AJ6" s="73">
        <v>5</v>
      </c>
      <c r="AK6" s="73"/>
      <c r="BA6" s="77"/>
      <c r="BB6" s="78"/>
      <c r="BC6" s="78"/>
      <c r="BD6" s="78"/>
      <c r="BE6" s="78"/>
      <c r="BF6" s="78"/>
      <c r="BG6" s="78"/>
    </row>
    <row r="7" spans="2:59" x14ac:dyDescent="0.3">
      <c r="B7" s="73" t="s">
        <v>1447</v>
      </c>
      <c r="C7" s="73" t="s">
        <v>1448</v>
      </c>
      <c r="D7" s="73" t="s">
        <v>1351</v>
      </c>
      <c r="E7" s="73"/>
      <c r="F7" s="73" t="s">
        <v>1352</v>
      </c>
      <c r="G7" s="73" t="s">
        <v>1452</v>
      </c>
      <c r="H7" s="73">
        <v>4</v>
      </c>
      <c r="I7" s="73">
        <v>4</v>
      </c>
      <c r="J7" s="73">
        <v>4</v>
      </c>
      <c r="K7" s="73">
        <v>4</v>
      </c>
      <c r="L7" s="73">
        <v>3</v>
      </c>
      <c r="M7" s="73">
        <v>3</v>
      </c>
      <c r="N7" s="73">
        <v>3</v>
      </c>
      <c r="O7" s="73">
        <v>3</v>
      </c>
      <c r="P7" s="73"/>
      <c r="Q7" s="73">
        <v>3</v>
      </c>
      <c r="R7" s="73">
        <v>3</v>
      </c>
      <c r="S7" s="73">
        <v>4</v>
      </c>
      <c r="T7" s="73" t="s">
        <v>1450</v>
      </c>
      <c r="U7" s="73" t="s">
        <v>37</v>
      </c>
      <c r="V7" s="73" t="s">
        <v>1354</v>
      </c>
      <c r="Y7" s="73" t="s">
        <v>1358</v>
      </c>
      <c r="Z7" s="73" t="s">
        <v>1359</v>
      </c>
      <c r="AA7" s="73" t="s">
        <v>1351</v>
      </c>
      <c r="AB7" s="73"/>
      <c r="AC7" s="73" t="s">
        <v>1352</v>
      </c>
      <c r="AD7" s="73" t="s">
        <v>1360</v>
      </c>
      <c r="AE7" s="73" t="s">
        <v>521</v>
      </c>
      <c r="AF7" s="73">
        <v>5</v>
      </c>
      <c r="AG7" s="73">
        <v>5</v>
      </c>
      <c r="AH7" s="73">
        <v>5</v>
      </c>
      <c r="AI7" s="73">
        <v>5</v>
      </c>
      <c r="AJ7" s="73">
        <v>5</v>
      </c>
      <c r="AK7" s="73"/>
    </row>
    <row r="8" spans="2:59" x14ac:dyDescent="0.3">
      <c r="B8" s="73" t="s">
        <v>1447</v>
      </c>
      <c r="C8" s="73" t="s">
        <v>1448</v>
      </c>
      <c r="D8" s="73" t="s">
        <v>1351</v>
      </c>
      <c r="E8" s="73"/>
      <c r="F8" s="73" t="s">
        <v>1352</v>
      </c>
      <c r="G8" s="73" t="s">
        <v>1452</v>
      </c>
      <c r="H8" s="73">
        <v>4</v>
      </c>
      <c r="I8" s="73">
        <v>4</v>
      </c>
      <c r="J8" s="73">
        <v>4</v>
      </c>
      <c r="K8" s="73">
        <v>4</v>
      </c>
      <c r="L8" s="73">
        <v>4</v>
      </c>
      <c r="M8" s="73">
        <v>4</v>
      </c>
      <c r="N8" s="73">
        <v>4</v>
      </c>
      <c r="O8" s="73">
        <v>4</v>
      </c>
      <c r="P8" s="73">
        <v>4</v>
      </c>
      <c r="Q8" s="73">
        <v>4</v>
      </c>
      <c r="R8" s="73">
        <v>4</v>
      </c>
      <c r="S8" s="73">
        <v>4</v>
      </c>
      <c r="T8" s="73" t="s">
        <v>1451</v>
      </c>
      <c r="U8" s="73" t="s">
        <v>1219</v>
      </c>
      <c r="V8" s="73" t="s">
        <v>1367</v>
      </c>
      <c r="Y8" s="73" t="s">
        <v>1358</v>
      </c>
      <c r="Z8" s="73" t="s">
        <v>1359</v>
      </c>
      <c r="AA8" s="73" t="s">
        <v>1351</v>
      </c>
      <c r="AB8" s="73"/>
      <c r="AC8" s="73" t="s">
        <v>1352</v>
      </c>
      <c r="AD8" s="73" t="s">
        <v>1360</v>
      </c>
      <c r="AE8" s="73" t="s">
        <v>521</v>
      </c>
      <c r="AF8" s="73">
        <v>5</v>
      </c>
      <c r="AG8" s="73">
        <v>5</v>
      </c>
      <c r="AH8" s="73">
        <v>5</v>
      </c>
      <c r="AI8" s="73">
        <v>5</v>
      </c>
      <c r="AJ8" s="73">
        <v>5</v>
      </c>
      <c r="AK8" s="73"/>
    </row>
    <row r="9" spans="2:59" x14ac:dyDescent="0.3">
      <c r="B9" s="73" t="s">
        <v>1447</v>
      </c>
      <c r="C9" s="73" t="s">
        <v>1448</v>
      </c>
      <c r="D9" s="73" t="s">
        <v>1351</v>
      </c>
      <c r="E9" s="73"/>
      <c r="F9" s="73" t="s">
        <v>1352</v>
      </c>
      <c r="G9" s="73" t="s">
        <v>1452</v>
      </c>
      <c r="H9" s="73">
        <v>4</v>
      </c>
      <c r="I9" s="73">
        <v>3</v>
      </c>
      <c r="J9" s="73">
        <v>3</v>
      </c>
      <c r="K9" s="73">
        <v>3</v>
      </c>
      <c r="L9" s="73">
        <v>3</v>
      </c>
      <c r="M9" s="73">
        <v>4</v>
      </c>
      <c r="N9" s="73">
        <v>3</v>
      </c>
      <c r="O9" s="73">
        <v>1</v>
      </c>
      <c r="P9" s="73"/>
      <c r="Q9" s="73">
        <v>4</v>
      </c>
      <c r="R9" s="73">
        <v>4</v>
      </c>
      <c r="S9" s="73">
        <v>4</v>
      </c>
      <c r="T9" s="73"/>
      <c r="U9" s="73" t="s">
        <v>38</v>
      </c>
      <c r="V9" s="73" t="s">
        <v>1366</v>
      </c>
      <c r="Y9" s="73" t="s">
        <v>1358</v>
      </c>
      <c r="Z9" s="73" t="s">
        <v>1359</v>
      </c>
      <c r="AA9" s="73" t="s">
        <v>1351</v>
      </c>
      <c r="AB9" s="73"/>
      <c r="AC9" s="73" t="s">
        <v>1352</v>
      </c>
      <c r="AD9" s="73" t="s">
        <v>1360</v>
      </c>
      <c r="AE9" s="73" t="s">
        <v>521</v>
      </c>
      <c r="AF9" s="73">
        <v>5</v>
      </c>
      <c r="AG9" s="73">
        <v>5</v>
      </c>
      <c r="AH9" s="73">
        <v>5</v>
      </c>
      <c r="AI9" s="73">
        <v>5</v>
      </c>
      <c r="AJ9" s="73">
        <v>5</v>
      </c>
      <c r="AK9" s="73"/>
    </row>
    <row r="10" spans="2:59" x14ac:dyDescent="0.3">
      <c r="B10" s="73" t="s">
        <v>1447</v>
      </c>
      <c r="C10" s="73" t="s">
        <v>1448</v>
      </c>
      <c r="D10" s="73" t="s">
        <v>1351</v>
      </c>
      <c r="E10" s="73"/>
      <c r="F10" s="73" t="s">
        <v>1352</v>
      </c>
      <c r="G10" s="73" t="s">
        <v>1452</v>
      </c>
      <c r="H10" s="73">
        <v>5</v>
      </c>
      <c r="I10" s="73">
        <v>5</v>
      </c>
      <c r="J10" s="73">
        <v>5</v>
      </c>
      <c r="K10" s="73">
        <v>5</v>
      </c>
      <c r="L10" s="73">
        <v>5</v>
      </c>
      <c r="M10" s="73">
        <v>5</v>
      </c>
      <c r="N10" s="73">
        <v>5</v>
      </c>
      <c r="O10" s="73"/>
      <c r="P10" s="73">
        <v>5</v>
      </c>
      <c r="Q10" s="73">
        <v>5</v>
      </c>
      <c r="R10" s="73">
        <v>5</v>
      </c>
      <c r="S10" s="73">
        <v>5</v>
      </c>
      <c r="T10" s="73"/>
      <c r="U10" s="73" t="s">
        <v>38</v>
      </c>
      <c r="V10" s="73" t="s">
        <v>1366</v>
      </c>
      <c r="Y10" s="73" t="s">
        <v>1358</v>
      </c>
      <c r="Z10" s="73" t="s">
        <v>1359</v>
      </c>
      <c r="AA10" s="73" t="s">
        <v>1351</v>
      </c>
      <c r="AB10" s="73"/>
      <c r="AC10" s="73" t="s">
        <v>1352</v>
      </c>
      <c r="AD10" s="73" t="s">
        <v>1360</v>
      </c>
      <c r="AE10" s="73" t="s">
        <v>521</v>
      </c>
      <c r="AF10" s="73">
        <v>5</v>
      </c>
      <c r="AG10" s="73">
        <v>5</v>
      </c>
      <c r="AH10" s="73">
        <v>5</v>
      </c>
      <c r="AI10" s="73">
        <v>5</v>
      </c>
      <c r="AJ10" s="73">
        <v>5</v>
      </c>
      <c r="AK10" s="73"/>
    </row>
    <row r="11" spans="2:59" x14ac:dyDescent="0.3">
      <c r="B11" s="73" t="s">
        <v>1447</v>
      </c>
      <c r="C11" s="73" t="s">
        <v>1448</v>
      </c>
      <c r="D11" s="73" t="s">
        <v>1351</v>
      </c>
      <c r="E11" s="73"/>
      <c r="F11" s="73" t="s">
        <v>1352</v>
      </c>
      <c r="G11" s="73" t="s">
        <v>1453</v>
      </c>
      <c r="H11" s="73">
        <v>5</v>
      </c>
      <c r="I11" s="73">
        <v>5</v>
      </c>
      <c r="J11" s="73">
        <v>5</v>
      </c>
      <c r="K11" s="73">
        <v>5</v>
      </c>
      <c r="L11" s="73">
        <v>4</v>
      </c>
      <c r="M11" s="73">
        <v>5</v>
      </c>
      <c r="N11" s="73">
        <v>5</v>
      </c>
      <c r="O11" s="73">
        <v>4</v>
      </c>
      <c r="P11" s="73">
        <v>4</v>
      </c>
      <c r="Q11" s="73">
        <v>5</v>
      </c>
      <c r="R11" s="73">
        <v>4</v>
      </c>
      <c r="S11" s="73">
        <v>5</v>
      </c>
      <c r="T11" s="73"/>
      <c r="U11" s="73" t="s">
        <v>1219</v>
      </c>
      <c r="V11" s="73" t="s">
        <v>1367</v>
      </c>
      <c r="Y11" s="73" t="s">
        <v>1358</v>
      </c>
      <c r="Z11" s="73" t="s">
        <v>1359</v>
      </c>
      <c r="AA11" s="73" t="s">
        <v>1351</v>
      </c>
      <c r="AB11" s="73"/>
      <c r="AC11" s="73" t="s">
        <v>1352</v>
      </c>
      <c r="AD11" s="73" t="s">
        <v>1362</v>
      </c>
      <c r="AE11" s="73" t="s">
        <v>521</v>
      </c>
      <c r="AF11" s="73">
        <v>5</v>
      </c>
      <c r="AG11" s="73">
        <v>5</v>
      </c>
      <c r="AH11" s="73">
        <v>5</v>
      </c>
      <c r="AI11" s="73">
        <v>5</v>
      </c>
      <c r="AJ11" s="73">
        <v>5</v>
      </c>
      <c r="AK11" s="73"/>
    </row>
    <row r="12" spans="2:59" x14ac:dyDescent="0.3">
      <c r="B12" s="73" t="s">
        <v>1447</v>
      </c>
      <c r="C12" s="73" t="s">
        <v>1448</v>
      </c>
      <c r="D12" s="73" t="s">
        <v>1351</v>
      </c>
      <c r="E12" s="73"/>
      <c r="F12" s="73" t="s">
        <v>1352</v>
      </c>
      <c r="G12" s="73" t="s">
        <v>1453</v>
      </c>
      <c r="H12" s="73">
        <v>4</v>
      </c>
      <c r="I12" s="73">
        <v>4</v>
      </c>
      <c r="J12" s="73">
        <v>4</v>
      </c>
      <c r="K12" s="73">
        <v>4</v>
      </c>
      <c r="L12" s="73">
        <v>4</v>
      </c>
      <c r="M12" s="73">
        <v>3</v>
      </c>
      <c r="N12" s="73">
        <v>4</v>
      </c>
      <c r="O12" s="73">
        <v>2</v>
      </c>
      <c r="P12" s="73"/>
      <c r="Q12" s="73">
        <v>4</v>
      </c>
      <c r="R12" s="73">
        <v>4</v>
      </c>
      <c r="S12" s="73">
        <v>4</v>
      </c>
      <c r="T12" s="73"/>
      <c r="U12" s="73" t="s">
        <v>37</v>
      </c>
      <c r="V12" s="73" t="s">
        <v>1354</v>
      </c>
      <c r="Y12" s="73" t="s">
        <v>1358</v>
      </c>
      <c r="Z12" s="73" t="s">
        <v>1359</v>
      </c>
      <c r="AA12" s="73" t="s">
        <v>1351</v>
      </c>
      <c r="AB12" s="73"/>
      <c r="AC12" s="73" t="s">
        <v>1352</v>
      </c>
      <c r="AD12" s="73" t="s">
        <v>1362</v>
      </c>
      <c r="AE12" s="73" t="s">
        <v>521</v>
      </c>
      <c r="AF12" s="73">
        <v>5</v>
      </c>
      <c r="AG12" s="73">
        <v>5</v>
      </c>
      <c r="AH12" s="73">
        <v>5</v>
      </c>
      <c r="AI12" s="73">
        <v>4</v>
      </c>
      <c r="AJ12" s="73">
        <v>5</v>
      </c>
      <c r="AK12" s="73"/>
    </row>
    <row r="13" spans="2:59" x14ac:dyDescent="0.3">
      <c r="B13" s="73" t="s">
        <v>1447</v>
      </c>
      <c r="C13" s="73" t="s">
        <v>1448</v>
      </c>
      <c r="D13" s="73" t="s">
        <v>1351</v>
      </c>
      <c r="E13" s="73"/>
      <c r="F13" s="73" t="s">
        <v>1352</v>
      </c>
      <c r="G13" s="73" t="s">
        <v>1453</v>
      </c>
      <c r="H13" s="73">
        <v>5</v>
      </c>
      <c r="I13" s="73">
        <v>5</v>
      </c>
      <c r="J13" s="73">
        <v>5</v>
      </c>
      <c r="K13" s="73">
        <v>4</v>
      </c>
      <c r="L13" s="73">
        <v>4</v>
      </c>
      <c r="M13" s="73">
        <v>5</v>
      </c>
      <c r="N13" s="73">
        <v>5</v>
      </c>
      <c r="O13" s="73">
        <v>4</v>
      </c>
      <c r="P13" s="73">
        <v>5</v>
      </c>
      <c r="Q13" s="73">
        <v>5</v>
      </c>
      <c r="R13" s="73">
        <v>4</v>
      </c>
      <c r="S13" s="73">
        <v>5</v>
      </c>
      <c r="T13" s="73"/>
      <c r="U13" s="73" t="s">
        <v>38</v>
      </c>
      <c r="V13" s="73" t="s">
        <v>1366</v>
      </c>
      <c r="Y13" s="73" t="s">
        <v>1358</v>
      </c>
      <c r="Z13" s="73" t="s">
        <v>1359</v>
      </c>
      <c r="AA13" s="73" t="s">
        <v>1351</v>
      </c>
      <c r="AB13" s="73"/>
      <c r="AC13" s="73" t="s">
        <v>1352</v>
      </c>
      <c r="AD13" s="73" t="s">
        <v>1362</v>
      </c>
      <c r="AE13" s="73" t="s">
        <v>521</v>
      </c>
      <c r="AF13" s="73">
        <v>4</v>
      </c>
      <c r="AG13" s="73">
        <v>4</v>
      </c>
      <c r="AH13" s="73">
        <v>4</v>
      </c>
      <c r="AI13" s="73">
        <v>4</v>
      </c>
      <c r="AJ13" s="73">
        <v>4</v>
      </c>
      <c r="AK13" s="73"/>
    </row>
    <row r="14" spans="2:59" x14ac:dyDescent="0.3">
      <c r="B14" s="73" t="s">
        <v>1447</v>
      </c>
      <c r="C14" s="73" t="s">
        <v>1448</v>
      </c>
      <c r="D14" s="73" t="s">
        <v>1351</v>
      </c>
      <c r="E14" s="73"/>
      <c r="F14" s="73" t="s">
        <v>1352</v>
      </c>
      <c r="G14" s="73" t="s">
        <v>1453</v>
      </c>
      <c r="H14" s="73">
        <v>5</v>
      </c>
      <c r="I14" s="73">
        <v>4</v>
      </c>
      <c r="J14" s="73">
        <v>3</v>
      </c>
      <c r="K14" s="73">
        <v>3</v>
      </c>
      <c r="L14" s="73">
        <v>4</v>
      </c>
      <c r="M14" s="73">
        <v>4</v>
      </c>
      <c r="N14" s="73">
        <v>5</v>
      </c>
      <c r="O14" s="73">
        <v>4</v>
      </c>
      <c r="P14" s="73"/>
      <c r="Q14" s="73">
        <v>5</v>
      </c>
      <c r="R14" s="73">
        <v>3</v>
      </c>
      <c r="S14" s="73">
        <v>3</v>
      </c>
      <c r="T14" s="73"/>
      <c r="U14" s="73" t="s">
        <v>42</v>
      </c>
      <c r="V14" s="73" t="s">
        <v>1454</v>
      </c>
      <c r="Y14" s="73" t="s">
        <v>1358</v>
      </c>
      <c r="Z14" s="73" t="s">
        <v>1359</v>
      </c>
      <c r="AA14" s="73" t="s">
        <v>1351</v>
      </c>
      <c r="AB14" s="73"/>
      <c r="AC14" s="73" t="s">
        <v>1352</v>
      </c>
      <c r="AD14" s="73" t="s">
        <v>1362</v>
      </c>
      <c r="AE14" s="73" t="s">
        <v>521</v>
      </c>
      <c r="AF14" s="73">
        <v>5</v>
      </c>
      <c r="AG14" s="73">
        <v>4</v>
      </c>
      <c r="AH14" s="73">
        <v>5</v>
      </c>
      <c r="AI14" s="73">
        <v>5</v>
      </c>
      <c r="AJ14" s="73">
        <v>5</v>
      </c>
      <c r="AK14" s="73"/>
    </row>
    <row r="15" spans="2:59" x14ac:dyDescent="0.3">
      <c r="B15" s="73" t="s">
        <v>1447</v>
      </c>
      <c r="C15" s="73" t="s">
        <v>1448</v>
      </c>
      <c r="D15" s="73" t="s">
        <v>1351</v>
      </c>
      <c r="E15" s="73"/>
      <c r="F15" s="73" t="s">
        <v>1352</v>
      </c>
      <c r="G15" s="73" t="s">
        <v>1453</v>
      </c>
      <c r="H15" s="73">
        <v>5</v>
      </c>
      <c r="I15" s="73">
        <v>5</v>
      </c>
      <c r="J15" s="73">
        <v>5</v>
      </c>
      <c r="K15" s="73">
        <v>5</v>
      </c>
      <c r="L15" s="73">
        <v>3</v>
      </c>
      <c r="M15" s="73">
        <v>4</v>
      </c>
      <c r="N15" s="73">
        <v>4</v>
      </c>
      <c r="O15" s="73">
        <v>2</v>
      </c>
      <c r="P15" s="73">
        <v>3</v>
      </c>
      <c r="Q15" s="73">
        <v>3</v>
      </c>
      <c r="R15" s="73">
        <v>3</v>
      </c>
      <c r="S15" s="73">
        <v>5</v>
      </c>
      <c r="T15" s="73"/>
      <c r="U15" s="73" t="s">
        <v>38</v>
      </c>
      <c r="V15" s="73" t="s">
        <v>1366</v>
      </c>
      <c r="Y15" s="73" t="s">
        <v>1358</v>
      </c>
      <c r="Z15" s="73" t="s">
        <v>1359</v>
      </c>
      <c r="AA15" s="73" t="s">
        <v>1351</v>
      </c>
      <c r="AB15" s="73"/>
      <c r="AC15" s="73" t="s">
        <v>1352</v>
      </c>
      <c r="AD15" s="73" t="s">
        <v>1362</v>
      </c>
      <c r="AE15" s="73" t="s">
        <v>521</v>
      </c>
      <c r="AF15" s="73">
        <v>5</v>
      </c>
      <c r="AG15" s="73">
        <v>5</v>
      </c>
      <c r="AH15" s="73">
        <v>5</v>
      </c>
      <c r="AI15" s="73">
        <v>4</v>
      </c>
      <c r="AJ15" s="73">
        <v>5</v>
      </c>
      <c r="AK15" s="73"/>
    </row>
    <row r="16" spans="2:59" x14ac:dyDescent="0.3">
      <c r="B16" s="73" t="s">
        <v>1447</v>
      </c>
      <c r="C16" s="73" t="s">
        <v>1448</v>
      </c>
      <c r="D16" s="73" t="s">
        <v>1351</v>
      </c>
      <c r="E16" s="73"/>
      <c r="F16" s="73" t="s">
        <v>1352</v>
      </c>
      <c r="G16" s="73" t="s">
        <v>1453</v>
      </c>
      <c r="H16" s="73">
        <v>5</v>
      </c>
      <c r="I16" s="73">
        <v>5</v>
      </c>
      <c r="J16" s="73">
        <v>5</v>
      </c>
      <c r="K16" s="73">
        <v>5</v>
      </c>
      <c r="L16" s="73">
        <v>4</v>
      </c>
      <c r="M16" s="73">
        <v>5</v>
      </c>
      <c r="N16" s="73">
        <v>5</v>
      </c>
      <c r="O16" s="73">
        <v>5</v>
      </c>
      <c r="P16" s="73">
        <v>5</v>
      </c>
      <c r="Q16" s="73">
        <v>5</v>
      </c>
      <c r="R16" s="73">
        <v>5</v>
      </c>
      <c r="S16" s="73">
        <v>5</v>
      </c>
      <c r="T16" s="73"/>
      <c r="U16" s="73" t="s">
        <v>38</v>
      </c>
      <c r="V16" s="73" t="s">
        <v>1366</v>
      </c>
      <c r="Y16" s="73" t="s">
        <v>1358</v>
      </c>
      <c r="Z16" s="73" t="s">
        <v>1359</v>
      </c>
      <c r="AA16" s="73" t="s">
        <v>1351</v>
      </c>
      <c r="AB16" s="73"/>
      <c r="AC16" s="73" t="s">
        <v>1352</v>
      </c>
      <c r="AD16" s="73" t="s">
        <v>1362</v>
      </c>
      <c r="AE16" s="73" t="s">
        <v>521</v>
      </c>
      <c r="AF16" s="73">
        <v>5</v>
      </c>
      <c r="AG16" s="73">
        <v>5</v>
      </c>
      <c r="AH16" s="73">
        <v>5</v>
      </c>
      <c r="AI16" s="73">
        <v>5</v>
      </c>
      <c r="AJ16" s="73">
        <v>5</v>
      </c>
      <c r="AK16" s="73"/>
    </row>
    <row r="17" spans="2:37" x14ac:dyDescent="0.3">
      <c r="B17" s="73" t="s">
        <v>1447</v>
      </c>
      <c r="C17" s="73" t="s">
        <v>1448</v>
      </c>
      <c r="D17" s="73" t="s">
        <v>1351</v>
      </c>
      <c r="E17" s="73"/>
      <c r="F17" s="73" t="s">
        <v>1352</v>
      </c>
      <c r="G17" s="73" t="s">
        <v>1453</v>
      </c>
      <c r="H17" s="73">
        <v>4</v>
      </c>
      <c r="I17" s="73">
        <v>4</v>
      </c>
      <c r="J17" s="73">
        <v>4</v>
      </c>
      <c r="K17" s="73">
        <v>4</v>
      </c>
      <c r="L17" s="73">
        <v>3</v>
      </c>
      <c r="M17" s="73">
        <v>4</v>
      </c>
      <c r="N17" s="73">
        <v>4</v>
      </c>
      <c r="O17" s="73">
        <v>2</v>
      </c>
      <c r="P17" s="73">
        <v>4</v>
      </c>
      <c r="Q17" s="73">
        <v>4</v>
      </c>
      <c r="R17" s="73">
        <v>3</v>
      </c>
      <c r="S17" s="73">
        <v>4</v>
      </c>
      <c r="T17" s="73"/>
      <c r="U17" s="73" t="s">
        <v>40</v>
      </c>
      <c r="V17" s="73" t="s">
        <v>1413</v>
      </c>
      <c r="Y17" s="73" t="s">
        <v>1363</v>
      </c>
      <c r="Z17" s="73" t="s">
        <v>1364</v>
      </c>
      <c r="AA17" s="73" t="s">
        <v>1351</v>
      </c>
      <c r="AB17" s="73"/>
      <c r="AC17" s="73" t="s">
        <v>1352</v>
      </c>
      <c r="AD17" s="73" t="s">
        <v>1365</v>
      </c>
      <c r="AE17" s="73" t="s">
        <v>1125</v>
      </c>
      <c r="AF17" s="73">
        <v>5</v>
      </c>
      <c r="AG17" s="73">
        <v>5</v>
      </c>
      <c r="AH17" s="73">
        <v>5</v>
      </c>
      <c r="AI17" s="73">
        <v>5</v>
      </c>
      <c r="AJ17" s="73">
        <v>5</v>
      </c>
      <c r="AK17" s="73"/>
    </row>
    <row r="18" spans="2:37" x14ac:dyDescent="0.3">
      <c r="B18" s="73" t="s">
        <v>1447</v>
      </c>
      <c r="C18" s="73" t="s">
        <v>1448</v>
      </c>
      <c r="D18" s="73" t="s">
        <v>1351</v>
      </c>
      <c r="E18" s="73"/>
      <c r="F18" s="73" t="s">
        <v>1352</v>
      </c>
      <c r="G18" s="73" t="s">
        <v>1453</v>
      </c>
      <c r="H18" s="73">
        <v>5</v>
      </c>
      <c r="I18" s="73">
        <v>5</v>
      </c>
      <c r="J18" s="73">
        <v>5</v>
      </c>
      <c r="K18" s="73">
        <v>5</v>
      </c>
      <c r="L18" s="73">
        <v>3</v>
      </c>
      <c r="M18" s="73">
        <v>5</v>
      </c>
      <c r="N18" s="73">
        <v>5</v>
      </c>
      <c r="O18" s="73">
        <v>5</v>
      </c>
      <c r="P18" s="73"/>
      <c r="Q18" s="73">
        <v>5</v>
      </c>
      <c r="R18" s="73">
        <v>5</v>
      </c>
      <c r="S18" s="73">
        <v>5</v>
      </c>
      <c r="T18" s="73"/>
      <c r="U18" s="73"/>
      <c r="V18" s="73" t="s">
        <v>1370</v>
      </c>
      <c r="Y18" s="73" t="s">
        <v>1363</v>
      </c>
      <c r="Z18" s="73" t="s">
        <v>1364</v>
      </c>
      <c r="AA18" s="73" t="s">
        <v>1351</v>
      </c>
      <c r="AB18" s="73"/>
      <c r="AC18" s="73" t="s">
        <v>1352</v>
      </c>
      <c r="AD18" s="73" t="s">
        <v>1365</v>
      </c>
      <c r="AE18" s="73" t="s">
        <v>1125</v>
      </c>
      <c r="AF18" s="73">
        <v>4</v>
      </c>
      <c r="AG18" s="73">
        <v>4</v>
      </c>
      <c r="AH18" s="73">
        <v>5</v>
      </c>
      <c r="AI18" s="73">
        <v>5</v>
      </c>
      <c r="AJ18" s="73">
        <v>5</v>
      </c>
      <c r="AK18" s="73"/>
    </row>
    <row r="19" spans="2:37" x14ac:dyDescent="0.3">
      <c r="B19" s="73" t="s">
        <v>1429</v>
      </c>
      <c r="C19" s="73" t="s">
        <v>1430</v>
      </c>
      <c r="D19" s="73" t="s">
        <v>1351</v>
      </c>
      <c r="E19" s="73"/>
      <c r="F19" s="73" t="s">
        <v>1352</v>
      </c>
      <c r="G19" s="73" t="s">
        <v>1439</v>
      </c>
      <c r="H19" s="73">
        <v>5</v>
      </c>
      <c r="I19" s="73">
        <v>5</v>
      </c>
      <c r="J19" s="73">
        <v>5</v>
      </c>
      <c r="K19" s="73">
        <v>5</v>
      </c>
      <c r="L19" s="73">
        <v>4</v>
      </c>
      <c r="M19" s="73"/>
      <c r="N19" s="73">
        <v>4</v>
      </c>
      <c r="O19" s="73">
        <v>4</v>
      </c>
      <c r="P19" s="73">
        <v>3</v>
      </c>
      <c r="Q19" s="73">
        <v>3</v>
      </c>
      <c r="R19" s="73">
        <v>4</v>
      </c>
      <c r="S19" s="73">
        <v>5</v>
      </c>
      <c r="T19" s="73" t="s">
        <v>1431</v>
      </c>
      <c r="U19" s="73" t="s">
        <v>39</v>
      </c>
      <c r="V19" s="73" t="s">
        <v>1369</v>
      </c>
      <c r="Y19" s="73" t="s">
        <v>1363</v>
      </c>
      <c r="Z19" s="73" t="s">
        <v>1364</v>
      </c>
      <c r="AA19" s="73" t="s">
        <v>1351</v>
      </c>
      <c r="AB19" s="73"/>
      <c r="AC19" s="73" t="s">
        <v>1352</v>
      </c>
      <c r="AD19" s="73" t="s">
        <v>1365</v>
      </c>
      <c r="AE19" s="73" t="s">
        <v>1125</v>
      </c>
      <c r="AF19" s="73">
        <v>5</v>
      </c>
      <c r="AG19" s="73">
        <v>5</v>
      </c>
      <c r="AH19" s="73">
        <v>5</v>
      </c>
      <c r="AI19" s="73">
        <v>5</v>
      </c>
      <c r="AJ19" s="73">
        <v>5</v>
      </c>
      <c r="AK19" s="73"/>
    </row>
    <row r="20" spans="2:37" x14ac:dyDescent="0.3">
      <c r="B20" s="73" t="s">
        <v>1429</v>
      </c>
      <c r="C20" s="73" t="s">
        <v>1430</v>
      </c>
      <c r="D20" s="73" t="s">
        <v>1351</v>
      </c>
      <c r="E20" s="73"/>
      <c r="F20" s="73" t="s">
        <v>1352</v>
      </c>
      <c r="G20" s="73" t="s">
        <v>1439</v>
      </c>
      <c r="H20" s="73">
        <v>5</v>
      </c>
      <c r="I20" s="73">
        <v>5</v>
      </c>
      <c r="J20" s="73">
        <v>5</v>
      </c>
      <c r="K20" s="73">
        <v>4</v>
      </c>
      <c r="L20" s="73">
        <v>4</v>
      </c>
      <c r="M20" s="73">
        <v>5</v>
      </c>
      <c r="N20" s="73">
        <v>5</v>
      </c>
      <c r="O20" s="73">
        <v>4</v>
      </c>
      <c r="P20" s="73">
        <v>3</v>
      </c>
      <c r="Q20" s="73">
        <v>4</v>
      </c>
      <c r="R20" s="73">
        <v>4</v>
      </c>
      <c r="S20" s="73">
        <v>4</v>
      </c>
      <c r="T20" s="73" t="s">
        <v>1432</v>
      </c>
      <c r="U20" s="73" t="s">
        <v>38</v>
      </c>
      <c r="V20" s="73" t="s">
        <v>1366</v>
      </c>
      <c r="Y20" s="73" t="s">
        <v>1363</v>
      </c>
      <c r="Z20" s="73" t="s">
        <v>1364</v>
      </c>
      <c r="AA20" s="73" t="s">
        <v>1351</v>
      </c>
      <c r="AB20" s="73"/>
      <c r="AC20" s="73" t="s">
        <v>1352</v>
      </c>
      <c r="AD20" s="73" t="s">
        <v>1368</v>
      </c>
      <c r="AE20" s="73" t="s">
        <v>1125</v>
      </c>
      <c r="AF20" s="73">
        <v>5</v>
      </c>
      <c r="AG20" s="73">
        <v>5</v>
      </c>
      <c r="AH20" s="73">
        <v>5</v>
      </c>
      <c r="AI20" s="73">
        <v>5</v>
      </c>
      <c r="AJ20" s="73">
        <v>5</v>
      </c>
      <c r="AK20" s="73"/>
    </row>
    <row r="21" spans="2:37" x14ac:dyDescent="0.3">
      <c r="B21" s="73" t="s">
        <v>1429</v>
      </c>
      <c r="C21" s="73" t="s">
        <v>1430</v>
      </c>
      <c r="D21" s="73" t="s">
        <v>1351</v>
      </c>
      <c r="E21" s="73"/>
      <c r="F21" s="73" t="s">
        <v>1352</v>
      </c>
      <c r="G21" s="73" t="s">
        <v>1439</v>
      </c>
      <c r="H21" s="73">
        <v>5</v>
      </c>
      <c r="I21" s="73">
        <v>5</v>
      </c>
      <c r="J21" s="73">
        <v>5</v>
      </c>
      <c r="K21" s="73">
        <v>5</v>
      </c>
      <c r="L21" s="73">
        <v>5</v>
      </c>
      <c r="M21" s="73">
        <v>5</v>
      </c>
      <c r="N21" s="73">
        <v>5</v>
      </c>
      <c r="O21" s="73">
        <v>5</v>
      </c>
      <c r="P21" s="73">
        <v>5</v>
      </c>
      <c r="Q21" s="73">
        <v>5</v>
      </c>
      <c r="R21" s="73">
        <v>4</v>
      </c>
      <c r="S21" s="73">
        <v>5</v>
      </c>
      <c r="T21" s="73" t="s">
        <v>1433</v>
      </c>
      <c r="U21" s="73" t="s">
        <v>38</v>
      </c>
      <c r="V21" s="73" t="s">
        <v>1366</v>
      </c>
      <c r="Y21" s="73" t="s">
        <v>1363</v>
      </c>
      <c r="Z21" s="73" t="s">
        <v>1364</v>
      </c>
      <c r="AA21" s="73" t="s">
        <v>1351</v>
      </c>
      <c r="AB21" s="73"/>
      <c r="AC21" s="73" t="s">
        <v>1352</v>
      </c>
      <c r="AD21" s="73" t="s">
        <v>1368</v>
      </c>
      <c r="AE21" s="73" t="s">
        <v>1125</v>
      </c>
      <c r="AF21" s="73">
        <v>4</v>
      </c>
      <c r="AG21" s="73">
        <v>4</v>
      </c>
      <c r="AH21" s="73">
        <v>3</v>
      </c>
      <c r="AI21" s="73">
        <v>3</v>
      </c>
      <c r="AJ21" s="73">
        <v>3</v>
      </c>
      <c r="AK21" s="73"/>
    </row>
    <row r="22" spans="2:37" x14ac:dyDescent="0.3">
      <c r="B22" s="73" t="s">
        <v>1429</v>
      </c>
      <c r="C22" s="73" t="s">
        <v>1430</v>
      </c>
      <c r="D22" s="73" t="s">
        <v>1351</v>
      </c>
      <c r="E22" s="73"/>
      <c r="F22" s="73" t="s">
        <v>1352</v>
      </c>
      <c r="G22" s="73" t="s">
        <v>1439</v>
      </c>
      <c r="H22" s="73">
        <v>5</v>
      </c>
      <c r="I22" s="73">
        <v>5</v>
      </c>
      <c r="J22" s="73">
        <v>5</v>
      </c>
      <c r="K22" s="73">
        <v>5</v>
      </c>
      <c r="L22" s="73">
        <v>5</v>
      </c>
      <c r="M22" s="73">
        <v>5</v>
      </c>
      <c r="N22" s="73">
        <v>5</v>
      </c>
      <c r="O22" s="73"/>
      <c r="P22" s="73"/>
      <c r="Q22" s="73">
        <v>5</v>
      </c>
      <c r="R22" s="73">
        <v>4</v>
      </c>
      <c r="S22" s="73">
        <v>5</v>
      </c>
      <c r="T22" s="73" t="s">
        <v>1434</v>
      </c>
      <c r="U22" s="73" t="s">
        <v>38</v>
      </c>
      <c r="V22" s="73" t="s">
        <v>1366</v>
      </c>
      <c r="Y22" s="73" t="s">
        <v>1363</v>
      </c>
      <c r="Z22" s="73" t="s">
        <v>1364</v>
      </c>
      <c r="AA22" s="73" t="s">
        <v>1351</v>
      </c>
      <c r="AB22" s="73"/>
      <c r="AC22" s="73" t="s">
        <v>1352</v>
      </c>
      <c r="AD22" s="73" t="s">
        <v>1368</v>
      </c>
      <c r="AE22" s="73" t="s">
        <v>1125</v>
      </c>
      <c r="AF22" s="73">
        <v>5</v>
      </c>
      <c r="AG22" s="73">
        <v>5</v>
      </c>
      <c r="AH22" s="73">
        <v>5</v>
      </c>
      <c r="AI22" s="73">
        <v>5</v>
      </c>
      <c r="AJ22" s="73">
        <v>5</v>
      </c>
      <c r="AK22" s="73"/>
    </row>
    <row r="23" spans="2:37" x14ac:dyDescent="0.3">
      <c r="B23" s="73" t="s">
        <v>1429</v>
      </c>
      <c r="C23" s="73" t="s">
        <v>1430</v>
      </c>
      <c r="D23" s="73" t="s">
        <v>1351</v>
      </c>
      <c r="E23" s="73"/>
      <c r="F23" s="73" t="s">
        <v>1352</v>
      </c>
      <c r="G23" s="73" t="s">
        <v>1439</v>
      </c>
      <c r="H23" s="73">
        <v>5</v>
      </c>
      <c r="I23" s="73">
        <v>5</v>
      </c>
      <c r="J23" s="73">
        <v>5</v>
      </c>
      <c r="K23" s="73">
        <v>5</v>
      </c>
      <c r="L23" s="73">
        <v>5</v>
      </c>
      <c r="M23" s="73">
        <v>5</v>
      </c>
      <c r="N23" s="73">
        <v>5</v>
      </c>
      <c r="O23" s="73">
        <v>5</v>
      </c>
      <c r="P23" s="73">
        <v>5</v>
      </c>
      <c r="Q23" s="73">
        <v>5</v>
      </c>
      <c r="R23" s="73">
        <v>5</v>
      </c>
      <c r="S23" s="73">
        <v>5</v>
      </c>
      <c r="T23" s="73" t="s">
        <v>1435</v>
      </c>
      <c r="U23" s="73" t="s">
        <v>39</v>
      </c>
      <c r="V23" s="73" t="s">
        <v>1369</v>
      </c>
      <c r="Y23" s="73" t="s">
        <v>1363</v>
      </c>
      <c r="Z23" s="73" t="s">
        <v>1364</v>
      </c>
      <c r="AA23" s="73" t="s">
        <v>1351</v>
      </c>
      <c r="AB23" s="73"/>
      <c r="AC23" s="73" t="s">
        <v>1352</v>
      </c>
      <c r="AD23" s="73" t="s">
        <v>1368</v>
      </c>
      <c r="AE23" s="73" t="s">
        <v>1125</v>
      </c>
      <c r="AF23" s="73">
        <v>5</v>
      </c>
      <c r="AG23" s="73">
        <v>5</v>
      </c>
      <c r="AH23" s="73">
        <v>5</v>
      </c>
      <c r="AI23" s="73">
        <v>5</v>
      </c>
      <c r="AJ23" s="73">
        <v>5</v>
      </c>
      <c r="AK23" s="73"/>
    </row>
    <row r="24" spans="2:37" x14ac:dyDescent="0.3">
      <c r="B24" s="73" t="s">
        <v>1429</v>
      </c>
      <c r="C24" s="73" t="s">
        <v>1430</v>
      </c>
      <c r="D24" s="73" t="s">
        <v>1351</v>
      </c>
      <c r="E24" s="73"/>
      <c r="F24" s="73" t="s">
        <v>1352</v>
      </c>
      <c r="G24" s="73" t="s">
        <v>1440</v>
      </c>
      <c r="H24" s="73">
        <v>5</v>
      </c>
      <c r="I24" s="73">
        <v>5</v>
      </c>
      <c r="J24" s="73">
        <v>5</v>
      </c>
      <c r="K24" s="73">
        <v>5</v>
      </c>
      <c r="L24" s="73">
        <v>4</v>
      </c>
      <c r="M24" s="73">
        <v>5</v>
      </c>
      <c r="N24" s="73">
        <v>5</v>
      </c>
      <c r="O24" s="73">
        <v>5</v>
      </c>
      <c r="P24" s="73">
        <v>5</v>
      </c>
      <c r="Q24" s="73">
        <v>5</v>
      </c>
      <c r="R24" s="73">
        <v>5</v>
      </c>
      <c r="S24" s="73">
        <v>5</v>
      </c>
      <c r="T24" s="73" t="s">
        <v>1436</v>
      </c>
      <c r="U24" s="73" t="s">
        <v>39</v>
      </c>
      <c r="V24" s="73" t="s">
        <v>1369</v>
      </c>
      <c r="Y24" s="73" t="s">
        <v>1363</v>
      </c>
      <c r="Z24" s="73" t="s">
        <v>1364</v>
      </c>
      <c r="AA24" s="73" t="s">
        <v>1351</v>
      </c>
      <c r="AB24" s="73"/>
      <c r="AC24" s="73" t="s">
        <v>1352</v>
      </c>
      <c r="AD24" s="73" t="s">
        <v>1368</v>
      </c>
      <c r="AE24" s="73" t="s">
        <v>1125</v>
      </c>
      <c r="AF24" s="73">
        <v>5</v>
      </c>
      <c r="AG24" s="73">
        <v>5</v>
      </c>
      <c r="AH24" s="73">
        <v>5</v>
      </c>
      <c r="AI24" s="73">
        <v>5</v>
      </c>
      <c r="AJ24" s="73">
        <v>5</v>
      </c>
      <c r="AK24" s="73"/>
    </row>
    <row r="25" spans="2:37" x14ac:dyDescent="0.3">
      <c r="B25" s="73" t="s">
        <v>1429</v>
      </c>
      <c r="C25" s="73" t="s">
        <v>1430</v>
      </c>
      <c r="D25" s="73" t="s">
        <v>1351</v>
      </c>
      <c r="E25" s="73"/>
      <c r="F25" s="73" t="s">
        <v>1352</v>
      </c>
      <c r="G25" s="73" t="s">
        <v>1440</v>
      </c>
      <c r="H25" s="73">
        <v>5</v>
      </c>
      <c r="I25" s="73">
        <v>5</v>
      </c>
      <c r="J25" s="73">
        <v>4</v>
      </c>
      <c r="K25" s="73">
        <v>4</v>
      </c>
      <c r="L25" s="73">
        <v>5</v>
      </c>
      <c r="M25" s="73">
        <v>5</v>
      </c>
      <c r="N25" s="73">
        <v>5</v>
      </c>
      <c r="O25" s="73">
        <v>4</v>
      </c>
      <c r="P25" s="73">
        <v>3</v>
      </c>
      <c r="Q25" s="73">
        <v>4</v>
      </c>
      <c r="R25" s="73">
        <v>4</v>
      </c>
      <c r="S25" s="73">
        <v>5</v>
      </c>
      <c r="T25" s="73" t="s">
        <v>1437</v>
      </c>
      <c r="U25" s="73" t="s">
        <v>1219</v>
      </c>
      <c r="V25" s="73" t="s">
        <v>1367</v>
      </c>
      <c r="Y25" s="73" t="s">
        <v>1363</v>
      </c>
      <c r="Z25" s="73" t="s">
        <v>1364</v>
      </c>
      <c r="AA25" s="73" t="s">
        <v>1351</v>
      </c>
      <c r="AB25" s="73"/>
      <c r="AC25" s="73" t="s">
        <v>1352</v>
      </c>
      <c r="AD25" s="73" t="s">
        <v>1368</v>
      </c>
      <c r="AE25" s="73" t="s">
        <v>1125</v>
      </c>
      <c r="AF25" s="73">
        <v>5</v>
      </c>
      <c r="AG25" s="73">
        <v>5</v>
      </c>
      <c r="AH25" s="73">
        <v>5</v>
      </c>
      <c r="AI25" s="73">
        <v>5</v>
      </c>
      <c r="AJ25" s="73">
        <v>5</v>
      </c>
      <c r="AK25" s="73"/>
    </row>
    <row r="26" spans="2:37" x14ac:dyDescent="0.3">
      <c r="B26" s="73" t="s">
        <v>1429</v>
      </c>
      <c r="C26" s="73" t="s">
        <v>1430</v>
      </c>
      <c r="D26" s="73" t="s">
        <v>1351</v>
      </c>
      <c r="E26" s="73"/>
      <c r="F26" s="73" t="s">
        <v>1352</v>
      </c>
      <c r="G26" s="73" t="s">
        <v>1440</v>
      </c>
      <c r="H26" s="73">
        <v>5</v>
      </c>
      <c r="I26" s="73">
        <v>5</v>
      </c>
      <c r="J26" s="73">
        <v>5</v>
      </c>
      <c r="K26" s="73">
        <v>4</v>
      </c>
      <c r="L26" s="73">
        <v>3</v>
      </c>
      <c r="M26" s="73">
        <v>4</v>
      </c>
      <c r="N26" s="73">
        <v>5</v>
      </c>
      <c r="O26" s="73">
        <v>5</v>
      </c>
      <c r="P26" s="73">
        <v>5</v>
      </c>
      <c r="Q26" s="73">
        <v>3</v>
      </c>
      <c r="R26" s="73"/>
      <c r="S26" s="73">
        <v>5</v>
      </c>
      <c r="T26" s="73" t="s">
        <v>1438</v>
      </c>
      <c r="U26" s="73" t="s">
        <v>1219</v>
      </c>
      <c r="V26" s="73" t="s">
        <v>1367</v>
      </c>
      <c r="Y26" s="73" t="s">
        <v>1363</v>
      </c>
      <c r="Z26" s="73" t="s">
        <v>1364</v>
      </c>
      <c r="AA26" s="73" t="s">
        <v>1351</v>
      </c>
      <c r="AB26" s="73"/>
      <c r="AC26" s="73" t="s">
        <v>1352</v>
      </c>
      <c r="AD26" s="73" t="s">
        <v>1368</v>
      </c>
      <c r="AE26" s="73" t="s">
        <v>1125</v>
      </c>
      <c r="AF26" s="73">
        <v>5</v>
      </c>
      <c r="AG26" s="73">
        <v>5</v>
      </c>
      <c r="AH26" s="73">
        <v>5</v>
      </c>
      <c r="AI26" s="73">
        <v>5</v>
      </c>
      <c r="AJ26" s="73">
        <v>5</v>
      </c>
      <c r="AK26" s="73"/>
    </row>
    <row r="27" spans="2:37" x14ac:dyDescent="0.3">
      <c r="B27" s="73" t="s">
        <v>1429</v>
      </c>
      <c r="C27" s="73" t="s">
        <v>1430</v>
      </c>
      <c r="D27" s="73" t="s">
        <v>1351</v>
      </c>
      <c r="E27" s="73"/>
      <c r="F27" s="73" t="s">
        <v>1352</v>
      </c>
      <c r="G27" s="73" t="s">
        <v>1440</v>
      </c>
      <c r="H27" s="73">
        <v>5</v>
      </c>
      <c r="I27" s="73">
        <v>5</v>
      </c>
      <c r="J27" s="73">
        <v>5</v>
      </c>
      <c r="K27" s="73">
        <v>5</v>
      </c>
      <c r="L27" s="73">
        <v>5</v>
      </c>
      <c r="M27" s="73">
        <v>5</v>
      </c>
      <c r="N27" s="73">
        <v>5</v>
      </c>
      <c r="O27" s="73">
        <v>5</v>
      </c>
      <c r="P27" s="73">
        <v>5</v>
      </c>
      <c r="Q27" s="73">
        <v>5</v>
      </c>
      <c r="R27" s="73">
        <v>5</v>
      </c>
      <c r="S27" s="73">
        <v>5</v>
      </c>
      <c r="T27" s="73"/>
      <c r="U27" s="73" t="s">
        <v>38</v>
      </c>
      <c r="V27" s="73" t="s">
        <v>1366</v>
      </c>
      <c r="Y27" s="73" t="s">
        <v>1363</v>
      </c>
      <c r="Z27" s="73" t="s">
        <v>1364</v>
      </c>
      <c r="AA27" s="73" t="s">
        <v>1351</v>
      </c>
      <c r="AB27" s="73"/>
      <c r="AC27" s="73" t="s">
        <v>1352</v>
      </c>
      <c r="AD27" s="73" t="s">
        <v>1368</v>
      </c>
      <c r="AE27" s="73" t="s">
        <v>1125</v>
      </c>
      <c r="AF27" s="73">
        <v>5</v>
      </c>
      <c r="AG27" s="73">
        <v>5</v>
      </c>
      <c r="AH27" s="73">
        <v>5</v>
      </c>
      <c r="AI27" s="73">
        <v>5</v>
      </c>
      <c r="AJ27" s="73">
        <v>5</v>
      </c>
      <c r="AK27" s="73"/>
    </row>
    <row r="28" spans="2:37" x14ac:dyDescent="0.3">
      <c r="B28" s="73" t="s">
        <v>1429</v>
      </c>
      <c r="C28" s="73" t="s">
        <v>1430</v>
      </c>
      <c r="D28" s="73" t="s">
        <v>1351</v>
      </c>
      <c r="E28" s="73"/>
      <c r="F28" s="73" t="s">
        <v>1352</v>
      </c>
      <c r="G28" s="73" t="s">
        <v>1440</v>
      </c>
      <c r="H28" s="73">
        <v>5</v>
      </c>
      <c r="I28" s="73">
        <v>5</v>
      </c>
      <c r="J28" s="73">
        <v>5</v>
      </c>
      <c r="K28" s="73">
        <v>5</v>
      </c>
      <c r="L28" s="73">
        <v>3</v>
      </c>
      <c r="M28" s="73">
        <v>5</v>
      </c>
      <c r="N28" s="73">
        <v>5</v>
      </c>
      <c r="O28" s="73"/>
      <c r="P28" s="73"/>
      <c r="Q28" s="73">
        <v>5</v>
      </c>
      <c r="R28" s="73">
        <v>1</v>
      </c>
      <c r="S28" s="73">
        <v>4</v>
      </c>
      <c r="T28" s="73"/>
      <c r="U28" s="73" t="s">
        <v>38</v>
      </c>
      <c r="V28" s="73" t="s">
        <v>1366</v>
      </c>
      <c r="Y28" s="73" t="s">
        <v>1363</v>
      </c>
      <c r="Z28" s="73" t="s">
        <v>1364</v>
      </c>
      <c r="AA28" s="73" t="s">
        <v>1351</v>
      </c>
      <c r="AB28" s="73"/>
      <c r="AC28" s="73" t="s">
        <v>1352</v>
      </c>
      <c r="AD28" s="73" t="s">
        <v>1371</v>
      </c>
      <c r="AE28" s="73" t="s">
        <v>1125</v>
      </c>
      <c r="AF28" s="73">
        <v>5</v>
      </c>
      <c r="AG28" s="73">
        <v>5</v>
      </c>
      <c r="AH28" s="73">
        <v>5</v>
      </c>
      <c r="AI28" s="73">
        <v>5</v>
      </c>
      <c r="AJ28" s="73">
        <v>5</v>
      </c>
      <c r="AK28" s="73"/>
    </row>
    <row r="29" spans="2:37" x14ac:dyDescent="0.3">
      <c r="B29" s="73" t="s">
        <v>1392</v>
      </c>
      <c r="C29" s="73" t="s">
        <v>1393</v>
      </c>
      <c r="D29" s="73" t="s">
        <v>1351</v>
      </c>
      <c r="E29" s="73"/>
      <c r="F29" s="73" t="s">
        <v>1352</v>
      </c>
      <c r="G29" s="73" t="s">
        <v>1396</v>
      </c>
      <c r="H29" s="73">
        <v>5</v>
      </c>
      <c r="I29" s="73">
        <v>5</v>
      </c>
      <c r="J29" s="73">
        <v>5</v>
      </c>
      <c r="K29" s="73">
        <v>4</v>
      </c>
      <c r="L29" s="73">
        <v>5</v>
      </c>
      <c r="M29" s="73">
        <v>5</v>
      </c>
      <c r="N29" s="73">
        <v>4</v>
      </c>
      <c r="O29" s="73">
        <v>3</v>
      </c>
      <c r="P29" s="73"/>
      <c r="Q29" s="73">
        <v>4</v>
      </c>
      <c r="R29" s="73">
        <v>3</v>
      </c>
      <c r="S29" s="73">
        <v>5</v>
      </c>
      <c r="T29" s="73" t="s">
        <v>1394</v>
      </c>
      <c r="U29" s="73" t="s">
        <v>39</v>
      </c>
      <c r="V29" s="73" t="s">
        <v>1369</v>
      </c>
      <c r="Y29" s="73" t="s">
        <v>1404</v>
      </c>
      <c r="Z29" s="73" t="s">
        <v>1399</v>
      </c>
      <c r="AA29" s="73" t="s">
        <v>1351</v>
      </c>
      <c r="AB29" s="73"/>
      <c r="AC29" s="73" t="s">
        <v>1352</v>
      </c>
      <c r="AD29" s="73" t="s">
        <v>1405</v>
      </c>
      <c r="AE29" s="73" t="s">
        <v>1156</v>
      </c>
      <c r="AF29" s="73">
        <v>5</v>
      </c>
      <c r="AG29" s="73">
        <v>5</v>
      </c>
      <c r="AH29" s="73">
        <v>5</v>
      </c>
      <c r="AI29" s="73">
        <v>5</v>
      </c>
      <c r="AJ29" s="73">
        <v>5</v>
      </c>
      <c r="AK29" s="73"/>
    </row>
    <row r="30" spans="2:37" x14ac:dyDescent="0.3">
      <c r="B30" s="73" t="s">
        <v>1392</v>
      </c>
      <c r="C30" s="73" t="s">
        <v>1393</v>
      </c>
      <c r="D30" s="73" t="s">
        <v>1351</v>
      </c>
      <c r="E30" s="73"/>
      <c r="F30" s="73" t="s">
        <v>1352</v>
      </c>
      <c r="G30" s="73" t="s">
        <v>1396</v>
      </c>
      <c r="H30" s="73">
        <v>5</v>
      </c>
      <c r="I30" s="73">
        <v>4</v>
      </c>
      <c r="J30" s="73">
        <v>4</v>
      </c>
      <c r="K30" s="73">
        <v>4</v>
      </c>
      <c r="L30" s="73">
        <v>5</v>
      </c>
      <c r="M30" s="73">
        <v>5</v>
      </c>
      <c r="N30" s="73">
        <v>5</v>
      </c>
      <c r="O30" s="73">
        <v>2</v>
      </c>
      <c r="P30" s="73"/>
      <c r="Q30" s="73">
        <v>4</v>
      </c>
      <c r="R30" s="73">
        <v>3</v>
      </c>
      <c r="S30" s="73">
        <v>4</v>
      </c>
      <c r="T30" s="73" t="s">
        <v>1395</v>
      </c>
      <c r="U30" s="73" t="s">
        <v>37</v>
      </c>
      <c r="V30" s="73" t="s">
        <v>1354</v>
      </c>
      <c r="Y30" s="73" t="s">
        <v>1404</v>
      </c>
      <c r="Z30" s="73" t="s">
        <v>1399</v>
      </c>
      <c r="AA30" s="73" t="s">
        <v>1351</v>
      </c>
      <c r="AB30" s="73"/>
      <c r="AC30" s="73" t="s">
        <v>1352</v>
      </c>
      <c r="AD30" s="73" t="s">
        <v>1405</v>
      </c>
      <c r="AE30" s="73" t="s">
        <v>1156</v>
      </c>
      <c r="AF30" s="73">
        <v>5</v>
      </c>
      <c r="AG30" s="73">
        <v>5</v>
      </c>
      <c r="AH30" s="73">
        <v>5</v>
      </c>
      <c r="AI30" s="73">
        <v>5</v>
      </c>
      <c r="AJ30" s="73">
        <v>5</v>
      </c>
      <c r="AK30" s="73"/>
    </row>
    <row r="31" spans="2:37" x14ac:dyDescent="0.3">
      <c r="B31" s="73" t="s">
        <v>1392</v>
      </c>
      <c r="C31" s="73" t="s">
        <v>1393</v>
      </c>
      <c r="D31" s="73" t="s">
        <v>1351</v>
      </c>
      <c r="E31" s="73"/>
      <c r="F31" s="73" t="s">
        <v>1352</v>
      </c>
      <c r="G31" s="73" t="s">
        <v>1396</v>
      </c>
      <c r="H31" s="73">
        <v>5</v>
      </c>
      <c r="I31" s="73">
        <v>5</v>
      </c>
      <c r="J31" s="73">
        <v>5</v>
      </c>
      <c r="K31" s="73">
        <v>4</v>
      </c>
      <c r="L31" s="73">
        <v>5</v>
      </c>
      <c r="M31" s="73">
        <v>5</v>
      </c>
      <c r="N31" s="73">
        <v>3</v>
      </c>
      <c r="O31" s="73">
        <v>2</v>
      </c>
      <c r="P31" s="73">
        <v>4</v>
      </c>
      <c r="Q31" s="73">
        <v>4</v>
      </c>
      <c r="R31" s="73">
        <v>4</v>
      </c>
      <c r="S31" s="73">
        <v>4</v>
      </c>
      <c r="T31" s="73"/>
      <c r="U31" s="73" t="s">
        <v>1219</v>
      </c>
      <c r="V31" s="73" t="s">
        <v>1367</v>
      </c>
      <c r="Y31" s="73" t="s">
        <v>1404</v>
      </c>
      <c r="Z31" s="73" t="s">
        <v>1399</v>
      </c>
      <c r="AA31" s="73" t="s">
        <v>1351</v>
      </c>
      <c r="AB31" s="73"/>
      <c r="AC31" s="73" t="s">
        <v>1352</v>
      </c>
      <c r="AD31" s="73" t="s">
        <v>1405</v>
      </c>
      <c r="AE31" s="73" t="s">
        <v>1156</v>
      </c>
      <c r="AF31" s="73">
        <v>5</v>
      </c>
      <c r="AG31" s="73">
        <v>5</v>
      </c>
      <c r="AH31" s="73">
        <v>5</v>
      </c>
      <c r="AI31" s="73">
        <v>5</v>
      </c>
      <c r="AJ31" s="73">
        <v>5</v>
      </c>
      <c r="AK31" s="73"/>
    </row>
    <row r="32" spans="2:37" x14ac:dyDescent="0.3">
      <c r="B32" s="73" t="s">
        <v>1392</v>
      </c>
      <c r="C32" s="73" t="s">
        <v>1393</v>
      </c>
      <c r="D32" s="73" t="s">
        <v>1351</v>
      </c>
      <c r="E32" s="73"/>
      <c r="F32" s="73" t="s">
        <v>1352</v>
      </c>
      <c r="G32" s="73" t="s">
        <v>1396</v>
      </c>
      <c r="H32" s="73">
        <v>5</v>
      </c>
      <c r="I32" s="73">
        <v>4</v>
      </c>
      <c r="J32" s="73">
        <v>4</v>
      </c>
      <c r="K32" s="73">
        <v>4</v>
      </c>
      <c r="L32" s="73"/>
      <c r="M32" s="73">
        <v>3</v>
      </c>
      <c r="N32" s="73">
        <v>4</v>
      </c>
      <c r="O32" s="73">
        <v>2</v>
      </c>
      <c r="P32" s="73"/>
      <c r="Q32" s="73">
        <v>4</v>
      </c>
      <c r="R32" s="73">
        <v>3</v>
      </c>
      <c r="S32" s="73">
        <v>5</v>
      </c>
      <c r="T32" s="73"/>
      <c r="U32" s="73" t="s">
        <v>1219</v>
      </c>
      <c r="V32" s="73" t="s">
        <v>1367</v>
      </c>
      <c r="Y32" s="73" t="s">
        <v>1404</v>
      </c>
      <c r="Z32" s="73" t="s">
        <v>1399</v>
      </c>
      <c r="AA32" s="73" t="s">
        <v>1351</v>
      </c>
      <c r="AB32" s="73"/>
      <c r="AC32" s="73" t="s">
        <v>1352</v>
      </c>
      <c r="AD32" s="73" t="s">
        <v>1406</v>
      </c>
      <c r="AE32" s="73" t="s">
        <v>1156</v>
      </c>
      <c r="AF32" s="73">
        <v>5</v>
      </c>
      <c r="AG32" s="73">
        <v>5</v>
      </c>
      <c r="AH32" s="73">
        <v>5</v>
      </c>
      <c r="AI32" s="73">
        <v>5</v>
      </c>
      <c r="AJ32" s="73">
        <v>5</v>
      </c>
      <c r="AK32" s="73"/>
    </row>
    <row r="33" spans="2:37" x14ac:dyDescent="0.3">
      <c r="B33" s="73" t="s">
        <v>1392</v>
      </c>
      <c r="C33" s="73" t="s">
        <v>1393</v>
      </c>
      <c r="D33" s="73" t="s">
        <v>1351</v>
      </c>
      <c r="E33" s="73"/>
      <c r="F33" s="73" t="s">
        <v>1352</v>
      </c>
      <c r="G33" s="73" t="s">
        <v>1397</v>
      </c>
      <c r="H33" s="73">
        <v>5</v>
      </c>
      <c r="I33" s="73">
        <v>5</v>
      </c>
      <c r="J33" s="73">
        <v>5</v>
      </c>
      <c r="K33" s="73">
        <v>5</v>
      </c>
      <c r="L33" s="73">
        <v>5</v>
      </c>
      <c r="M33" s="73">
        <v>5</v>
      </c>
      <c r="N33" s="73">
        <v>5</v>
      </c>
      <c r="O33" s="73"/>
      <c r="P33" s="73"/>
      <c r="Q33" s="73">
        <v>5</v>
      </c>
      <c r="R33" s="73">
        <v>4</v>
      </c>
      <c r="S33" s="73">
        <v>5</v>
      </c>
      <c r="T33" s="73"/>
      <c r="U33" s="73" t="s">
        <v>37</v>
      </c>
      <c r="V33" s="73" t="s">
        <v>1354</v>
      </c>
      <c r="Y33" s="73" t="s">
        <v>1404</v>
      </c>
      <c r="Z33" s="73" t="s">
        <v>1399</v>
      </c>
      <c r="AA33" s="73" t="s">
        <v>1351</v>
      </c>
      <c r="AB33" s="73"/>
      <c r="AC33" s="73" t="s">
        <v>1352</v>
      </c>
      <c r="AD33" s="73" t="s">
        <v>1406</v>
      </c>
      <c r="AE33" s="73" t="s">
        <v>1156</v>
      </c>
      <c r="AF33" s="73">
        <v>5</v>
      </c>
      <c r="AG33" s="73">
        <v>5</v>
      </c>
      <c r="AH33" s="73">
        <v>5</v>
      </c>
      <c r="AI33" s="73">
        <v>5</v>
      </c>
      <c r="AJ33" s="73">
        <v>5</v>
      </c>
      <c r="AK33" s="73"/>
    </row>
    <row r="34" spans="2:37" x14ac:dyDescent="0.3">
      <c r="B34" s="73" t="s">
        <v>1392</v>
      </c>
      <c r="C34" s="73" t="s">
        <v>1393</v>
      </c>
      <c r="D34" s="73" t="s">
        <v>1351</v>
      </c>
      <c r="E34" s="73"/>
      <c r="F34" s="73" t="s">
        <v>1352</v>
      </c>
      <c r="G34" s="73" t="s">
        <v>1397</v>
      </c>
      <c r="H34" s="73">
        <v>5</v>
      </c>
      <c r="I34" s="73">
        <v>5</v>
      </c>
      <c r="J34" s="73">
        <v>5</v>
      </c>
      <c r="K34" s="73">
        <v>5</v>
      </c>
      <c r="L34" s="73">
        <v>5</v>
      </c>
      <c r="M34" s="73">
        <v>4</v>
      </c>
      <c r="N34" s="73">
        <v>5</v>
      </c>
      <c r="O34" s="73"/>
      <c r="P34" s="73"/>
      <c r="Q34" s="73">
        <v>5</v>
      </c>
      <c r="R34" s="73">
        <v>4</v>
      </c>
      <c r="S34" s="73">
        <v>5</v>
      </c>
      <c r="T34" s="73"/>
      <c r="U34" s="73" t="s">
        <v>38</v>
      </c>
      <c r="V34" s="73" t="s">
        <v>1366</v>
      </c>
      <c r="Y34" s="73" t="s">
        <v>1404</v>
      </c>
      <c r="Z34" s="73" t="s">
        <v>1399</v>
      </c>
      <c r="AA34" s="73" t="s">
        <v>1351</v>
      </c>
      <c r="AB34" s="73"/>
      <c r="AC34" s="73" t="s">
        <v>1352</v>
      </c>
      <c r="AD34" s="73" t="s">
        <v>1406</v>
      </c>
      <c r="AE34" s="73" t="s">
        <v>1156</v>
      </c>
      <c r="AF34" s="73">
        <v>5</v>
      </c>
      <c r="AG34" s="73">
        <v>5</v>
      </c>
      <c r="AH34" s="73">
        <v>5</v>
      </c>
      <c r="AI34" s="73">
        <v>5</v>
      </c>
      <c r="AJ34" s="73">
        <v>5</v>
      </c>
      <c r="AK34" s="73"/>
    </row>
    <row r="35" spans="2:37" x14ac:dyDescent="0.3">
      <c r="B35" s="73" t="s">
        <v>1392</v>
      </c>
      <c r="C35" s="73" t="s">
        <v>1393</v>
      </c>
      <c r="D35" s="73" t="s">
        <v>1351</v>
      </c>
      <c r="E35" s="73"/>
      <c r="F35" s="73" t="s">
        <v>1352</v>
      </c>
      <c r="G35" s="73" t="s">
        <v>1397</v>
      </c>
      <c r="H35" s="73">
        <v>5</v>
      </c>
      <c r="I35" s="73">
        <v>5</v>
      </c>
      <c r="J35" s="73">
        <v>5</v>
      </c>
      <c r="K35" s="73">
        <v>5</v>
      </c>
      <c r="L35" s="73">
        <v>5</v>
      </c>
      <c r="M35" s="73">
        <v>5</v>
      </c>
      <c r="N35" s="73">
        <v>5</v>
      </c>
      <c r="O35" s="73">
        <v>3</v>
      </c>
      <c r="P35" s="73"/>
      <c r="Q35" s="73"/>
      <c r="R35" s="73">
        <v>3</v>
      </c>
      <c r="S35" s="73">
        <v>4</v>
      </c>
      <c r="T35" s="73"/>
      <c r="U35" s="73" t="s">
        <v>37</v>
      </c>
      <c r="V35" s="73" t="s">
        <v>1354</v>
      </c>
      <c r="Y35" s="73" t="s">
        <v>1404</v>
      </c>
      <c r="Z35" s="73" t="s">
        <v>1399</v>
      </c>
      <c r="AA35" s="73" t="s">
        <v>1351</v>
      </c>
      <c r="AB35" s="73"/>
      <c r="AC35" s="73" t="s">
        <v>1352</v>
      </c>
      <c r="AD35" s="73" t="s">
        <v>1406</v>
      </c>
      <c r="AE35" s="73" t="s">
        <v>1156</v>
      </c>
      <c r="AF35" s="73">
        <v>5</v>
      </c>
      <c r="AG35" s="73">
        <v>5</v>
      </c>
      <c r="AH35" s="73">
        <v>5</v>
      </c>
      <c r="AI35" s="73">
        <v>5</v>
      </c>
      <c r="AJ35" s="73">
        <v>5</v>
      </c>
      <c r="AK35" s="73"/>
    </row>
    <row r="36" spans="2:37" x14ac:dyDescent="0.3">
      <c r="B36" s="73" t="s">
        <v>1392</v>
      </c>
      <c r="C36" s="73" t="s">
        <v>1393</v>
      </c>
      <c r="D36" s="73" t="s">
        <v>1351</v>
      </c>
      <c r="E36" s="73"/>
      <c r="F36" s="73" t="s">
        <v>1352</v>
      </c>
      <c r="G36" s="73" t="s">
        <v>1397</v>
      </c>
      <c r="H36" s="73">
        <v>5</v>
      </c>
      <c r="I36" s="73">
        <v>5</v>
      </c>
      <c r="J36" s="73">
        <v>5</v>
      </c>
      <c r="K36" s="73">
        <v>5</v>
      </c>
      <c r="L36" s="73"/>
      <c r="M36" s="73">
        <v>5</v>
      </c>
      <c r="N36" s="73">
        <v>5</v>
      </c>
      <c r="O36" s="73">
        <v>3</v>
      </c>
      <c r="P36" s="73">
        <v>5</v>
      </c>
      <c r="Q36" s="73">
        <v>3</v>
      </c>
      <c r="R36" s="73">
        <v>5</v>
      </c>
      <c r="S36" s="73">
        <v>5</v>
      </c>
      <c r="T36" s="73"/>
      <c r="U36" s="73" t="s">
        <v>38</v>
      </c>
      <c r="V36" s="73" t="s">
        <v>1366</v>
      </c>
      <c r="Y36" s="73" t="s">
        <v>1404</v>
      </c>
      <c r="Z36" s="73" t="s">
        <v>1399</v>
      </c>
      <c r="AA36" s="73" t="s">
        <v>1351</v>
      </c>
      <c r="AB36" s="73"/>
      <c r="AC36" s="73" t="s">
        <v>1352</v>
      </c>
      <c r="AD36" s="73" t="s">
        <v>1406</v>
      </c>
      <c r="AE36" s="73" t="s">
        <v>1156</v>
      </c>
      <c r="AF36" s="73">
        <v>5</v>
      </c>
      <c r="AG36" s="73">
        <v>5</v>
      </c>
      <c r="AH36" s="73">
        <v>5</v>
      </c>
      <c r="AI36" s="73">
        <v>5</v>
      </c>
      <c r="AJ36" s="73">
        <v>5</v>
      </c>
      <c r="AK36" s="73"/>
    </row>
    <row r="37" spans="2:37" x14ac:dyDescent="0.3">
      <c r="B37" s="73" t="s">
        <v>1392</v>
      </c>
      <c r="C37" s="73" t="s">
        <v>1393</v>
      </c>
      <c r="D37" s="73" t="s">
        <v>1351</v>
      </c>
      <c r="E37" s="73"/>
      <c r="F37" s="73" t="s">
        <v>1352</v>
      </c>
      <c r="G37" s="73" t="s">
        <v>1397</v>
      </c>
      <c r="H37" s="73">
        <v>5</v>
      </c>
      <c r="I37" s="73">
        <v>5</v>
      </c>
      <c r="J37" s="73">
        <v>5</v>
      </c>
      <c r="K37" s="73">
        <v>5</v>
      </c>
      <c r="L37" s="73">
        <v>5</v>
      </c>
      <c r="M37" s="73">
        <v>5</v>
      </c>
      <c r="N37" s="73">
        <v>5</v>
      </c>
      <c r="O37" s="73">
        <v>2</v>
      </c>
      <c r="P37" s="73"/>
      <c r="Q37" s="73"/>
      <c r="R37" s="73">
        <v>3</v>
      </c>
      <c r="S37" s="73">
        <v>5</v>
      </c>
      <c r="T37" s="73"/>
      <c r="U37" s="73" t="s">
        <v>38</v>
      </c>
      <c r="V37" s="73" t="s">
        <v>1366</v>
      </c>
      <c r="Y37" s="73" t="s">
        <v>1404</v>
      </c>
      <c r="Z37" s="73" t="s">
        <v>1399</v>
      </c>
      <c r="AA37" s="73" t="s">
        <v>1351</v>
      </c>
      <c r="AB37" s="73"/>
      <c r="AC37" s="73" t="s">
        <v>1352</v>
      </c>
      <c r="AD37" s="73" t="s">
        <v>1406</v>
      </c>
      <c r="AE37" s="73" t="s">
        <v>1156</v>
      </c>
      <c r="AF37" s="73">
        <v>5</v>
      </c>
      <c r="AG37" s="73">
        <v>5</v>
      </c>
      <c r="AH37" s="73">
        <v>5</v>
      </c>
      <c r="AI37" s="73">
        <v>5</v>
      </c>
      <c r="AJ37" s="73">
        <v>5</v>
      </c>
      <c r="AK37" s="73"/>
    </row>
    <row r="38" spans="2:37" x14ac:dyDescent="0.3">
      <c r="B38" s="73" t="s">
        <v>1392</v>
      </c>
      <c r="C38" s="73" t="s">
        <v>1393</v>
      </c>
      <c r="D38" s="73" t="s">
        <v>1351</v>
      </c>
      <c r="E38" s="73"/>
      <c r="F38" s="73" t="s">
        <v>1352</v>
      </c>
      <c r="G38" s="73" t="s">
        <v>1397</v>
      </c>
      <c r="H38" s="73">
        <v>5</v>
      </c>
      <c r="I38" s="73">
        <v>5</v>
      </c>
      <c r="J38" s="73">
        <v>5</v>
      </c>
      <c r="K38" s="73">
        <v>5</v>
      </c>
      <c r="L38" s="73">
        <v>5</v>
      </c>
      <c r="M38" s="73">
        <v>5</v>
      </c>
      <c r="N38" s="73">
        <v>5</v>
      </c>
      <c r="O38" s="73">
        <v>2</v>
      </c>
      <c r="P38" s="73"/>
      <c r="Q38" s="73">
        <v>5</v>
      </c>
      <c r="R38" s="73">
        <v>3</v>
      </c>
      <c r="S38" s="73">
        <v>5</v>
      </c>
      <c r="T38" s="73"/>
      <c r="U38" s="73" t="s">
        <v>1219</v>
      </c>
      <c r="V38" s="73" t="s">
        <v>1367</v>
      </c>
      <c r="Y38" s="73" t="s">
        <v>1404</v>
      </c>
      <c r="Z38" s="73" t="s">
        <v>1399</v>
      </c>
      <c r="AA38" s="73" t="s">
        <v>1351</v>
      </c>
      <c r="AB38" s="73"/>
      <c r="AC38" s="73" t="s">
        <v>1352</v>
      </c>
      <c r="AD38" s="73" t="s">
        <v>1406</v>
      </c>
      <c r="AE38" s="73" t="s">
        <v>1156</v>
      </c>
      <c r="AF38" s="73">
        <v>5</v>
      </c>
      <c r="AG38" s="73">
        <v>5</v>
      </c>
      <c r="AH38" s="73">
        <v>5</v>
      </c>
      <c r="AI38" s="73">
        <v>5</v>
      </c>
      <c r="AJ38" s="73">
        <v>5</v>
      </c>
      <c r="AK38" s="73"/>
    </row>
    <row r="39" spans="2:37" x14ac:dyDescent="0.3">
      <c r="B39" s="73" t="s">
        <v>1404</v>
      </c>
      <c r="C39" s="73" t="s">
        <v>1399</v>
      </c>
      <c r="D39" s="73" t="s">
        <v>1351</v>
      </c>
      <c r="E39" s="73"/>
      <c r="F39" s="73" t="s">
        <v>1352</v>
      </c>
      <c r="G39" s="73" t="s">
        <v>1405</v>
      </c>
      <c r="H39" s="73">
        <v>5</v>
      </c>
      <c r="I39" s="73">
        <v>5</v>
      </c>
      <c r="J39" s="73">
        <v>5</v>
      </c>
      <c r="K39" s="73">
        <v>5</v>
      </c>
      <c r="L39" s="73">
        <v>5</v>
      </c>
      <c r="M39" s="73">
        <v>4</v>
      </c>
      <c r="N39" s="73">
        <v>5</v>
      </c>
      <c r="O39" s="73">
        <v>5</v>
      </c>
      <c r="P39" s="73">
        <v>5</v>
      </c>
      <c r="Q39" s="73">
        <v>5</v>
      </c>
      <c r="R39" s="73">
        <v>5</v>
      </c>
      <c r="S39" s="73">
        <v>5</v>
      </c>
      <c r="T39" s="73"/>
      <c r="U39" s="73" t="s">
        <v>37</v>
      </c>
      <c r="V39" s="73" t="s">
        <v>1354</v>
      </c>
      <c r="Y39" s="73" t="s">
        <v>1404</v>
      </c>
      <c r="Z39" s="73" t="s">
        <v>1399</v>
      </c>
      <c r="AA39" s="73" t="s">
        <v>1351</v>
      </c>
      <c r="AB39" s="73"/>
      <c r="AC39" s="73" t="s">
        <v>1352</v>
      </c>
      <c r="AD39" s="73" t="s">
        <v>1406</v>
      </c>
      <c r="AE39" s="73" t="s">
        <v>1156</v>
      </c>
      <c r="AF39" s="73">
        <v>5</v>
      </c>
      <c r="AG39" s="73">
        <v>5</v>
      </c>
      <c r="AH39" s="73">
        <v>4</v>
      </c>
      <c r="AI39" s="73">
        <v>4</v>
      </c>
      <c r="AJ39" s="73">
        <v>5</v>
      </c>
      <c r="AK39" s="73"/>
    </row>
    <row r="40" spans="2:37" x14ac:dyDescent="0.3">
      <c r="B40" s="73" t="s">
        <v>1404</v>
      </c>
      <c r="C40" s="73" t="s">
        <v>1399</v>
      </c>
      <c r="D40" s="73" t="s">
        <v>1351</v>
      </c>
      <c r="E40" s="73"/>
      <c r="F40" s="73" t="s">
        <v>1352</v>
      </c>
      <c r="G40" s="73" t="s">
        <v>1405</v>
      </c>
      <c r="H40" s="73">
        <v>4</v>
      </c>
      <c r="I40" s="73">
        <v>5</v>
      </c>
      <c r="J40" s="73">
        <v>4</v>
      </c>
      <c r="K40" s="73">
        <v>4</v>
      </c>
      <c r="L40" s="73">
        <v>4</v>
      </c>
      <c r="M40" s="73">
        <v>4</v>
      </c>
      <c r="N40" s="73">
        <v>4</v>
      </c>
      <c r="O40" s="73">
        <v>5</v>
      </c>
      <c r="P40" s="73"/>
      <c r="Q40" s="73">
        <v>4</v>
      </c>
      <c r="R40" s="73">
        <v>3</v>
      </c>
      <c r="S40" s="73">
        <v>4</v>
      </c>
      <c r="T40" s="73"/>
      <c r="U40" s="73" t="s">
        <v>37</v>
      </c>
      <c r="V40" s="73" t="s">
        <v>1354</v>
      </c>
      <c r="Y40" s="73" t="s">
        <v>1404</v>
      </c>
      <c r="Z40" s="73" t="s">
        <v>1399</v>
      </c>
      <c r="AA40" s="73" t="s">
        <v>1351</v>
      </c>
      <c r="AB40" s="73"/>
      <c r="AC40" s="73" t="s">
        <v>1352</v>
      </c>
      <c r="AD40" s="73" t="s">
        <v>1407</v>
      </c>
      <c r="AE40" s="73" t="s">
        <v>1156</v>
      </c>
      <c r="AF40" s="73">
        <v>5</v>
      </c>
      <c r="AG40" s="73">
        <v>5</v>
      </c>
      <c r="AH40" s="73">
        <v>5</v>
      </c>
      <c r="AI40" s="73">
        <v>5</v>
      </c>
      <c r="AJ40" s="73">
        <v>5</v>
      </c>
      <c r="AK40" s="73"/>
    </row>
    <row r="41" spans="2:37" x14ac:dyDescent="0.3">
      <c r="B41" s="73" t="s">
        <v>1404</v>
      </c>
      <c r="C41" s="73" t="s">
        <v>1399</v>
      </c>
      <c r="D41" s="73" t="s">
        <v>1351</v>
      </c>
      <c r="E41" s="73"/>
      <c r="F41" s="73" t="s">
        <v>1352</v>
      </c>
      <c r="G41" s="73" t="s">
        <v>1405</v>
      </c>
      <c r="H41" s="73">
        <v>5</v>
      </c>
      <c r="I41" s="73">
        <v>5</v>
      </c>
      <c r="J41" s="73">
        <v>5</v>
      </c>
      <c r="K41" s="73">
        <v>5</v>
      </c>
      <c r="L41" s="73">
        <v>5</v>
      </c>
      <c r="M41" s="73">
        <v>4</v>
      </c>
      <c r="N41" s="73">
        <v>5</v>
      </c>
      <c r="O41" s="73">
        <v>5</v>
      </c>
      <c r="P41" s="73"/>
      <c r="Q41" s="73">
        <v>5</v>
      </c>
      <c r="R41" s="73">
        <v>5</v>
      </c>
      <c r="S41" s="73">
        <v>5</v>
      </c>
      <c r="T41" s="73"/>
      <c r="U41" s="73" t="s">
        <v>37</v>
      </c>
      <c r="V41" s="73" t="s">
        <v>1354</v>
      </c>
      <c r="Y41" s="73" t="s">
        <v>1404</v>
      </c>
      <c r="Z41" s="73" t="s">
        <v>1399</v>
      </c>
      <c r="AA41" s="73" t="s">
        <v>1351</v>
      </c>
      <c r="AB41" s="73"/>
      <c r="AC41" s="73" t="s">
        <v>1352</v>
      </c>
      <c r="AD41" s="73" t="s">
        <v>1407</v>
      </c>
      <c r="AE41" s="73" t="s">
        <v>1156</v>
      </c>
      <c r="AF41" s="73">
        <v>5</v>
      </c>
      <c r="AG41" s="73">
        <v>5</v>
      </c>
      <c r="AH41" s="73">
        <v>5</v>
      </c>
      <c r="AI41" s="73">
        <v>5</v>
      </c>
      <c r="AJ41" s="73">
        <v>5</v>
      </c>
      <c r="AK41" s="73"/>
    </row>
    <row r="42" spans="2:37" x14ac:dyDescent="0.3">
      <c r="B42" s="73" t="s">
        <v>1404</v>
      </c>
      <c r="C42" s="73" t="s">
        <v>1399</v>
      </c>
      <c r="D42" s="73" t="s">
        <v>1351</v>
      </c>
      <c r="E42" s="73"/>
      <c r="F42" s="73" t="s">
        <v>1352</v>
      </c>
      <c r="G42" s="73" t="s">
        <v>1405</v>
      </c>
      <c r="H42" s="73">
        <v>5</v>
      </c>
      <c r="I42" s="73">
        <v>5</v>
      </c>
      <c r="J42" s="73">
        <v>5</v>
      </c>
      <c r="K42" s="73">
        <v>5</v>
      </c>
      <c r="L42" s="73">
        <v>5</v>
      </c>
      <c r="M42" s="73">
        <v>5</v>
      </c>
      <c r="N42" s="73">
        <v>4</v>
      </c>
      <c r="O42" s="73">
        <v>5</v>
      </c>
      <c r="P42" s="73"/>
      <c r="Q42" s="73">
        <v>3</v>
      </c>
      <c r="R42" s="73">
        <v>5</v>
      </c>
      <c r="S42" s="73">
        <v>5</v>
      </c>
      <c r="T42" s="73"/>
      <c r="U42" s="73" t="s">
        <v>37</v>
      </c>
      <c r="V42" s="73" t="s">
        <v>1354</v>
      </c>
      <c r="Y42" s="73" t="s">
        <v>1404</v>
      </c>
      <c r="Z42" s="73" t="s">
        <v>1399</v>
      </c>
      <c r="AA42" s="73" t="s">
        <v>1351</v>
      </c>
      <c r="AB42" s="73"/>
      <c r="AC42" s="73" t="s">
        <v>1352</v>
      </c>
      <c r="AD42" s="73" t="s">
        <v>1407</v>
      </c>
      <c r="AE42" s="73" t="s">
        <v>1156</v>
      </c>
      <c r="AF42" s="73">
        <v>5</v>
      </c>
      <c r="AG42" s="73">
        <v>5</v>
      </c>
      <c r="AH42" s="73">
        <v>5</v>
      </c>
      <c r="AI42" s="73">
        <v>5</v>
      </c>
      <c r="AJ42" s="73">
        <v>5</v>
      </c>
      <c r="AK42" s="73"/>
    </row>
    <row r="43" spans="2:37" x14ac:dyDescent="0.3">
      <c r="B43" s="73" t="s">
        <v>1404</v>
      </c>
      <c r="C43" s="73" t="s">
        <v>1399</v>
      </c>
      <c r="D43" s="73" t="s">
        <v>1351</v>
      </c>
      <c r="E43" s="73"/>
      <c r="F43" s="73" t="s">
        <v>1352</v>
      </c>
      <c r="G43" s="73" t="s">
        <v>1406</v>
      </c>
      <c r="H43" s="73">
        <v>5</v>
      </c>
      <c r="I43" s="73">
        <v>5</v>
      </c>
      <c r="J43" s="73">
        <v>5</v>
      </c>
      <c r="K43" s="73">
        <v>4</v>
      </c>
      <c r="L43" s="73">
        <v>5</v>
      </c>
      <c r="M43" s="73">
        <v>3</v>
      </c>
      <c r="N43" s="73">
        <v>4</v>
      </c>
      <c r="O43" s="73">
        <v>5</v>
      </c>
      <c r="P43" s="73"/>
      <c r="Q43" s="73">
        <v>3</v>
      </c>
      <c r="R43" s="73">
        <v>5</v>
      </c>
      <c r="S43" s="73">
        <v>5</v>
      </c>
      <c r="T43" s="73"/>
      <c r="U43" s="73" t="s">
        <v>37</v>
      </c>
      <c r="V43" s="73" t="s">
        <v>1354</v>
      </c>
      <c r="Y43" s="73" t="s">
        <v>1398</v>
      </c>
      <c r="Z43" s="73" t="s">
        <v>1399</v>
      </c>
      <c r="AA43" s="73" t="s">
        <v>1351</v>
      </c>
      <c r="AB43" s="73"/>
      <c r="AC43" s="73" t="s">
        <v>1352</v>
      </c>
      <c r="AD43" s="73" t="s">
        <v>1401</v>
      </c>
      <c r="AE43" s="73" t="s">
        <v>1156</v>
      </c>
      <c r="AF43" s="73">
        <v>5</v>
      </c>
      <c r="AG43" s="73">
        <v>5</v>
      </c>
      <c r="AH43" s="73">
        <v>5</v>
      </c>
      <c r="AI43" s="73">
        <v>5</v>
      </c>
      <c r="AJ43" s="73">
        <v>5</v>
      </c>
      <c r="AK43" s="73" t="s">
        <v>1400</v>
      </c>
    </row>
    <row r="44" spans="2:37" x14ac:dyDescent="0.3">
      <c r="B44" s="73" t="s">
        <v>1404</v>
      </c>
      <c r="C44" s="73" t="s">
        <v>1399</v>
      </c>
      <c r="D44" s="73" t="s">
        <v>1351</v>
      </c>
      <c r="E44" s="73"/>
      <c r="F44" s="73" t="s">
        <v>1352</v>
      </c>
      <c r="G44" s="73" t="s">
        <v>1406</v>
      </c>
      <c r="H44" s="73">
        <v>5</v>
      </c>
      <c r="I44" s="73">
        <v>5</v>
      </c>
      <c r="J44" s="73">
        <v>5</v>
      </c>
      <c r="K44" s="73">
        <v>5</v>
      </c>
      <c r="L44" s="73">
        <v>5</v>
      </c>
      <c r="M44" s="73">
        <v>4</v>
      </c>
      <c r="N44" s="73">
        <v>4</v>
      </c>
      <c r="O44" s="73">
        <v>4</v>
      </c>
      <c r="P44" s="73"/>
      <c r="Q44" s="73">
        <v>4</v>
      </c>
      <c r="R44" s="73">
        <v>4</v>
      </c>
      <c r="S44" s="73">
        <v>5</v>
      </c>
      <c r="T44" s="73"/>
      <c r="U44" s="73" t="s">
        <v>37</v>
      </c>
      <c r="V44" s="73" t="s">
        <v>1354</v>
      </c>
      <c r="Y44" s="73" t="s">
        <v>1398</v>
      </c>
      <c r="Z44" s="73" t="s">
        <v>1399</v>
      </c>
      <c r="AA44" s="73" t="s">
        <v>1351</v>
      </c>
      <c r="AB44" s="73"/>
      <c r="AC44" s="73" t="s">
        <v>1352</v>
      </c>
      <c r="AD44" s="73" t="s">
        <v>1401</v>
      </c>
      <c r="AE44" s="73" t="s">
        <v>1156</v>
      </c>
      <c r="AF44" s="73">
        <v>5</v>
      </c>
      <c r="AG44" s="73">
        <v>5</v>
      </c>
      <c r="AH44" s="73">
        <v>5</v>
      </c>
      <c r="AI44" s="73">
        <v>5</v>
      </c>
      <c r="AJ44" s="73">
        <v>5</v>
      </c>
      <c r="AK44" s="73"/>
    </row>
    <row r="45" spans="2:37" x14ac:dyDescent="0.3">
      <c r="B45" s="73" t="s">
        <v>1404</v>
      </c>
      <c r="C45" s="73" t="s">
        <v>1399</v>
      </c>
      <c r="D45" s="73" t="s">
        <v>1351</v>
      </c>
      <c r="E45" s="73"/>
      <c r="F45" s="73" t="s">
        <v>1352</v>
      </c>
      <c r="G45" s="73" t="s">
        <v>1406</v>
      </c>
      <c r="H45" s="73">
        <v>5</v>
      </c>
      <c r="I45" s="73">
        <v>5</v>
      </c>
      <c r="J45" s="73">
        <v>5</v>
      </c>
      <c r="K45" s="73">
        <v>4</v>
      </c>
      <c r="L45" s="73">
        <v>5</v>
      </c>
      <c r="M45" s="73">
        <v>4</v>
      </c>
      <c r="N45" s="73">
        <v>5</v>
      </c>
      <c r="O45" s="73">
        <v>4</v>
      </c>
      <c r="P45" s="73"/>
      <c r="Q45" s="73">
        <v>4</v>
      </c>
      <c r="R45" s="73">
        <v>4</v>
      </c>
      <c r="S45" s="73">
        <v>5</v>
      </c>
      <c r="T45" s="73"/>
      <c r="U45" s="73" t="s">
        <v>37</v>
      </c>
      <c r="V45" s="73" t="s">
        <v>1354</v>
      </c>
      <c r="Y45" s="73" t="s">
        <v>1398</v>
      </c>
      <c r="Z45" s="73" t="s">
        <v>1399</v>
      </c>
      <c r="AA45" s="73" t="s">
        <v>1351</v>
      </c>
      <c r="AB45" s="73"/>
      <c r="AC45" s="73" t="s">
        <v>1352</v>
      </c>
      <c r="AD45" s="73" t="s">
        <v>1402</v>
      </c>
      <c r="AE45" s="73" t="s">
        <v>1156</v>
      </c>
      <c r="AF45" s="73">
        <v>5</v>
      </c>
      <c r="AG45" s="73">
        <v>5</v>
      </c>
      <c r="AH45" s="73">
        <v>5</v>
      </c>
      <c r="AI45" s="73">
        <v>5</v>
      </c>
      <c r="AJ45" s="73">
        <v>5</v>
      </c>
      <c r="AK45" s="73"/>
    </row>
    <row r="46" spans="2:37" x14ac:dyDescent="0.3">
      <c r="B46" s="73" t="s">
        <v>1404</v>
      </c>
      <c r="C46" s="73" t="s">
        <v>1399</v>
      </c>
      <c r="D46" s="73" t="s">
        <v>1351</v>
      </c>
      <c r="E46" s="73"/>
      <c r="F46" s="73" t="s">
        <v>1352</v>
      </c>
      <c r="G46" s="73" t="s">
        <v>1406</v>
      </c>
      <c r="H46" s="73">
        <v>5</v>
      </c>
      <c r="I46" s="73">
        <v>4</v>
      </c>
      <c r="J46" s="73">
        <v>5</v>
      </c>
      <c r="K46" s="73">
        <v>4</v>
      </c>
      <c r="L46" s="73">
        <v>4</v>
      </c>
      <c r="M46" s="73">
        <v>4</v>
      </c>
      <c r="N46" s="73">
        <v>5</v>
      </c>
      <c r="O46" s="73">
        <v>5</v>
      </c>
      <c r="P46" s="73"/>
      <c r="Q46" s="73">
        <v>5</v>
      </c>
      <c r="R46" s="73">
        <v>5</v>
      </c>
      <c r="S46" s="73">
        <v>5</v>
      </c>
      <c r="T46" s="73"/>
      <c r="U46" s="73" t="s">
        <v>37</v>
      </c>
      <c r="V46" s="73" t="s">
        <v>1354</v>
      </c>
      <c r="Y46" s="73" t="s">
        <v>1398</v>
      </c>
      <c r="Z46" s="73" t="s">
        <v>1399</v>
      </c>
      <c r="AA46" s="73" t="s">
        <v>1351</v>
      </c>
      <c r="AB46" s="73"/>
      <c r="AC46" s="73" t="s">
        <v>1352</v>
      </c>
      <c r="AD46" s="73" t="s">
        <v>1402</v>
      </c>
      <c r="AE46" s="73" t="s">
        <v>1156</v>
      </c>
      <c r="AF46" s="73">
        <v>5</v>
      </c>
      <c r="AG46" s="73">
        <v>5</v>
      </c>
      <c r="AH46" s="73">
        <v>5</v>
      </c>
      <c r="AI46" s="73">
        <v>5</v>
      </c>
      <c r="AJ46" s="73">
        <v>5</v>
      </c>
      <c r="AK46" s="73"/>
    </row>
    <row r="47" spans="2:37" x14ac:dyDescent="0.3">
      <c r="B47" s="73" t="s">
        <v>1404</v>
      </c>
      <c r="C47" s="73" t="s">
        <v>1399</v>
      </c>
      <c r="D47" s="73" t="s">
        <v>1351</v>
      </c>
      <c r="E47" s="73"/>
      <c r="F47" s="73" t="s">
        <v>1352</v>
      </c>
      <c r="G47" s="73" t="s">
        <v>1406</v>
      </c>
      <c r="H47" s="73">
        <v>5</v>
      </c>
      <c r="I47" s="73">
        <v>4</v>
      </c>
      <c r="J47" s="73">
        <v>4</v>
      </c>
      <c r="K47" s="73">
        <v>4</v>
      </c>
      <c r="L47" s="73">
        <v>5</v>
      </c>
      <c r="M47" s="73">
        <v>3</v>
      </c>
      <c r="N47" s="73">
        <v>5</v>
      </c>
      <c r="O47" s="73">
        <v>5</v>
      </c>
      <c r="P47" s="73"/>
      <c r="Q47" s="73">
        <v>5</v>
      </c>
      <c r="R47" s="73">
        <v>5</v>
      </c>
      <c r="S47" s="73">
        <v>5</v>
      </c>
      <c r="T47" s="73"/>
      <c r="U47" s="73" t="s">
        <v>37</v>
      </c>
      <c r="V47" s="73" t="s">
        <v>1354</v>
      </c>
      <c r="Y47" s="73" t="s">
        <v>1398</v>
      </c>
      <c r="Z47" s="73" t="s">
        <v>1399</v>
      </c>
      <c r="AA47" s="73" t="s">
        <v>1351</v>
      </c>
      <c r="AB47" s="73"/>
      <c r="AC47" s="73" t="s">
        <v>1352</v>
      </c>
      <c r="AD47" s="73" t="s">
        <v>1402</v>
      </c>
      <c r="AE47" s="73" t="s">
        <v>1156</v>
      </c>
      <c r="AF47" s="73">
        <v>5</v>
      </c>
      <c r="AG47" s="73">
        <v>5</v>
      </c>
      <c r="AH47" s="73">
        <v>5</v>
      </c>
      <c r="AI47" s="73">
        <v>5</v>
      </c>
      <c r="AJ47" s="73">
        <v>5</v>
      </c>
      <c r="AK47" s="73"/>
    </row>
    <row r="48" spans="2:37" x14ac:dyDescent="0.3">
      <c r="B48" s="73" t="s">
        <v>1404</v>
      </c>
      <c r="C48" s="73" t="s">
        <v>1399</v>
      </c>
      <c r="D48" s="73" t="s">
        <v>1351</v>
      </c>
      <c r="E48" s="73"/>
      <c r="F48" s="73" t="s">
        <v>1352</v>
      </c>
      <c r="G48" s="73" t="s">
        <v>1406</v>
      </c>
      <c r="H48" s="73">
        <v>5</v>
      </c>
      <c r="I48" s="73">
        <v>5</v>
      </c>
      <c r="J48" s="73">
        <v>5</v>
      </c>
      <c r="K48" s="73">
        <v>5</v>
      </c>
      <c r="L48" s="73">
        <v>5</v>
      </c>
      <c r="M48" s="73">
        <v>5</v>
      </c>
      <c r="N48" s="73">
        <v>5</v>
      </c>
      <c r="O48" s="73">
        <v>5</v>
      </c>
      <c r="P48" s="73"/>
      <c r="Q48" s="73">
        <v>4</v>
      </c>
      <c r="R48" s="73">
        <v>5</v>
      </c>
      <c r="S48" s="73">
        <v>5</v>
      </c>
      <c r="T48" s="73"/>
      <c r="U48" s="73" t="s">
        <v>37</v>
      </c>
      <c r="V48" s="73" t="s">
        <v>1354</v>
      </c>
      <c r="Y48" s="73" t="s">
        <v>1398</v>
      </c>
      <c r="Z48" s="73" t="s">
        <v>1399</v>
      </c>
      <c r="AA48" s="73" t="s">
        <v>1351</v>
      </c>
      <c r="AB48" s="73"/>
      <c r="AC48" s="73" t="s">
        <v>1352</v>
      </c>
      <c r="AD48" s="73" t="s">
        <v>1402</v>
      </c>
      <c r="AE48" s="73" t="s">
        <v>1156</v>
      </c>
      <c r="AF48" s="73">
        <v>5</v>
      </c>
      <c r="AG48" s="73">
        <v>5</v>
      </c>
      <c r="AH48" s="73">
        <v>5</v>
      </c>
      <c r="AI48" s="73">
        <v>5</v>
      </c>
      <c r="AJ48" s="73">
        <v>5</v>
      </c>
      <c r="AK48" s="73"/>
    </row>
    <row r="49" spans="2:37" x14ac:dyDescent="0.3">
      <c r="B49" s="73" t="s">
        <v>1404</v>
      </c>
      <c r="C49" s="73" t="s">
        <v>1399</v>
      </c>
      <c r="D49" s="73" t="s">
        <v>1351</v>
      </c>
      <c r="E49" s="73"/>
      <c r="F49" s="73" t="s">
        <v>1352</v>
      </c>
      <c r="G49" s="73" t="s">
        <v>1406</v>
      </c>
      <c r="H49" s="73">
        <v>5</v>
      </c>
      <c r="I49" s="73">
        <v>4</v>
      </c>
      <c r="J49" s="73">
        <v>4</v>
      </c>
      <c r="K49" s="73">
        <v>4</v>
      </c>
      <c r="L49" s="73">
        <v>4</v>
      </c>
      <c r="M49" s="73">
        <v>3</v>
      </c>
      <c r="N49" s="73">
        <v>4</v>
      </c>
      <c r="O49" s="73">
        <v>4</v>
      </c>
      <c r="P49" s="73">
        <v>4</v>
      </c>
      <c r="Q49" s="73">
        <v>4</v>
      </c>
      <c r="R49" s="73">
        <v>5</v>
      </c>
      <c r="S49" s="73">
        <v>4</v>
      </c>
      <c r="T49" s="73"/>
      <c r="U49" s="73" t="s">
        <v>37</v>
      </c>
      <c r="V49" s="73" t="s">
        <v>1354</v>
      </c>
      <c r="Y49" s="73" t="s">
        <v>1398</v>
      </c>
      <c r="Z49" s="73" t="s">
        <v>1399</v>
      </c>
      <c r="AA49" s="73" t="s">
        <v>1351</v>
      </c>
      <c r="AB49" s="73"/>
      <c r="AC49" s="73" t="s">
        <v>1352</v>
      </c>
      <c r="AD49" s="73" t="s">
        <v>1402</v>
      </c>
      <c r="AE49" s="73" t="s">
        <v>1156</v>
      </c>
      <c r="AF49" s="73">
        <v>5</v>
      </c>
      <c r="AG49" s="73">
        <v>5</v>
      </c>
      <c r="AH49" s="73">
        <v>5</v>
      </c>
      <c r="AI49" s="73">
        <v>5</v>
      </c>
      <c r="AJ49" s="73">
        <v>5</v>
      </c>
      <c r="AK49" s="73"/>
    </row>
    <row r="50" spans="2:37" x14ac:dyDescent="0.3">
      <c r="B50" s="73" t="s">
        <v>1404</v>
      </c>
      <c r="C50" s="73" t="s">
        <v>1399</v>
      </c>
      <c r="D50" s="73" t="s">
        <v>1351</v>
      </c>
      <c r="E50" s="73"/>
      <c r="F50" s="73" t="s">
        <v>1352</v>
      </c>
      <c r="G50" s="73" t="s">
        <v>1406</v>
      </c>
      <c r="H50" s="73">
        <v>5</v>
      </c>
      <c r="I50" s="73">
        <v>5</v>
      </c>
      <c r="J50" s="73">
        <v>5</v>
      </c>
      <c r="K50" s="73">
        <v>5</v>
      </c>
      <c r="L50" s="73">
        <v>5</v>
      </c>
      <c r="M50" s="73">
        <v>5</v>
      </c>
      <c r="N50" s="73">
        <v>5</v>
      </c>
      <c r="O50" s="73">
        <v>5</v>
      </c>
      <c r="P50" s="73"/>
      <c r="Q50" s="73">
        <v>4</v>
      </c>
      <c r="R50" s="73">
        <v>5</v>
      </c>
      <c r="S50" s="73">
        <v>5</v>
      </c>
      <c r="T50" s="73"/>
      <c r="U50" s="73" t="s">
        <v>37</v>
      </c>
      <c r="V50" s="73" t="s">
        <v>1354</v>
      </c>
      <c r="Y50" s="73" t="s">
        <v>1398</v>
      </c>
      <c r="Z50" s="73" t="s">
        <v>1399</v>
      </c>
      <c r="AA50" s="73" t="s">
        <v>1351</v>
      </c>
      <c r="AB50" s="73"/>
      <c r="AC50" s="73" t="s">
        <v>1352</v>
      </c>
      <c r="AD50" s="73" t="s">
        <v>1402</v>
      </c>
      <c r="AE50" s="73" t="s">
        <v>1156</v>
      </c>
      <c r="AF50" s="73">
        <v>5</v>
      </c>
      <c r="AG50" s="73">
        <v>5</v>
      </c>
      <c r="AH50" s="73">
        <v>5</v>
      </c>
      <c r="AI50" s="73">
        <v>5</v>
      </c>
      <c r="AJ50" s="73">
        <v>5</v>
      </c>
      <c r="AK50" s="73"/>
    </row>
    <row r="51" spans="2:37" x14ac:dyDescent="0.3">
      <c r="B51" s="73" t="s">
        <v>1404</v>
      </c>
      <c r="C51" s="73" t="s">
        <v>1399</v>
      </c>
      <c r="D51" s="73" t="s">
        <v>1351</v>
      </c>
      <c r="E51" s="73"/>
      <c r="F51" s="73" t="s">
        <v>1352</v>
      </c>
      <c r="G51" s="73" t="s">
        <v>1407</v>
      </c>
      <c r="H51" s="73">
        <v>5</v>
      </c>
      <c r="I51" s="73">
        <v>5</v>
      </c>
      <c r="J51" s="73">
        <v>5</v>
      </c>
      <c r="K51" s="73">
        <v>5</v>
      </c>
      <c r="L51" s="73">
        <v>5</v>
      </c>
      <c r="M51" s="73">
        <v>5</v>
      </c>
      <c r="N51" s="73">
        <v>5</v>
      </c>
      <c r="O51" s="73">
        <v>5</v>
      </c>
      <c r="P51" s="73"/>
      <c r="Q51" s="73">
        <v>4</v>
      </c>
      <c r="R51" s="73">
        <v>5</v>
      </c>
      <c r="S51" s="73">
        <v>5</v>
      </c>
      <c r="T51" s="73"/>
      <c r="U51" s="73" t="s">
        <v>37</v>
      </c>
      <c r="V51" s="73" t="s">
        <v>1354</v>
      </c>
      <c r="Y51" s="73" t="s">
        <v>1398</v>
      </c>
      <c r="Z51" s="73" t="s">
        <v>1399</v>
      </c>
      <c r="AA51" s="73" t="s">
        <v>1351</v>
      </c>
      <c r="AB51" s="73"/>
      <c r="AC51" s="73" t="s">
        <v>1352</v>
      </c>
      <c r="AD51" s="73" t="s">
        <v>1402</v>
      </c>
      <c r="AE51" s="73" t="s">
        <v>1156</v>
      </c>
      <c r="AF51" s="73">
        <v>5</v>
      </c>
      <c r="AG51" s="73">
        <v>5</v>
      </c>
      <c r="AH51" s="73">
        <v>5</v>
      </c>
      <c r="AI51" s="73">
        <v>5</v>
      </c>
      <c r="AJ51" s="73">
        <v>5</v>
      </c>
      <c r="AK51" s="73"/>
    </row>
    <row r="52" spans="2:37" x14ac:dyDescent="0.3">
      <c r="B52" s="73" t="s">
        <v>1404</v>
      </c>
      <c r="C52" s="73" t="s">
        <v>1399</v>
      </c>
      <c r="D52" s="73" t="s">
        <v>1351</v>
      </c>
      <c r="E52" s="73"/>
      <c r="F52" s="73" t="s">
        <v>1352</v>
      </c>
      <c r="G52" s="73" t="s">
        <v>1407</v>
      </c>
      <c r="H52" s="73">
        <v>5</v>
      </c>
      <c r="I52" s="73">
        <v>5</v>
      </c>
      <c r="J52" s="73">
        <v>5</v>
      </c>
      <c r="K52" s="73">
        <v>5</v>
      </c>
      <c r="L52" s="73">
        <v>5</v>
      </c>
      <c r="M52" s="73">
        <v>5</v>
      </c>
      <c r="N52" s="73">
        <v>5</v>
      </c>
      <c r="O52" s="73">
        <v>5</v>
      </c>
      <c r="P52" s="73"/>
      <c r="Q52" s="73">
        <v>5</v>
      </c>
      <c r="R52" s="73">
        <v>5</v>
      </c>
      <c r="S52" s="73">
        <v>5</v>
      </c>
      <c r="T52" s="73"/>
      <c r="U52" s="73" t="s">
        <v>37</v>
      </c>
      <c r="V52" s="73" t="s">
        <v>1354</v>
      </c>
      <c r="Y52" s="73" t="s">
        <v>1398</v>
      </c>
      <c r="Z52" s="73" t="s">
        <v>1399</v>
      </c>
      <c r="AA52" s="73" t="s">
        <v>1351</v>
      </c>
      <c r="AB52" s="73"/>
      <c r="AC52" s="73" t="s">
        <v>1352</v>
      </c>
      <c r="AD52" s="73" t="s">
        <v>1402</v>
      </c>
      <c r="AE52" s="73" t="s">
        <v>1156</v>
      </c>
      <c r="AF52" s="73">
        <v>5</v>
      </c>
      <c r="AG52" s="73">
        <v>5</v>
      </c>
      <c r="AH52" s="73">
        <v>5</v>
      </c>
      <c r="AI52" s="73">
        <v>5</v>
      </c>
      <c r="AJ52" s="73">
        <v>5</v>
      </c>
      <c r="AK52" s="73"/>
    </row>
    <row r="53" spans="2:37" x14ac:dyDescent="0.3">
      <c r="B53" s="73" t="s">
        <v>1398</v>
      </c>
      <c r="C53" s="73" t="s">
        <v>1399</v>
      </c>
      <c r="D53" s="73" t="s">
        <v>1351</v>
      </c>
      <c r="E53" s="73"/>
      <c r="F53" s="73" t="s">
        <v>1352</v>
      </c>
      <c r="G53" s="73" t="s">
        <v>1401</v>
      </c>
      <c r="H53" s="73">
        <v>5</v>
      </c>
      <c r="I53" s="73">
        <v>5</v>
      </c>
      <c r="J53" s="73">
        <v>5</v>
      </c>
      <c r="K53" s="73">
        <v>5</v>
      </c>
      <c r="L53" s="73">
        <v>5</v>
      </c>
      <c r="M53" s="73">
        <v>5</v>
      </c>
      <c r="N53" s="73">
        <v>5</v>
      </c>
      <c r="O53" s="73">
        <v>5</v>
      </c>
      <c r="P53" s="73">
        <v>5</v>
      </c>
      <c r="Q53" s="73">
        <v>5</v>
      </c>
      <c r="R53" s="73">
        <v>5</v>
      </c>
      <c r="S53" s="73">
        <v>5</v>
      </c>
      <c r="T53" s="73" t="s">
        <v>1400</v>
      </c>
      <c r="U53" s="73" t="s">
        <v>37</v>
      </c>
      <c r="V53" s="73" t="s">
        <v>1354</v>
      </c>
      <c r="Y53" s="73" t="s">
        <v>1398</v>
      </c>
      <c r="Z53" s="73" t="s">
        <v>1399</v>
      </c>
      <c r="AA53" s="73" t="s">
        <v>1351</v>
      </c>
      <c r="AB53" s="73"/>
      <c r="AC53" s="73" t="s">
        <v>1352</v>
      </c>
      <c r="AD53" s="73" t="s">
        <v>1403</v>
      </c>
      <c r="AE53" s="73" t="s">
        <v>1156</v>
      </c>
      <c r="AF53" s="73">
        <v>5</v>
      </c>
      <c r="AG53" s="73">
        <v>5</v>
      </c>
      <c r="AH53" s="73">
        <v>5</v>
      </c>
      <c r="AI53" s="73">
        <v>5</v>
      </c>
      <c r="AJ53" s="73">
        <v>5</v>
      </c>
      <c r="AK53" s="73"/>
    </row>
    <row r="54" spans="2:37" x14ac:dyDescent="0.3">
      <c r="B54" s="73" t="s">
        <v>1398</v>
      </c>
      <c r="C54" s="73" t="s">
        <v>1399</v>
      </c>
      <c r="D54" s="73" t="s">
        <v>1351</v>
      </c>
      <c r="E54" s="73"/>
      <c r="F54" s="73" t="s">
        <v>1352</v>
      </c>
      <c r="G54" s="73" t="s">
        <v>1401</v>
      </c>
      <c r="H54" s="73">
        <v>5</v>
      </c>
      <c r="I54" s="73">
        <v>4</v>
      </c>
      <c r="J54" s="73">
        <v>5</v>
      </c>
      <c r="K54" s="73">
        <v>5</v>
      </c>
      <c r="L54" s="73">
        <v>5</v>
      </c>
      <c r="M54" s="73">
        <v>5</v>
      </c>
      <c r="N54" s="73">
        <v>5</v>
      </c>
      <c r="O54" s="73">
        <v>3</v>
      </c>
      <c r="P54" s="73"/>
      <c r="Q54" s="73">
        <v>5</v>
      </c>
      <c r="R54" s="73">
        <v>4</v>
      </c>
      <c r="S54" s="73">
        <v>5</v>
      </c>
      <c r="T54" s="73"/>
      <c r="U54" s="73" t="s">
        <v>37</v>
      </c>
      <c r="V54" s="73" t="s">
        <v>1354</v>
      </c>
      <c r="Y54" s="73" t="s">
        <v>1398</v>
      </c>
      <c r="Z54" s="73" t="s">
        <v>1399</v>
      </c>
      <c r="AA54" s="73" t="s">
        <v>1351</v>
      </c>
      <c r="AB54" s="73"/>
      <c r="AC54" s="73" t="s">
        <v>1352</v>
      </c>
      <c r="AD54" s="73" t="s">
        <v>1403</v>
      </c>
      <c r="AE54" s="73" t="s">
        <v>1156</v>
      </c>
      <c r="AF54" s="73">
        <v>5</v>
      </c>
      <c r="AG54" s="73">
        <v>5</v>
      </c>
      <c r="AH54" s="73">
        <v>5</v>
      </c>
      <c r="AI54" s="73">
        <v>5</v>
      </c>
      <c r="AJ54" s="73">
        <v>4</v>
      </c>
      <c r="AK54" s="73"/>
    </row>
    <row r="55" spans="2:37" x14ac:dyDescent="0.3">
      <c r="B55" s="73" t="s">
        <v>1398</v>
      </c>
      <c r="C55" s="73" t="s">
        <v>1399</v>
      </c>
      <c r="D55" s="73" t="s">
        <v>1351</v>
      </c>
      <c r="E55" s="73"/>
      <c r="F55" s="73" t="s">
        <v>1352</v>
      </c>
      <c r="G55" s="73" t="s">
        <v>1402</v>
      </c>
      <c r="H55" s="73">
        <v>4</v>
      </c>
      <c r="I55" s="73">
        <v>5</v>
      </c>
      <c r="J55" s="73">
        <v>5</v>
      </c>
      <c r="K55" s="73">
        <v>4</v>
      </c>
      <c r="L55" s="73">
        <v>4</v>
      </c>
      <c r="M55" s="73">
        <v>4</v>
      </c>
      <c r="N55" s="73">
        <v>4</v>
      </c>
      <c r="O55" s="73">
        <v>4</v>
      </c>
      <c r="P55" s="73"/>
      <c r="Q55" s="73"/>
      <c r="R55" s="73">
        <v>4</v>
      </c>
      <c r="S55" s="73">
        <v>5</v>
      </c>
      <c r="T55" s="73"/>
      <c r="U55" s="73" t="s">
        <v>37</v>
      </c>
      <c r="V55" s="73" t="s">
        <v>1354</v>
      </c>
      <c r="Y55" s="73" t="s">
        <v>1398</v>
      </c>
      <c r="Z55" s="73" t="s">
        <v>1399</v>
      </c>
      <c r="AA55" s="73" t="s">
        <v>1351</v>
      </c>
      <c r="AB55" s="73"/>
      <c r="AC55" s="73" t="s">
        <v>1352</v>
      </c>
      <c r="AD55" s="73" t="s">
        <v>1403</v>
      </c>
      <c r="AE55" s="73" t="s">
        <v>1156</v>
      </c>
      <c r="AF55" s="73">
        <v>5</v>
      </c>
      <c r="AG55" s="73">
        <v>5</v>
      </c>
      <c r="AH55" s="73">
        <v>5</v>
      </c>
      <c r="AI55" s="73">
        <v>5</v>
      </c>
      <c r="AJ55" s="73">
        <v>5</v>
      </c>
      <c r="AK55" s="73"/>
    </row>
    <row r="56" spans="2:37" x14ac:dyDescent="0.3">
      <c r="B56" s="73" t="s">
        <v>1398</v>
      </c>
      <c r="C56" s="73" t="s">
        <v>1399</v>
      </c>
      <c r="D56" s="73" t="s">
        <v>1351</v>
      </c>
      <c r="E56" s="73"/>
      <c r="F56" s="73" t="s">
        <v>1352</v>
      </c>
      <c r="G56" s="73" t="s">
        <v>1402</v>
      </c>
      <c r="H56" s="73">
        <v>5</v>
      </c>
      <c r="I56" s="73">
        <v>5</v>
      </c>
      <c r="J56" s="73">
        <v>5</v>
      </c>
      <c r="K56" s="73">
        <v>5</v>
      </c>
      <c r="L56" s="73">
        <v>5</v>
      </c>
      <c r="M56" s="73">
        <v>5</v>
      </c>
      <c r="N56" s="73">
        <v>5</v>
      </c>
      <c r="O56" s="73">
        <v>4</v>
      </c>
      <c r="P56" s="73"/>
      <c r="Q56" s="73">
        <v>4</v>
      </c>
      <c r="R56" s="73">
        <v>5</v>
      </c>
      <c r="S56" s="73">
        <v>5</v>
      </c>
      <c r="T56" s="73"/>
      <c r="U56" s="73" t="s">
        <v>37</v>
      </c>
      <c r="V56" s="73" t="s">
        <v>1354</v>
      </c>
      <c r="Y56" s="73" t="s">
        <v>1398</v>
      </c>
      <c r="Z56" s="73" t="s">
        <v>1399</v>
      </c>
      <c r="AA56" s="73" t="s">
        <v>1351</v>
      </c>
      <c r="AB56" s="73"/>
      <c r="AC56" s="73" t="s">
        <v>1352</v>
      </c>
      <c r="AD56" s="73" t="s">
        <v>1403</v>
      </c>
      <c r="AE56" s="73" t="s">
        <v>1156</v>
      </c>
      <c r="AF56" s="73">
        <v>5</v>
      </c>
      <c r="AG56" s="73">
        <v>5</v>
      </c>
      <c r="AH56" s="73">
        <v>5</v>
      </c>
      <c r="AI56" s="73">
        <v>5</v>
      </c>
      <c r="AJ56" s="73">
        <v>5</v>
      </c>
      <c r="AK56" s="73"/>
    </row>
    <row r="57" spans="2:37" x14ac:dyDescent="0.3">
      <c r="B57" s="73" t="s">
        <v>1398</v>
      </c>
      <c r="C57" s="73" t="s">
        <v>1399</v>
      </c>
      <c r="D57" s="73" t="s">
        <v>1351</v>
      </c>
      <c r="E57" s="73"/>
      <c r="F57" s="73" t="s">
        <v>1352</v>
      </c>
      <c r="G57" s="73" t="s">
        <v>1402</v>
      </c>
      <c r="H57" s="73">
        <v>5</v>
      </c>
      <c r="I57" s="73">
        <v>5</v>
      </c>
      <c r="J57" s="73">
        <v>5</v>
      </c>
      <c r="K57" s="73">
        <v>5</v>
      </c>
      <c r="L57" s="73">
        <v>5</v>
      </c>
      <c r="M57" s="73">
        <v>5</v>
      </c>
      <c r="N57" s="73">
        <v>5</v>
      </c>
      <c r="O57" s="73">
        <v>5</v>
      </c>
      <c r="P57" s="73"/>
      <c r="Q57" s="73"/>
      <c r="R57" s="73">
        <v>4</v>
      </c>
      <c r="S57" s="73">
        <v>5</v>
      </c>
      <c r="T57" s="73"/>
      <c r="U57" s="73" t="s">
        <v>37</v>
      </c>
      <c r="V57" s="73" t="s">
        <v>1354</v>
      </c>
      <c r="Y57" s="73" t="s">
        <v>1441</v>
      </c>
      <c r="Z57" s="73" t="s">
        <v>1442</v>
      </c>
      <c r="AA57" s="73" t="s">
        <v>1351</v>
      </c>
      <c r="AB57" s="73"/>
      <c r="AC57" s="73" t="s">
        <v>1352</v>
      </c>
      <c r="AD57" s="73" t="s">
        <v>1445</v>
      </c>
      <c r="AE57" s="73" t="s">
        <v>186</v>
      </c>
      <c r="AF57" s="73">
        <v>5</v>
      </c>
      <c r="AG57" s="73">
        <v>5</v>
      </c>
      <c r="AH57" s="73">
        <v>5</v>
      </c>
      <c r="AI57" s="73">
        <v>5</v>
      </c>
      <c r="AJ57" s="73">
        <v>5</v>
      </c>
      <c r="AK57" s="73" t="s">
        <v>1443</v>
      </c>
    </row>
    <row r="58" spans="2:37" x14ac:dyDescent="0.3">
      <c r="B58" s="73" t="s">
        <v>1398</v>
      </c>
      <c r="C58" s="73" t="s">
        <v>1399</v>
      </c>
      <c r="D58" s="73" t="s">
        <v>1351</v>
      </c>
      <c r="E58" s="73"/>
      <c r="F58" s="73" t="s">
        <v>1352</v>
      </c>
      <c r="G58" s="73" t="s">
        <v>1402</v>
      </c>
      <c r="H58" s="73">
        <v>5</v>
      </c>
      <c r="I58" s="73">
        <v>5</v>
      </c>
      <c r="J58" s="73">
        <v>5</v>
      </c>
      <c r="K58" s="73">
        <v>4</v>
      </c>
      <c r="L58" s="73">
        <v>4</v>
      </c>
      <c r="M58" s="73">
        <v>4</v>
      </c>
      <c r="N58" s="73">
        <v>4</v>
      </c>
      <c r="O58" s="73">
        <v>4</v>
      </c>
      <c r="P58" s="73"/>
      <c r="Q58" s="73">
        <v>4</v>
      </c>
      <c r="R58" s="73">
        <v>4</v>
      </c>
      <c r="S58" s="73">
        <v>5</v>
      </c>
      <c r="T58" s="73"/>
      <c r="U58" s="73" t="s">
        <v>37</v>
      </c>
      <c r="V58" s="73" t="s">
        <v>1354</v>
      </c>
      <c r="Y58" s="73" t="s">
        <v>1441</v>
      </c>
      <c r="Z58" s="73" t="s">
        <v>1442</v>
      </c>
      <c r="AA58" s="73" t="s">
        <v>1351</v>
      </c>
      <c r="AB58" s="73"/>
      <c r="AC58" s="73" t="s">
        <v>1352</v>
      </c>
      <c r="AD58" s="73" t="s">
        <v>1446</v>
      </c>
      <c r="AE58" s="73" t="s">
        <v>186</v>
      </c>
      <c r="AF58" s="73">
        <v>4</v>
      </c>
      <c r="AG58" s="73">
        <v>4</v>
      </c>
      <c r="AH58" s="73">
        <v>4</v>
      </c>
      <c r="AI58" s="73">
        <v>5</v>
      </c>
      <c r="AJ58" s="73">
        <v>5</v>
      </c>
      <c r="AK58" s="73" t="s">
        <v>1444</v>
      </c>
    </row>
    <row r="59" spans="2:37" x14ac:dyDescent="0.3">
      <c r="B59" s="73" t="s">
        <v>1398</v>
      </c>
      <c r="C59" s="73" t="s">
        <v>1399</v>
      </c>
      <c r="D59" s="73" t="s">
        <v>1351</v>
      </c>
      <c r="E59" s="73"/>
      <c r="F59" s="73" t="s">
        <v>1352</v>
      </c>
      <c r="G59" s="73" t="s">
        <v>1402</v>
      </c>
      <c r="H59" s="73">
        <v>5</v>
      </c>
      <c r="I59" s="73">
        <v>5</v>
      </c>
      <c r="J59" s="73">
        <v>5</v>
      </c>
      <c r="K59" s="73">
        <v>5</v>
      </c>
      <c r="L59" s="73">
        <v>5</v>
      </c>
      <c r="M59" s="73">
        <v>5</v>
      </c>
      <c r="N59" s="73">
        <v>5</v>
      </c>
      <c r="O59" s="73">
        <v>5</v>
      </c>
      <c r="P59" s="73"/>
      <c r="Q59" s="73">
        <v>5</v>
      </c>
      <c r="R59" s="73">
        <v>5</v>
      </c>
      <c r="S59" s="73">
        <v>5</v>
      </c>
      <c r="T59" s="73"/>
      <c r="U59" s="73" t="s">
        <v>37</v>
      </c>
      <c r="V59" s="73" t="s">
        <v>1354</v>
      </c>
      <c r="Y59" s="73" t="s">
        <v>1441</v>
      </c>
      <c r="Z59" s="73" t="s">
        <v>1442</v>
      </c>
      <c r="AA59" s="73" t="s">
        <v>1351</v>
      </c>
      <c r="AB59" s="73"/>
      <c r="AC59" s="73" t="s">
        <v>1352</v>
      </c>
      <c r="AD59" s="73" t="s">
        <v>1446</v>
      </c>
      <c r="AE59" s="73" t="s">
        <v>186</v>
      </c>
      <c r="AF59" s="73">
        <v>5</v>
      </c>
      <c r="AG59" s="73">
        <v>5</v>
      </c>
      <c r="AH59" s="73">
        <v>5</v>
      </c>
      <c r="AI59" s="73">
        <v>5</v>
      </c>
      <c r="AJ59" s="73">
        <v>5</v>
      </c>
      <c r="AK59" s="73"/>
    </row>
    <row r="60" spans="2:37" x14ac:dyDescent="0.3">
      <c r="B60" s="73" t="s">
        <v>1398</v>
      </c>
      <c r="C60" s="73" t="s">
        <v>1399</v>
      </c>
      <c r="D60" s="73" t="s">
        <v>1351</v>
      </c>
      <c r="E60" s="73"/>
      <c r="F60" s="73" t="s">
        <v>1352</v>
      </c>
      <c r="G60" s="73" t="s">
        <v>1402</v>
      </c>
      <c r="H60" s="73">
        <v>5</v>
      </c>
      <c r="I60" s="73">
        <v>5</v>
      </c>
      <c r="J60" s="73">
        <v>5</v>
      </c>
      <c r="K60" s="73">
        <v>5</v>
      </c>
      <c r="L60" s="73">
        <v>5</v>
      </c>
      <c r="M60" s="73">
        <v>5</v>
      </c>
      <c r="N60" s="73">
        <v>5</v>
      </c>
      <c r="O60" s="73">
        <v>5</v>
      </c>
      <c r="P60" s="73"/>
      <c r="Q60" s="73">
        <v>5</v>
      </c>
      <c r="R60" s="73">
        <v>5</v>
      </c>
      <c r="S60" s="73">
        <v>5</v>
      </c>
      <c r="T60" s="73"/>
      <c r="U60" s="73" t="s">
        <v>37</v>
      </c>
      <c r="V60" s="73" t="s">
        <v>1354</v>
      </c>
      <c r="Y60" s="73" t="s">
        <v>1441</v>
      </c>
      <c r="Z60" s="73" t="s">
        <v>1442</v>
      </c>
      <c r="AA60" s="73" t="s">
        <v>1351</v>
      </c>
      <c r="AB60" s="73"/>
      <c r="AC60" s="73" t="s">
        <v>1352</v>
      </c>
      <c r="AD60" s="73" t="s">
        <v>1446</v>
      </c>
      <c r="AE60" s="73" t="s">
        <v>186</v>
      </c>
      <c r="AF60" s="73">
        <v>5</v>
      </c>
      <c r="AG60" s="73">
        <v>5</v>
      </c>
      <c r="AH60" s="73">
        <v>5</v>
      </c>
      <c r="AI60" s="73">
        <v>5</v>
      </c>
      <c r="AJ60" s="73">
        <v>5</v>
      </c>
      <c r="AK60" s="73"/>
    </row>
    <row r="61" spans="2:37" x14ac:dyDescent="0.3">
      <c r="B61" s="73" t="s">
        <v>1398</v>
      </c>
      <c r="C61" s="73" t="s">
        <v>1399</v>
      </c>
      <c r="D61" s="73" t="s">
        <v>1351</v>
      </c>
      <c r="E61" s="73"/>
      <c r="F61" s="73" t="s">
        <v>1352</v>
      </c>
      <c r="G61" s="73" t="s">
        <v>1402</v>
      </c>
      <c r="H61" s="73">
        <v>5</v>
      </c>
      <c r="I61" s="73">
        <v>5</v>
      </c>
      <c r="J61" s="73">
        <v>5</v>
      </c>
      <c r="K61" s="73">
        <v>5</v>
      </c>
      <c r="L61" s="73">
        <v>5</v>
      </c>
      <c r="M61" s="73">
        <v>5</v>
      </c>
      <c r="N61" s="73">
        <v>5</v>
      </c>
      <c r="O61" s="73">
        <v>5</v>
      </c>
      <c r="P61" s="73"/>
      <c r="Q61" s="73">
        <v>5</v>
      </c>
      <c r="R61" s="73">
        <v>5</v>
      </c>
      <c r="S61" s="73">
        <v>5</v>
      </c>
      <c r="T61" s="73"/>
      <c r="U61" s="73" t="s">
        <v>37</v>
      </c>
      <c r="V61" s="73" t="s">
        <v>1354</v>
      </c>
      <c r="Y61" s="73" t="s">
        <v>1441</v>
      </c>
      <c r="Z61" s="73" t="s">
        <v>1442</v>
      </c>
      <c r="AA61" s="73" t="s">
        <v>1351</v>
      </c>
      <c r="AB61" s="73"/>
      <c r="AC61" s="73" t="s">
        <v>1352</v>
      </c>
      <c r="AD61" s="73" t="s">
        <v>1446</v>
      </c>
      <c r="AE61" s="73" t="s">
        <v>186</v>
      </c>
      <c r="AF61" s="73">
        <v>5</v>
      </c>
      <c r="AG61" s="73">
        <v>5</v>
      </c>
      <c r="AH61" s="73">
        <v>5</v>
      </c>
      <c r="AI61" s="73">
        <v>5</v>
      </c>
      <c r="AJ61" s="73">
        <v>5</v>
      </c>
      <c r="AK61" s="73"/>
    </row>
    <row r="62" spans="2:37" x14ac:dyDescent="0.3">
      <c r="B62" s="73" t="s">
        <v>1398</v>
      </c>
      <c r="C62" s="73" t="s">
        <v>1399</v>
      </c>
      <c r="D62" s="73" t="s">
        <v>1351</v>
      </c>
      <c r="E62" s="73"/>
      <c r="F62" s="73" t="s">
        <v>1352</v>
      </c>
      <c r="G62" s="73" t="s">
        <v>1402</v>
      </c>
      <c r="H62" s="73">
        <v>4</v>
      </c>
      <c r="I62" s="73">
        <v>4</v>
      </c>
      <c r="J62" s="73">
        <v>5</v>
      </c>
      <c r="K62" s="73">
        <v>4</v>
      </c>
      <c r="L62" s="73">
        <v>4</v>
      </c>
      <c r="M62" s="73">
        <v>4</v>
      </c>
      <c r="N62" s="73">
        <v>3</v>
      </c>
      <c r="O62" s="73">
        <v>4</v>
      </c>
      <c r="P62" s="73"/>
      <c r="Q62" s="73">
        <v>4</v>
      </c>
      <c r="R62" s="73">
        <v>4</v>
      </c>
      <c r="S62" s="73">
        <v>5</v>
      </c>
      <c r="T62" s="73"/>
      <c r="U62" s="73" t="s">
        <v>37</v>
      </c>
      <c r="V62" s="73" t="s">
        <v>1354</v>
      </c>
      <c r="Y62" s="73" t="s">
        <v>1441</v>
      </c>
      <c r="Z62" s="73" t="s">
        <v>1442</v>
      </c>
      <c r="AA62" s="73" t="s">
        <v>1351</v>
      </c>
      <c r="AB62" s="73"/>
      <c r="AC62" s="73" t="s">
        <v>1352</v>
      </c>
      <c r="AD62" s="73" t="s">
        <v>1446</v>
      </c>
      <c r="AE62" s="73" t="s">
        <v>186</v>
      </c>
      <c r="AF62" s="73">
        <v>5</v>
      </c>
      <c r="AG62" s="73">
        <v>5</v>
      </c>
      <c r="AH62" s="73">
        <v>5</v>
      </c>
      <c r="AI62" s="73">
        <v>5</v>
      </c>
      <c r="AJ62" s="73">
        <v>5</v>
      </c>
      <c r="AK62" s="73"/>
    </row>
    <row r="63" spans="2:37" x14ac:dyDescent="0.3">
      <c r="B63" s="73" t="s">
        <v>1398</v>
      </c>
      <c r="C63" s="73" t="s">
        <v>1399</v>
      </c>
      <c r="D63" s="73" t="s">
        <v>1351</v>
      </c>
      <c r="E63" s="73"/>
      <c r="F63" s="73" t="s">
        <v>1352</v>
      </c>
      <c r="G63" s="73" t="s">
        <v>1403</v>
      </c>
      <c r="H63" s="73">
        <v>5</v>
      </c>
      <c r="I63" s="73">
        <v>4</v>
      </c>
      <c r="J63" s="73">
        <v>4</v>
      </c>
      <c r="K63" s="73">
        <v>5</v>
      </c>
      <c r="L63" s="73">
        <v>4</v>
      </c>
      <c r="M63" s="73">
        <v>3</v>
      </c>
      <c r="N63" s="73">
        <v>4</v>
      </c>
      <c r="O63" s="73">
        <v>4</v>
      </c>
      <c r="P63" s="73">
        <v>4</v>
      </c>
      <c r="Q63" s="73">
        <v>4</v>
      </c>
      <c r="R63" s="73">
        <v>4</v>
      </c>
      <c r="S63" s="73">
        <v>5</v>
      </c>
      <c r="T63" s="73"/>
      <c r="U63" s="73" t="s">
        <v>37</v>
      </c>
      <c r="V63" s="73" t="s">
        <v>1354</v>
      </c>
      <c r="Y63" s="73" t="s">
        <v>1441</v>
      </c>
      <c r="Z63" s="73" t="s">
        <v>1442</v>
      </c>
      <c r="AA63" s="73" t="s">
        <v>1351</v>
      </c>
      <c r="AB63" s="73"/>
      <c r="AC63" s="73" t="s">
        <v>1352</v>
      </c>
      <c r="AD63" s="73" t="s">
        <v>1446</v>
      </c>
      <c r="AE63" s="73" t="s">
        <v>186</v>
      </c>
      <c r="AF63" s="73">
        <v>5</v>
      </c>
      <c r="AG63" s="73">
        <v>5</v>
      </c>
      <c r="AH63" s="73">
        <v>5</v>
      </c>
      <c r="AI63" s="73">
        <v>5</v>
      </c>
      <c r="AJ63" s="73">
        <v>5</v>
      </c>
      <c r="AK63" s="73"/>
    </row>
    <row r="64" spans="2:37" x14ac:dyDescent="0.3">
      <c r="B64" s="73" t="s">
        <v>1398</v>
      </c>
      <c r="C64" s="73" t="s">
        <v>1399</v>
      </c>
      <c r="D64" s="73" t="s">
        <v>1351</v>
      </c>
      <c r="E64" s="73"/>
      <c r="F64" s="73" t="s">
        <v>1352</v>
      </c>
      <c r="G64" s="73" t="s">
        <v>1403</v>
      </c>
      <c r="H64" s="73">
        <v>5</v>
      </c>
      <c r="I64" s="73">
        <v>5</v>
      </c>
      <c r="J64" s="73">
        <v>4</v>
      </c>
      <c r="K64" s="73">
        <v>5</v>
      </c>
      <c r="L64" s="73">
        <v>5</v>
      </c>
      <c r="M64" s="73">
        <v>4</v>
      </c>
      <c r="N64" s="73">
        <v>3</v>
      </c>
      <c r="O64" s="73">
        <v>5</v>
      </c>
      <c r="P64" s="73"/>
      <c r="Q64" s="73">
        <v>4</v>
      </c>
      <c r="R64" s="73">
        <v>5</v>
      </c>
      <c r="S64" s="73">
        <v>5</v>
      </c>
      <c r="T64" s="73"/>
      <c r="U64" s="73" t="s">
        <v>37</v>
      </c>
      <c r="V64" s="73" t="s">
        <v>1354</v>
      </c>
      <c r="Y64" s="73" t="s">
        <v>1408</v>
      </c>
      <c r="Z64" s="73" t="s">
        <v>1409</v>
      </c>
      <c r="AA64" s="73" t="s">
        <v>1351</v>
      </c>
      <c r="AB64" s="73"/>
      <c r="AC64" s="73" t="s">
        <v>1352</v>
      </c>
      <c r="AD64" s="73" t="s">
        <v>1411</v>
      </c>
      <c r="AE64" s="73" t="s">
        <v>1063</v>
      </c>
      <c r="AF64" s="73">
        <v>5</v>
      </c>
      <c r="AG64" s="73">
        <v>5</v>
      </c>
      <c r="AH64" s="73">
        <v>5</v>
      </c>
      <c r="AI64" s="73">
        <v>5</v>
      </c>
      <c r="AJ64" s="73">
        <v>5</v>
      </c>
      <c r="AK64" s="73" t="s">
        <v>1410</v>
      </c>
    </row>
    <row r="65" spans="2:37" x14ac:dyDescent="0.3">
      <c r="B65" s="73" t="s">
        <v>1398</v>
      </c>
      <c r="C65" s="73" t="s">
        <v>1399</v>
      </c>
      <c r="D65" s="73" t="s">
        <v>1351</v>
      </c>
      <c r="E65" s="73"/>
      <c r="F65" s="73" t="s">
        <v>1352</v>
      </c>
      <c r="G65" s="73" t="s">
        <v>1403</v>
      </c>
      <c r="H65" s="73">
        <v>5</v>
      </c>
      <c r="I65" s="73">
        <v>5</v>
      </c>
      <c r="J65" s="73">
        <v>4</v>
      </c>
      <c r="K65" s="73">
        <v>4</v>
      </c>
      <c r="L65" s="73">
        <v>4</v>
      </c>
      <c r="M65" s="73">
        <v>4</v>
      </c>
      <c r="N65" s="73">
        <v>4</v>
      </c>
      <c r="O65" s="73">
        <v>4</v>
      </c>
      <c r="P65" s="73"/>
      <c r="Q65" s="73">
        <v>4</v>
      </c>
      <c r="R65" s="73">
        <v>3</v>
      </c>
      <c r="S65" s="73">
        <v>4</v>
      </c>
      <c r="T65" s="73"/>
      <c r="U65" s="73" t="s">
        <v>37</v>
      </c>
      <c r="V65" s="73" t="s">
        <v>1354</v>
      </c>
      <c r="Y65" s="73" t="s">
        <v>1408</v>
      </c>
      <c r="Z65" s="73" t="s">
        <v>1409</v>
      </c>
      <c r="AA65" s="73" t="s">
        <v>1351</v>
      </c>
      <c r="AB65" s="73"/>
      <c r="AC65" s="73" t="s">
        <v>1352</v>
      </c>
      <c r="AD65" s="73" t="s">
        <v>1411</v>
      </c>
      <c r="AE65" s="73" t="s">
        <v>1063</v>
      </c>
      <c r="AF65" s="73">
        <v>5</v>
      </c>
      <c r="AG65" s="73">
        <v>5</v>
      </c>
      <c r="AH65" s="73">
        <v>5</v>
      </c>
      <c r="AI65" s="73">
        <v>5</v>
      </c>
      <c r="AJ65" s="73">
        <v>5</v>
      </c>
      <c r="AK65" s="73"/>
    </row>
    <row r="66" spans="2:37" x14ac:dyDescent="0.3">
      <c r="B66" s="73" t="s">
        <v>1398</v>
      </c>
      <c r="C66" s="73" t="s">
        <v>1399</v>
      </c>
      <c r="D66" s="73" t="s">
        <v>1351</v>
      </c>
      <c r="E66" s="73"/>
      <c r="F66" s="73" t="s">
        <v>1352</v>
      </c>
      <c r="G66" s="73" t="s">
        <v>1403</v>
      </c>
      <c r="H66" s="73">
        <v>5</v>
      </c>
      <c r="I66" s="73">
        <v>5</v>
      </c>
      <c r="J66" s="73">
        <v>5</v>
      </c>
      <c r="K66" s="73">
        <v>4</v>
      </c>
      <c r="L66" s="73">
        <v>5</v>
      </c>
      <c r="M66" s="73">
        <v>5</v>
      </c>
      <c r="N66" s="73">
        <v>4</v>
      </c>
      <c r="O66" s="73">
        <v>5</v>
      </c>
      <c r="P66" s="73"/>
      <c r="Q66" s="73">
        <v>4</v>
      </c>
      <c r="R66" s="73">
        <v>4</v>
      </c>
      <c r="S66" s="73">
        <v>4</v>
      </c>
      <c r="T66" s="73"/>
      <c r="U66" s="73" t="s">
        <v>37</v>
      </c>
      <c r="V66" s="73" t="s">
        <v>1354</v>
      </c>
      <c r="Y66" s="73" t="s">
        <v>1408</v>
      </c>
      <c r="Z66" s="73" t="s">
        <v>1409</v>
      </c>
      <c r="AA66" s="73" t="s">
        <v>1351</v>
      </c>
      <c r="AB66" s="73"/>
      <c r="AC66" s="73" t="s">
        <v>1352</v>
      </c>
      <c r="AD66" s="73" t="s">
        <v>1412</v>
      </c>
      <c r="AE66" s="73" t="s">
        <v>1063</v>
      </c>
      <c r="AF66" s="73">
        <v>5</v>
      </c>
      <c r="AG66" s="73">
        <v>5</v>
      </c>
      <c r="AH66" s="73">
        <v>5</v>
      </c>
      <c r="AI66" s="73">
        <v>5</v>
      </c>
      <c r="AJ66" s="73">
        <v>5</v>
      </c>
      <c r="AK66" s="73"/>
    </row>
    <row r="67" spans="2:37" x14ac:dyDescent="0.3">
      <c r="B67" s="73" t="s">
        <v>1408</v>
      </c>
      <c r="C67" s="73" t="s">
        <v>1409</v>
      </c>
      <c r="D67" s="73" t="s">
        <v>1351</v>
      </c>
      <c r="E67" s="73"/>
      <c r="F67" s="73" t="s">
        <v>1352</v>
      </c>
      <c r="G67" s="73" t="s">
        <v>1411</v>
      </c>
      <c r="H67" s="73">
        <v>4</v>
      </c>
      <c r="I67" s="73">
        <v>4</v>
      </c>
      <c r="J67" s="73">
        <v>4</v>
      </c>
      <c r="K67" s="73">
        <v>4</v>
      </c>
      <c r="L67" s="73">
        <v>4</v>
      </c>
      <c r="M67" s="73">
        <v>5</v>
      </c>
      <c r="N67" s="73">
        <v>4</v>
      </c>
      <c r="O67" s="73">
        <v>3</v>
      </c>
      <c r="P67" s="73">
        <v>3</v>
      </c>
      <c r="Q67" s="73">
        <v>5</v>
      </c>
      <c r="R67" s="73">
        <v>2</v>
      </c>
      <c r="S67" s="73">
        <v>5</v>
      </c>
      <c r="T67" s="73" t="s">
        <v>1410</v>
      </c>
      <c r="U67" s="73" t="s">
        <v>1219</v>
      </c>
      <c r="V67" s="73" t="s">
        <v>1367</v>
      </c>
      <c r="Y67" s="73" t="s">
        <v>1408</v>
      </c>
      <c r="Z67" s="73" t="s">
        <v>1409</v>
      </c>
      <c r="AA67" s="73" t="s">
        <v>1351</v>
      </c>
      <c r="AB67" s="73"/>
      <c r="AC67" s="73" t="s">
        <v>1352</v>
      </c>
      <c r="AD67" s="73" t="s">
        <v>1412</v>
      </c>
      <c r="AE67" s="73" t="s">
        <v>1063</v>
      </c>
      <c r="AF67" s="73">
        <v>5</v>
      </c>
      <c r="AG67" s="73">
        <v>5</v>
      </c>
      <c r="AH67" s="73">
        <v>5</v>
      </c>
      <c r="AI67" s="73">
        <v>5</v>
      </c>
      <c r="AJ67" s="73">
        <v>5</v>
      </c>
      <c r="AK67" s="73"/>
    </row>
    <row r="68" spans="2:37" x14ac:dyDescent="0.3">
      <c r="B68" s="73" t="s">
        <v>1408</v>
      </c>
      <c r="C68" s="73" t="s">
        <v>1409</v>
      </c>
      <c r="D68" s="73" t="s">
        <v>1351</v>
      </c>
      <c r="E68" s="73"/>
      <c r="F68" s="73" t="s">
        <v>1352</v>
      </c>
      <c r="G68" s="73" t="s">
        <v>1411</v>
      </c>
      <c r="H68" s="73">
        <v>4</v>
      </c>
      <c r="I68" s="73">
        <v>5</v>
      </c>
      <c r="J68" s="73">
        <v>5</v>
      </c>
      <c r="K68" s="73">
        <v>5</v>
      </c>
      <c r="L68" s="73">
        <v>5</v>
      </c>
      <c r="M68" s="73">
        <v>5</v>
      </c>
      <c r="N68" s="73">
        <v>5</v>
      </c>
      <c r="O68" s="73"/>
      <c r="P68" s="73"/>
      <c r="Q68" s="73"/>
      <c r="R68" s="73">
        <v>4</v>
      </c>
      <c r="S68" s="73">
        <v>5</v>
      </c>
      <c r="T68" s="73"/>
      <c r="U68" s="73" t="s">
        <v>38</v>
      </c>
      <c r="V68" s="73" t="s">
        <v>1366</v>
      </c>
      <c r="Y68" s="73" t="s">
        <v>1408</v>
      </c>
      <c r="Z68" s="73" t="s">
        <v>1409</v>
      </c>
      <c r="AA68" s="73" t="s">
        <v>1351</v>
      </c>
      <c r="AB68" s="73"/>
      <c r="AC68" s="73" t="s">
        <v>1352</v>
      </c>
      <c r="AD68" s="73" t="s">
        <v>1412</v>
      </c>
      <c r="AE68" s="73" t="s">
        <v>1063</v>
      </c>
      <c r="AF68" s="73">
        <v>5</v>
      </c>
      <c r="AG68" s="73">
        <v>5</v>
      </c>
      <c r="AH68" s="73">
        <v>5</v>
      </c>
      <c r="AI68" s="73">
        <v>5</v>
      </c>
      <c r="AJ68" s="73">
        <v>5</v>
      </c>
      <c r="AK68" s="73"/>
    </row>
    <row r="69" spans="2:37" x14ac:dyDescent="0.3">
      <c r="B69" s="73" t="s">
        <v>1408</v>
      </c>
      <c r="C69" s="73" t="s">
        <v>1409</v>
      </c>
      <c r="D69" s="73" t="s">
        <v>1351</v>
      </c>
      <c r="E69" s="73"/>
      <c r="F69" s="73" t="s">
        <v>1352</v>
      </c>
      <c r="G69" s="73" t="s">
        <v>1412</v>
      </c>
      <c r="H69" s="73">
        <v>5</v>
      </c>
      <c r="I69" s="73">
        <v>5</v>
      </c>
      <c r="J69" s="73">
        <v>5</v>
      </c>
      <c r="K69" s="73">
        <v>5</v>
      </c>
      <c r="L69" s="73">
        <v>5</v>
      </c>
      <c r="M69" s="73">
        <v>5</v>
      </c>
      <c r="N69" s="73"/>
      <c r="O69" s="73"/>
      <c r="P69" s="73"/>
      <c r="Q69" s="73"/>
      <c r="R69" s="73">
        <v>3</v>
      </c>
      <c r="S69" s="73">
        <v>5</v>
      </c>
      <c r="T69" s="73"/>
      <c r="U69" s="73" t="s">
        <v>1219</v>
      </c>
      <c r="V69" s="73" t="s">
        <v>1367</v>
      </c>
      <c r="Y69" s="73" t="s">
        <v>1408</v>
      </c>
      <c r="Z69" s="73" t="s">
        <v>1409</v>
      </c>
      <c r="AA69" s="73" t="s">
        <v>1351</v>
      </c>
      <c r="AB69" s="73"/>
      <c r="AC69" s="73" t="s">
        <v>1352</v>
      </c>
      <c r="AD69" s="73" t="s">
        <v>1412</v>
      </c>
      <c r="AE69" s="73" t="s">
        <v>1063</v>
      </c>
      <c r="AF69" s="73">
        <v>5</v>
      </c>
      <c r="AG69" s="73">
        <v>5</v>
      </c>
      <c r="AH69" s="73">
        <v>5</v>
      </c>
      <c r="AI69" s="73">
        <v>5</v>
      </c>
      <c r="AJ69" s="73">
        <v>5</v>
      </c>
      <c r="AK69" s="73"/>
    </row>
    <row r="70" spans="2:37" x14ac:dyDescent="0.3">
      <c r="B70" s="73" t="s">
        <v>1408</v>
      </c>
      <c r="C70" s="73" t="s">
        <v>1409</v>
      </c>
      <c r="D70" s="73" t="s">
        <v>1351</v>
      </c>
      <c r="E70" s="73"/>
      <c r="F70" s="73" t="s">
        <v>1352</v>
      </c>
      <c r="G70" s="73" t="s">
        <v>1412</v>
      </c>
      <c r="H70" s="73">
        <v>5</v>
      </c>
      <c r="I70" s="73">
        <v>5</v>
      </c>
      <c r="J70" s="73">
        <v>4</v>
      </c>
      <c r="K70" s="73">
        <v>4</v>
      </c>
      <c r="L70" s="73"/>
      <c r="M70" s="73">
        <v>5</v>
      </c>
      <c r="N70" s="73">
        <v>4</v>
      </c>
      <c r="O70" s="73">
        <v>3</v>
      </c>
      <c r="P70" s="73"/>
      <c r="Q70" s="73">
        <v>4</v>
      </c>
      <c r="R70" s="73">
        <v>3</v>
      </c>
      <c r="S70" s="73">
        <v>5</v>
      </c>
      <c r="T70" s="73"/>
      <c r="U70" s="73" t="s">
        <v>40</v>
      </c>
      <c r="V70" s="73" t="s">
        <v>1413</v>
      </c>
      <c r="Y70" s="73" t="s">
        <v>1408</v>
      </c>
      <c r="Z70" s="73" t="s">
        <v>1409</v>
      </c>
      <c r="AA70" s="73" t="s">
        <v>1351</v>
      </c>
      <c r="AB70" s="73"/>
      <c r="AC70" s="73" t="s">
        <v>1352</v>
      </c>
      <c r="AD70" s="73" t="s">
        <v>1412</v>
      </c>
      <c r="AE70" s="73" t="s">
        <v>1063</v>
      </c>
      <c r="AF70" s="73">
        <v>5</v>
      </c>
      <c r="AG70" s="73">
        <v>5</v>
      </c>
      <c r="AH70" s="73">
        <v>5</v>
      </c>
      <c r="AI70" s="73">
        <v>5</v>
      </c>
      <c r="AJ70" s="73">
        <v>5</v>
      </c>
      <c r="AK70" s="73"/>
    </row>
    <row r="71" spans="2:37" x14ac:dyDescent="0.3">
      <c r="B71" s="73" t="s">
        <v>1408</v>
      </c>
      <c r="C71" s="73" t="s">
        <v>1409</v>
      </c>
      <c r="D71" s="73" t="s">
        <v>1351</v>
      </c>
      <c r="E71" s="73"/>
      <c r="F71" s="73" t="s">
        <v>1352</v>
      </c>
      <c r="G71" s="73" t="s">
        <v>1412</v>
      </c>
      <c r="H71" s="73">
        <v>5</v>
      </c>
      <c r="I71" s="73">
        <v>5</v>
      </c>
      <c r="J71" s="73">
        <v>5</v>
      </c>
      <c r="K71" s="73">
        <v>5</v>
      </c>
      <c r="L71" s="73"/>
      <c r="M71" s="73"/>
      <c r="N71" s="73">
        <v>5</v>
      </c>
      <c r="O71" s="73">
        <v>3</v>
      </c>
      <c r="P71" s="73"/>
      <c r="Q71" s="73"/>
      <c r="R71" s="73"/>
      <c r="S71" s="73">
        <v>5</v>
      </c>
      <c r="T71" s="73"/>
      <c r="U71" s="73" t="s">
        <v>38</v>
      </c>
      <c r="V71" s="73" t="s">
        <v>1366</v>
      </c>
      <c r="Y71" s="73" t="s">
        <v>1408</v>
      </c>
      <c r="Z71" s="73" t="s">
        <v>1409</v>
      </c>
      <c r="AA71" s="73" t="s">
        <v>1351</v>
      </c>
      <c r="AB71" s="73"/>
      <c r="AC71" s="73" t="s">
        <v>1352</v>
      </c>
      <c r="AD71" s="73" t="s">
        <v>1412</v>
      </c>
      <c r="AE71" s="73" t="s">
        <v>1063</v>
      </c>
      <c r="AF71" s="73">
        <v>5</v>
      </c>
      <c r="AG71" s="73">
        <v>5</v>
      </c>
      <c r="AH71" s="73">
        <v>5</v>
      </c>
      <c r="AI71" s="73">
        <v>5</v>
      </c>
      <c r="AJ71" s="73">
        <v>5</v>
      </c>
      <c r="AK71" s="73"/>
    </row>
    <row r="72" spans="2:37" x14ac:dyDescent="0.3">
      <c r="B72" s="73" t="s">
        <v>1408</v>
      </c>
      <c r="C72" s="73" t="s">
        <v>1409</v>
      </c>
      <c r="D72" s="73" t="s">
        <v>1351</v>
      </c>
      <c r="E72" s="73"/>
      <c r="F72" s="73" t="s">
        <v>1352</v>
      </c>
      <c r="G72" s="73" t="s">
        <v>1412</v>
      </c>
      <c r="H72" s="73">
        <v>5</v>
      </c>
      <c r="I72" s="73">
        <v>5</v>
      </c>
      <c r="J72" s="73">
        <v>5</v>
      </c>
      <c r="K72" s="73">
        <v>5</v>
      </c>
      <c r="L72" s="73">
        <v>5</v>
      </c>
      <c r="M72" s="73">
        <v>5</v>
      </c>
      <c r="N72" s="73">
        <v>5</v>
      </c>
      <c r="O72" s="73"/>
      <c r="P72" s="73"/>
      <c r="Q72" s="73">
        <v>5</v>
      </c>
      <c r="R72" s="73">
        <v>3</v>
      </c>
      <c r="S72" s="73">
        <v>5</v>
      </c>
      <c r="T72" s="73"/>
      <c r="U72" s="73" t="s">
        <v>1219</v>
      </c>
      <c r="V72" s="73" t="s">
        <v>1367</v>
      </c>
      <c r="Y72" s="73" t="s">
        <v>1408</v>
      </c>
      <c r="Z72" s="73" t="s">
        <v>1409</v>
      </c>
      <c r="AA72" s="73" t="s">
        <v>1351</v>
      </c>
      <c r="AB72" s="73"/>
      <c r="AC72" s="73" t="s">
        <v>1352</v>
      </c>
      <c r="AD72" s="73" t="s">
        <v>1412</v>
      </c>
      <c r="AE72" s="73" t="s">
        <v>1063</v>
      </c>
      <c r="AF72" s="73">
        <v>5</v>
      </c>
      <c r="AG72" s="73">
        <v>5</v>
      </c>
      <c r="AH72" s="73">
        <v>5</v>
      </c>
      <c r="AI72" s="73">
        <v>5</v>
      </c>
      <c r="AJ72" s="73">
        <v>5</v>
      </c>
      <c r="AK72" s="73"/>
    </row>
    <row r="73" spans="2:37" x14ac:dyDescent="0.3">
      <c r="B73" s="73" t="s">
        <v>1408</v>
      </c>
      <c r="C73" s="73" t="s">
        <v>1409</v>
      </c>
      <c r="D73" s="73" t="s">
        <v>1351</v>
      </c>
      <c r="E73" s="73"/>
      <c r="F73" s="73" t="s">
        <v>1352</v>
      </c>
      <c r="G73" s="73" t="s">
        <v>1412</v>
      </c>
      <c r="H73" s="73">
        <v>5</v>
      </c>
      <c r="I73" s="73">
        <v>5</v>
      </c>
      <c r="J73" s="73">
        <v>5</v>
      </c>
      <c r="K73" s="73">
        <v>4</v>
      </c>
      <c r="L73" s="73">
        <v>5</v>
      </c>
      <c r="M73" s="73">
        <v>5</v>
      </c>
      <c r="N73" s="73">
        <v>5</v>
      </c>
      <c r="O73" s="73"/>
      <c r="P73" s="73"/>
      <c r="Q73" s="73">
        <v>5</v>
      </c>
      <c r="R73" s="73">
        <v>4</v>
      </c>
      <c r="S73" s="73">
        <v>5</v>
      </c>
      <c r="T73" s="73"/>
      <c r="U73" s="73" t="s">
        <v>1219</v>
      </c>
      <c r="V73" s="73" t="s">
        <v>1367</v>
      </c>
      <c r="Y73" s="73" t="s">
        <v>1408</v>
      </c>
      <c r="Z73" s="73" t="s">
        <v>1409</v>
      </c>
      <c r="AA73" s="73" t="s">
        <v>1351</v>
      </c>
      <c r="AB73" s="73"/>
      <c r="AC73" s="73" t="s">
        <v>1352</v>
      </c>
      <c r="AD73" s="73" t="s">
        <v>1412</v>
      </c>
      <c r="AE73" s="73" t="s">
        <v>1063</v>
      </c>
      <c r="AF73" s="73">
        <v>5</v>
      </c>
      <c r="AG73" s="73">
        <v>5</v>
      </c>
      <c r="AH73" s="73">
        <v>5</v>
      </c>
      <c r="AI73" s="73">
        <v>5</v>
      </c>
      <c r="AJ73" s="73">
        <v>5</v>
      </c>
      <c r="AK73" s="73"/>
    </row>
    <row r="74" spans="2:37" x14ac:dyDescent="0.3">
      <c r="B74" s="73" t="s">
        <v>1408</v>
      </c>
      <c r="C74" s="73" t="s">
        <v>1409</v>
      </c>
      <c r="D74" s="73" t="s">
        <v>1351</v>
      </c>
      <c r="E74" s="73"/>
      <c r="F74" s="73" t="s">
        <v>1352</v>
      </c>
      <c r="G74" s="73" t="s">
        <v>1412</v>
      </c>
      <c r="H74" s="73">
        <v>5</v>
      </c>
      <c r="I74" s="73">
        <v>4</v>
      </c>
      <c r="J74" s="73">
        <v>4</v>
      </c>
      <c r="K74" s="73">
        <v>4</v>
      </c>
      <c r="L74" s="73">
        <v>4</v>
      </c>
      <c r="M74" s="73">
        <v>5</v>
      </c>
      <c r="N74" s="73">
        <v>4</v>
      </c>
      <c r="O74" s="73">
        <v>4</v>
      </c>
      <c r="P74" s="73">
        <v>4</v>
      </c>
      <c r="Q74" s="73">
        <v>4</v>
      </c>
      <c r="R74" s="73">
        <v>4</v>
      </c>
      <c r="S74" s="73">
        <v>5</v>
      </c>
      <c r="T74" s="73"/>
      <c r="U74" s="73" t="s">
        <v>38</v>
      </c>
      <c r="V74" s="73" t="s">
        <v>1366</v>
      </c>
      <c r="Y74" s="73" t="s">
        <v>1408</v>
      </c>
      <c r="Z74" s="73" t="s">
        <v>1409</v>
      </c>
      <c r="AA74" s="73" t="s">
        <v>1351</v>
      </c>
      <c r="AB74" s="73"/>
      <c r="AC74" s="73" t="s">
        <v>1352</v>
      </c>
      <c r="AD74" s="73" t="s">
        <v>1414</v>
      </c>
      <c r="AE74" s="73" t="s">
        <v>1063</v>
      </c>
      <c r="AF74" s="73">
        <v>5</v>
      </c>
      <c r="AG74" s="73">
        <v>5</v>
      </c>
      <c r="AH74" s="73">
        <v>5</v>
      </c>
      <c r="AI74" s="73">
        <v>5</v>
      </c>
      <c r="AJ74" s="73">
        <v>5</v>
      </c>
      <c r="AK74" s="73"/>
    </row>
    <row r="75" spans="2:37" x14ac:dyDescent="0.3">
      <c r="B75" s="73" t="s">
        <v>1408</v>
      </c>
      <c r="C75" s="73" t="s">
        <v>1409</v>
      </c>
      <c r="D75" s="73" t="s">
        <v>1351</v>
      </c>
      <c r="E75" s="73"/>
      <c r="F75" s="73" t="s">
        <v>1352</v>
      </c>
      <c r="G75" s="73" t="s">
        <v>1412</v>
      </c>
      <c r="H75" s="73">
        <v>5</v>
      </c>
      <c r="I75" s="73">
        <v>5</v>
      </c>
      <c r="J75" s="73">
        <v>5</v>
      </c>
      <c r="K75" s="73">
        <v>5</v>
      </c>
      <c r="L75" s="73">
        <v>5</v>
      </c>
      <c r="M75" s="73">
        <v>5</v>
      </c>
      <c r="N75" s="73">
        <v>5</v>
      </c>
      <c r="O75" s="73"/>
      <c r="P75" s="73"/>
      <c r="Q75" s="73">
        <v>5</v>
      </c>
      <c r="R75" s="73">
        <v>4</v>
      </c>
      <c r="S75" s="73">
        <v>5</v>
      </c>
      <c r="T75" s="73"/>
      <c r="U75" s="73" t="s">
        <v>38</v>
      </c>
      <c r="V75" s="73" t="s">
        <v>1366</v>
      </c>
      <c r="Y75" s="73" t="s">
        <v>1408</v>
      </c>
      <c r="Z75" s="73" t="s">
        <v>1409</v>
      </c>
      <c r="AA75" s="73" t="s">
        <v>1351</v>
      </c>
      <c r="AB75" s="73"/>
      <c r="AC75" s="73" t="s">
        <v>1352</v>
      </c>
      <c r="AD75" s="73" t="s">
        <v>1414</v>
      </c>
      <c r="AE75" s="73" t="s">
        <v>1063</v>
      </c>
      <c r="AF75" s="73">
        <v>5</v>
      </c>
      <c r="AG75" s="73">
        <v>5</v>
      </c>
      <c r="AH75" s="73">
        <v>5</v>
      </c>
      <c r="AI75" s="73">
        <v>5</v>
      </c>
      <c r="AJ75" s="73">
        <v>5</v>
      </c>
      <c r="AK75" s="73"/>
    </row>
    <row r="76" spans="2:37" x14ac:dyDescent="0.3">
      <c r="B76" s="73" t="s">
        <v>1408</v>
      </c>
      <c r="C76" s="73" t="s">
        <v>1409</v>
      </c>
      <c r="D76" s="73" t="s">
        <v>1351</v>
      </c>
      <c r="E76" s="73"/>
      <c r="F76" s="73" t="s">
        <v>1352</v>
      </c>
      <c r="G76" s="73" t="s">
        <v>1412</v>
      </c>
      <c r="H76" s="73">
        <v>4</v>
      </c>
      <c r="I76" s="73">
        <v>5</v>
      </c>
      <c r="J76" s="73">
        <v>5</v>
      </c>
      <c r="K76" s="73">
        <v>5</v>
      </c>
      <c r="L76" s="73">
        <v>5</v>
      </c>
      <c r="M76" s="73">
        <v>3</v>
      </c>
      <c r="N76" s="73">
        <v>5</v>
      </c>
      <c r="O76" s="73">
        <v>2</v>
      </c>
      <c r="P76" s="73">
        <v>5</v>
      </c>
      <c r="Q76" s="73">
        <v>5</v>
      </c>
      <c r="R76" s="73">
        <v>3</v>
      </c>
      <c r="S76" s="73">
        <v>5</v>
      </c>
      <c r="T76" s="73"/>
      <c r="U76" s="73" t="s">
        <v>39</v>
      </c>
      <c r="V76" s="73" t="s">
        <v>1369</v>
      </c>
      <c r="Y76" s="73" t="s">
        <v>1408</v>
      </c>
      <c r="Z76" s="73" t="s">
        <v>1409</v>
      </c>
      <c r="AA76" s="73" t="s">
        <v>1351</v>
      </c>
      <c r="AB76" s="73"/>
      <c r="AC76" s="73" t="s">
        <v>1352</v>
      </c>
      <c r="AD76" s="73" t="s">
        <v>1414</v>
      </c>
      <c r="AE76" s="73" t="s">
        <v>1063</v>
      </c>
      <c r="AF76" s="73">
        <v>5</v>
      </c>
      <c r="AG76" s="73">
        <v>5</v>
      </c>
      <c r="AH76" s="73">
        <v>5</v>
      </c>
      <c r="AI76" s="73">
        <v>5</v>
      </c>
      <c r="AJ76" s="73">
        <v>5</v>
      </c>
      <c r="AK76" s="73"/>
    </row>
    <row r="77" spans="2:37" x14ac:dyDescent="0.3">
      <c r="B77" s="73" t="s">
        <v>1408</v>
      </c>
      <c r="C77" s="73" t="s">
        <v>1409</v>
      </c>
      <c r="D77" s="73" t="s">
        <v>1351</v>
      </c>
      <c r="E77" s="73"/>
      <c r="F77" s="73" t="s">
        <v>1352</v>
      </c>
      <c r="G77" s="73" t="s">
        <v>1414</v>
      </c>
      <c r="H77" s="73">
        <v>5</v>
      </c>
      <c r="I77" s="73">
        <v>5</v>
      </c>
      <c r="J77" s="73">
        <v>5</v>
      </c>
      <c r="K77" s="73">
        <v>5</v>
      </c>
      <c r="L77" s="73">
        <v>5</v>
      </c>
      <c r="M77" s="73">
        <v>5</v>
      </c>
      <c r="N77" s="73">
        <v>4</v>
      </c>
      <c r="O77" s="73">
        <v>2</v>
      </c>
      <c r="P77" s="73">
        <v>3</v>
      </c>
      <c r="Q77" s="73">
        <v>3</v>
      </c>
      <c r="R77" s="73">
        <v>3</v>
      </c>
      <c r="S77" s="73">
        <v>5</v>
      </c>
      <c r="T77" s="73"/>
      <c r="U77" s="73" t="s">
        <v>38</v>
      </c>
      <c r="V77" s="73" t="s">
        <v>1366</v>
      </c>
      <c r="Y77" s="73" t="s">
        <v>1386</v>
      </c>
      <c r="Z77" s="73" t="s">
        <v>1387</v>
      </c>
      <c r="AA77" s="73" t="s">
        <v>1351</v>
      </c>
      <c r="AB77" s="73"/>
      <c r="AC77" s="73" t="s">
        <v>1352</v>
      </c>
      <c r="AD77" s="73" t="s">
        <v>1390</v>
      </c>
      <c r="AE77" s="73" t="s">
        <v>435</v>
      </c>
      <c r="AF77" s="73">
        <v>5</v>
      </c>
      <c r="AG77" s="73">
        <v>5</v>
      </c>
      <c r="AH77" s="73">
        <v>5</v>
      </c>
      <c r="AI77" s="73">
        <v>5</v>
      </c>
      <c r="AJ77" s="73">
        <v>5</v>
      </c>
      <c r="AK77" s="73" t="s">
        <v>1388</v>
      </c>
    </row>
    <row r="78" spans="2:37" x14ac:dyDescent="0.3">
      <c r="B78" s="73" t="s">
        <v>1408</v>
      </c>
      <c r="C78" s="73" t="s">
        <v>1409</v>
      </c>
      <c r="D78" s="73" t="s">
        <v>1351</v>
      </c>
      <c r="E78" s="73"/>
      <c r="F78" s="73" t="s">
        <v>1352</v>
      </c>
      <c r="G78" s="73" t="s">
        <v>1414</v>
      </c>
      <c r="H78" s="73">
        <v>5</v>
      </c>
      <c r="I78" s="73">
        <v>5</v>
      </c>
      <c r="J78" s="73">
        <v>5</v>
      </c>
      <c r="K78" s="73">
        <v>4</v>
      </c>
      <c r="L78" s="73">
        <v>5</v>
      </c>
      <c r="M78" s="73">
        <v>5</v>
      </c>
      <c r="N78" s="73"/>
      <c r="O78" s="73"/>
      <c r="P78" s="73"/>
      <c r="Q78" s="73">
        <v>5</v>
      </c>
      <c r="R78" s="73">
        <v>4</v>
      </c>
      <c r="S78" s="73"/>
      <c r="T78" s="73"/>
      <c r="U78" s="73" t="s">
        <v>37</v>
      </c>
      <c r="V78" s="73" t="s">
        <v>1354</v>
      </c>
      <c r="Y78" s="73" t="s">
        <v>1386</v>
      </c>
      <c r="Z78" s="73" t="s">
        <v>1387</v>
      </c>
      <c r="AA78" s="73" t="s">
        <v>1351</v>
      </c>
      <c r="AB78" s="73"/>
      <c r="AC78" s="73" t="s">
        <v>1352</v>
      </c>
      <c r="AD78" s="73" t="s">
        <v>1390</v>
      </c>
      <c r="AE78" s="73" t="s">
        <v>435</v>
      </c>
      <c r="AF78" s="73">
        <v>4</v>
      </c>
      <c r="AG78" s="73">
        <v>4</v>
      </c>
      <c r="AH78" s="73">
        <v>4</v>
      </c>
      <c r="AI78" s="73">
        <v>4</v>
      </c>
      <c r="AJ78" s="73">
        <v>4</v>
      </c>
      <c r="AK78" s="73" t="s">
        <v>1389</v>
      </c>
    </row>
    <row r="79" spans="2:37" x14ac:dyDescent="0.3">
      <c r="B79" s="73" t="s">
        <v>1408</v>
      </c>
      <c r="C79" s="73" t="s">
        <v>1409</v>
      </c>
      <c r="D79" s="73" t="s">
        <v>1351</v>
      </c>
      <c r="E79" s="73"/>
      <c r="F79" s="73" t="s">
        <v>1352</v>
      </c>
      <c r="G79" s="73" t="s">
        <v>1414</v>
      </c>
      <c r="H79" s="73">
        <v>5</v>
      </c>
      <c r="I79" s="73">
        <v>5</v>
      </c>
      <c r="J79" s="73">
        <v>5</v>
      </c>
      <c r="K79" s="73">
        <v>5</v>
      </c>
      <c r="L79" s="73">
        <v>4</v>
      </c>
      <c r="M79" s="73">
        <v>5</v>
      </c>
      <c r="N79" s="73">
        <v>5</v>
      </c>
      <c r="O79" s="73">
        <v>3</v>
      </c>
      <c r="P79" s="73">
        <v>5</v>
      </c>
      <c r="Q79" s="73">
        <v>5</v>
      </c>
      <c r="R79" s="73">
        <v>5</v>
      </c>
      <c r="S79" s="73">
        <v>5</v>
      </c>
      <c r="T79" s="73"/>
      <c r="U79" s="73" t="s">
        <v>38</v>
      </c>
      <c r="V79" s="73" t="s">
        <v>1366</v>
      </c>
      <c r="Y79" s="73" t="s">
        <v>1386</v>
      </c>
      <c r="Z79" s="73" t="s">
        <v>1387</v>
      </c>
      <c r="AA79" s="73" t="s">
        <v>1351</v>
      </c>
      <c r="AB79" s="73"/>
      <c r="AC79" s="73" t="s">
        <v>1352</v>
      </c>
      <c r="AD79" s="73" t="s">
        <v>1390</v>
      </c>
      <c r="AE79" s="73" t="s">
        <v>435</v>
      </c>
      <c r="AF79" s="73">
        <v>5</v>
      </c>
      <c r="AG79" s="73">
        <v>4</v>
      </c>
      <c r="AH79" s="73">
        <v>4</v>
      </c>
      <c r="AI79" s="73">
        <v>5</v>
      </c>
      <c r="AJ79" s="73">
        <v>4</v>
      </c>
      <c r="AK79" s="73"/>
    </row>
    <row r="80" spans="2:37" x14ac:dyDescent="0.3">
      <c r="B80" s="73" t="s">
        <v>1415</v>
      </c>
      <c r="C80" s="73" t="s">
        <v>1416</v>
      </c>
      <c r="D80" s="73" t="s">
        <v>1351</v>
      </c>
      <c r="E80" s="73"/>
      <c r="F80" s="73" t="s">
        <v>1352</v>
      </c>
      <c r="G80" s="73" t="s">
        <v>1425</v>
      </c>
      <c r="H80" s="73">
        <v>5</v>
      </c>
      <c r="I80" s="73">
        <v>4</v>
      </c>
      <c r="J80" s="73">
        <v>4</v>
      </c>
      <c r="K80" s="73">
        <v>5</v>
      </c>
      <c r="L80" s="73"/>
      <c r="M80" s="73">
        <v>4</v>
      </c>
      <c r="N80" s="73">
        <v>4</v>
      </c>
      <c r="O80" s="73">
        <v>4</v>
      </c>
      <c r="P80" s="73">
        <v>4</v>
      </c>
      <c r="Q80" s="73">
        <v>4</v>
      </c>
      <c r="R80" s="73">
        <v>4</v>
      </c>
      <c r="S80" s="73">
        <v>5</v>
      </c>
      <c r="T80" s="73" t="s">
        <v>1417</v>
      </c>
      <c r="U80" s="73" t="s">
        <v>39</v>
      </c>
      <c r="V80" s="73" t="s">
        <v>1369</v>
      </c>
      <c r="Y80" s="73" t="s">
        <v>1386</v>
      </c>
      <c r="Z80" s="73" t="s">
        <v>1387</v>
      </c>
      <c r="AA80" s="73" t="s">
        <v>1351</v>
      </c>
      <c r="AB80" s="73"/>
      <c r="AC80" s="73" t="s">
        <v>1352</v>
      </c>
      <c r="AD80" s="73" t="s">
        <v>1390</v>
      </c>
      <c r="AE80" s="73" t="s">
        <v>435</v>
      </c>
      <c r="AF80" s="73">
        <v>5</v>
      </c>
      <c r="AG80" s="73">
        <v>5</v>
      </c>
      <c r="AH80" s="73">
        <v>5</v>
      </c>
      <c r="AI80" s="73">
        <v>5</v>
      </c>
      <c r="AJ80" s="73">
        <v>5</v>
      </c>
      <c r="AK80" s="73"/>
    </row>
    <row r="81" spans="2:37" x14ac:dyDescent="0.3">
      <c r="B81" s="73" t="s">
        <v>1415</v>
      </c>
      <c r="C81" s="73" t="s">
        <v>1416</v>
      </c>
      <c r="D81" s="73" t="s">
        <v>1351</v>
      </c>
      <c r="E81" s="73"/>
      <c r="F81" s="73" t="s">
        <v>1352</v>
      </c>
      <c r="G81" s="73" t="s">
        <v>1426</v>
      </c>
      <c r="H81" s="73">
        <v>5</v>
      </c>
      <c r="I81" s="73">
        <v>4</v>
      </c>
      <c r="J81" s="73">
        <v>4</v>
      </c>
      <c r="K81" s="73">
        <v>5</v>
      </c>
      <c r="L81" s="73">
        <v>5</v>
      </c>
      <c r="M81" s="73">
        <v>5</v>
      </c>
      <c r="N81" s="73">
        <v>5</v>
      </c>
      <c r="O81" s="73">
        <v>3</v>
      </c>
      <c r="P81" s="73">
        <v>5</v>
      </c>
      <c r="Q81" s="73">
        <v>4</v>
      </c>
      <c r="R81" s="73">
        <v>5</v>
      </c>
      <c r="S81" s="73">
        <v>3</v>
      </c>
      <c r="T81" s="73" t="s">
        <v>1418</v>
      </c>
      <c r="U81" s="73" t="s">
        <v>39</v>
      </c>
      <c r="V81" s="73" t="s">
        <v>1369</v>
      </c>
      <c r="Y81" s="73" t="s">
        <v>1386</v>
      </c>
      <c r="Z81" s="73" t="s">
        <v>1387</v>
      </c>
      <c r="AA81" s="73" t="s">
        <v>1351</v>
      </c>
      <c r="AB81" s="73"/>
      <c r="AC81" s="73" t="s">
        <v>1352</v>
      </c>
      <c r="AD81" s="73" t="s">
        <v>1390</v>
      </c>
      <c r="AE81" s="73" t="s">
        <v>435</v>
      </c>
      <c r="AF81" s="73">
        <v>5</v>
      </c>
      <c r="AG81" s="73">
        <v>5</v>
      </c>
      <c r="AH81" s="73">
        <v>5</v>
      </c>
      <c r="AI81" s="73">
        <v>5</v>
      </c>
      <c r="AJ81" s="73">
        <v>5</v>
      </c>
      <c r="AK81" s="73"/>
    </row>
    <row r="82" spans="2:37" x14ac:dyDescent="0.3">
      <c r="B82" s="73" t="s">
        <v>1415</v>
      </c>
      <c r="C82" s="73" t="s">
        <v>1416</v>
      </c>
      <c r="D82" s="73" t="s">
        <v>1351</v>
      </c>
      <c r="E82" s="73"/>
      <c r="F82" s="73" t="s">
        <v>1352</v>
      </c>
      <c r="G82" s="73" t="s">
        <v>1426</v>
      </c>
      <c r="H82" s="73">
        <v>5</v>
      </c>
      <c r="I82" s="73">
        <v>5</v>
      </c>
      <c r="J82" s="73">
        <v>5</v>
      </c>
      <c r="K82" s="73">
        <v>5</v>
      </c>
      <c r="L82" s="73">
        <v>4</v>
      </c>
      <c r="M82" s="73">
        <v>5</v>
      </c>
      <c r="N82" s="73">
        <v>5</v>
      </c>
      <c r="O82" s="73">
        <v>3</v>
      </c>
      <c r="P82" s="73"/>
      <c r="Q82" s="73">
        <v>5</v>
      </c>
      <c r="R82" s="73">
        <v>3</v>
      </c>
      <c r="S82" s="73">
        <v>5</v>
      </c>
      <c r="T82" s="73" t="s">
        <v>1419</v>
      </c>
      <c r="U82" s="73" t="s">
        <v>41</v>
      </c>
      <c r="V82" s="73" t="s">
        <v>1427</v>
      </c>
      <c r="Y82" s="73" t="s">
        <v>1386</v>
      </c>
      <c r="Z82" s="73" t="s">
        <v>1387</v>
      </c>
      <c r="AA82" s="73" t="s">
        <v>1351</v>
      </c>
      <c r="AB82" s="73"/>
      <c r="AC82" s="73" t="s">
        <v>1352</v>
      </c>
      <c r="AD82" s="73" t="s">
        <v>1391</v>
      </c>
      <c r="AE82" s="73" t="s">
        <v>435</v>
      </c>
      <c r="AF82" s="73">
        <v>5</v>
      </c>
      <c r="AG82" s="73">
        <v>5</v>
      </c>
      <c r="AH82" s="73">
        <v>5</v>
      </c>
      <c r="AI82" s="73">
        <v>5</v>
      </c>
      <c r="AJ82" s="73">
        <v>5</v>
      </c>
      <c r="AK82" s="73"/>
    </row>
    <row r="83" spans="2:37" x14ac:dyDescent="0.3">
      <c r="B83" s="73" t="s">
        <v>1415</v>
      </c>
      <c r="C83" s="73" t="s">
        <v>1416</v>
      </c>
      <c r="D83" s="73" t="s">
        <v>1351</v>
      </c>
      <c r="E83" s="73"/>
      <c r="F83" s="73" t="s">
        <v>1352</v>
      </c>
      <c r="G83" s="73" t="s">
        <v>1426</v>
      </c>
      <c r="H83" s="73">
        <v>5</v>
      </c>
      <c r="I83" s="73">
        <v>5</v>
      </c>
      <c r="J83" s="73">
        <v>5</v>
      </c>
      <c r="K83" s="73">
        <v>5</v>
      </c>
      <c r="L83" s="73">
        <v>4</v>
      </c>
      <c r="M83" s="73">
        <v>4</v>
      </c>
      <c r="N83" s="73">
        <v>4</v>
      </c>
      <c r="O83" s="73">
        <v>2</v>
      </c>
      <c r="P83" s="73">
        <v>4</v>
      </c>
      <c r="Q83" s="73">
        <v>5</v>
      </c>
      <c r="R83" s="73">
        <v>3</v>
      </c>
      <c r="S83" s="73">
        <v>5</v>
      </c>
      <c r="T83" s="73" t="s">
        <v>1420</v>
      </c>
      <c r="U83" s="73" t="s">
        <v>41</v>
      </c>
      <c r="V83" s="73" t="s">
        <v>1427</v>
      </c>
      <c r="Y83" s="73" t="s">
        <v>1386</v>
      </c>
      <c r="Z83" s="73" t="s">
        <v>1387</v>
      </c>
      <c r="AA83" s="73" t="s">
        <v>1351</v>
      </c>
      <c r="AB83" s="73"/>
      <c r="AC83" s="73" t="s">
        <v>1352</v>
      </c>
      <c r="AD83" s="73" t="s">
        <v>1391</v>
      </c>
      <c r="AE83" s="73" t="s">
        <v>435</v>
      </c>
      <c r="AF83" s="73">
        <v>5</v>
      </c>
      <c r="AG83" s="73">
        <v>5</v>
      </c>
      <c r="AH83" s="73">
        <v>5</v>
      </c>
      <c r="AI83" s="73">
        <v>5</v>
      </c>
      <c r="AJ83" s="73">
        <v>5</v>
      </c>
      <c r="AK83" s="73"/>
    </row>
    <row r="84" spans="2:37" x14ac:dyDescent="0.3">
      <c r="B84" s="73" t="s">
        <v>1415</v>
      </c>
      <c r="C84" s="73" t="s">
        <v>1416</v>
      </c>
      <c r="D84" s="73" t="s">
        <v>1351</v>
      </c>
      <c r="E84" s="73"/>
      <c r="F84" s="73" t="s">
        <v>1352</v>
      </c>
      <c r="G84" s="73" t="s">
        <v>1426</v>
      </c>
      <c r="H84" s="73">
        <v>5</v>
      </c>
      <c r="I84" s="73">
        <v>5</v>
      </c>
      <c r="J84" s="73">
        <v>5</v>
      </c>
      <c r="K84" s="73">
        <v>5</v>
      </c>
      <c r="L84" s="73">
        <v>5</v>
      </c>
      <c r="M84" s="73">
        <v>4</v>
      </c>
      <c r="N84" s="73">
        <v>3</v>
      </c>
      <c r="O84" s="73">
        <v>4</v>
      </c>
      <c r="P84" s="73">
        <v>5</v>
      </c>
      <c r="Q84" s="73">
        <v>5</v>
      </c>
      <c r="R84" s="73">
        <v>5</v>
      </c>
      <c r="S84" s="73">
        <v>5</v>
      </c>
      <c r="T84" s="73" t="s">
        <v>1421</v>
      </c>
      <c r="U84" s="73" t="s">
        <v>39</v>
      </c>
      <c r="V84" s="73" t="s">
        <v>1369</v>
      </c>
      <c r="Y84" s="73" t="s">
        <v>1386</v>
      </c>
      <c r="Z84" s="73" t="s">
        <v>1387</v>
      </c>
      <c r="AA84" s="73" t="s">
        <v>1351</v>
      </c>
      <c r="AB84" s="73"/>
      <c r="AC84" s="73" t="s">
        <v>1352</v>
      </c>
      <c r="AD84" s="73" t="s">
        <v>1391</v>
      </c>
      <c r="AE84" s="73" t="s">
        <v>435</v>
      </c>
      <c r="AF84" s="73">
        <v>5</v>
      </c>
      <c r="AG84" s="73">
        <v>5</v>
      </c>
      <c r="AH84" s="73">
        <v>5</v>
      </c>
      <c r="AI84" s="73">
        <v>5</v>
      </c>
      <c r="AJ84" s="73">
        <v>5</v>
      </c>
      <c r="AK84" s="73"/>
    </row>
    <row r="85" spans="2:37" x14ac:dyDescent="0.3">
      <c r="B85" s="73" t="s">
        <v>1415</v>
      </c>
      <c r="C85" s="73" t="s">
        <v>1416</v>
      </c>
      <c r="D85" s="73" t="s">
        <v>1351</v>
      </c>
      <c r="E85" s="73"/>
      <c r="F85" s="73" t="s">
        <v>1352</v>
      </c>
      <c r="G85" s="73" t="s">
        <v>1426</v>
      </c>
      <c r="H85" s="73">
        <v>5</v>
      </c>
      <c r="I85" s="73">
        <v>5</v>
      </c>
      <c r="J85" s="73">
        <v>5</v>
      </c>
      <c r="K85" s="73">
        <v>5</v>
      </c>
      <c r="L85" s="73">
        <v>4</v>
      </c>
      <c r="M85" s="73">
        <v>4</v>
      </c>
      <c r="N85" s="73">
        <v>5</v>
      </c>
      <c r="O85" s="73">
        <v>4</v>
      </c>
      <c r="P85" s="73">
        <v>5</v>
      </c>
      <c r="Q85" s="73">
        <v>4</v>
      </c>
      <c r="R85" s="73">
        <v>4</v>
      </c>
      <c r="S85" s="73">
        <v>5</v>
      </c>
      <c r="T85" s="73" t="s">
        <v>1422</v>
      </c>
      <c r="U85" s="73" t="s">
        <v>39</v>
      </c>
      <c r="V85" s="73" t="s">
        <v>1369</v>
      </c>
      <c r="Y85" s="73" t="s">
        <v>1386</v>
      </c>
      <c r="Z85" s="73" t="s">
        <v>1387</v>
      </c>
      <c r="AA85" s="73" t="s">
        <v>1351</v>
      </c>
      <c r="AB85" s="73"/>
      <c r="AC85" s="73" t="s">
        <v>1352</v>
      </c>
      <c r="AD85" s="73" t="s">
        <v>1391</v>
      </c>
      <c r="AE85" s="73" t="s">
        <v>435</v>
      </c>
      <c r="AF85" s="73">
        <v>5</v>
      </c>
      <c r="AG85" s="73">
        <v>5</v>
      </c>
      <c r="AH85" s="73">
        <v>5</v>
      </c>
      <c r="AI85" s="73">
        <v>5</v>
      </c>
      <c r="AJ85" s="73">
        <v>5</v>
      </c>
      <c r="AK85" s="73"/>
    </row>
    <row r="86" spans="2:37" x14ac:dyDescent="0.3">
      <c r="B86" s="73" t="s">
        <v>1415</v>
      </c>
      <c r="C86" s="73" t="s">
        <v>1416</v>
      </c>
      <c r="D86" s="73" t="s">
        <v>1351</v>
      </c>
      <c r="E86" s="73"/>
      <c r="F86" s="73" t="s">
        <v>1352</v>
      </c>
      <c r="G86" s="73" t="s">
        <v>1426</v>
      </c>
      <c r="H86" s="73">
        <v>4</v>
      </c>
      <c r="I86" s="73">
        <v>4</v>
      </c>
      <c r="J86" s="73">
        <v>4</v>
      </c>
      <c r="K86" s="73">
        <v>4</v>
      </c>
      <c r="L86" s="73">
        <v>3</v>
      </c>
      <c r="M86" s="73">
        <v>4</v>
      </c>
      <c r="N86" s="73">
        <v>5</v>
      </c>
      <c r="O86" s="73">
        <v>4</v>
      </c>
      <c r="P86" s="73"/>
      <c r="Q86" s="73">
        <v>4</v>
      </c>
      <c r="R86" s="73">
        <v>3</v>
      </c>
      <c r="S86" s="73">
        <v>4</v>
      </c>
      <c r="T86" s="73" t="s">
        <v>1423</v>
      </c>
      <c r="U86" s="73" t="s">
        <v>39</v>
      </c>
      <c r="V86" s="73" t="s">
        <v>1369</v>
      </c>
      <c r="Y86" s="73" t="s">
        <v>1386</v>
      </c>
      <c r="Z86" s="73" t="s">
        <v>1387</v>
      </c>
      <c r="AA86" s="73" t="s">
        <v>1351</v>
      </c>
      <c r="AB86" s="73"/>
      <c r="AC86" s="73" t="s">
        <v>1352</v>
      </c>
      <c r="AD86" s="73" t="s">
        <v>1391</v>
      </c>
      <c r="AE86" s="73" t="s">
        <v>435</v>
      </c>
      <c r="AF86" s="73">
        <v>5</v>
      </c>
      <c r="AG86" s="73">
        <v>5</v>
      </c>
      <c r="AH86" s="73">
        <v>5</v>
      </c>
      <c r="AI86" s="73">
        <v>5</v>
      </c>
      <c r="AJ86" s="73">
        <v>5</v>
      </c>
      <c r="AK86" s="73"/>
    </row>
    <row r="87" spans="2:37" x14ac:dyDescent="0.3">
      <c r="B87" s="73" t="s">
        <v>1415</v>
      </c>
      <c r="C87" s="73" t="s">
        <v>1416</v>
      </c>
      <c r="D87" s="73" t="s">
        <v>1351</v>
      </c>
      <c r="E87" s="73"/>
      <c r="F87" s="73" t="s">
        <v>1352</v>
      </c>
      <c r="G87" s="73" t="s">
        <v>1426</v>
      </c>
      <c r="H87" s="73">
        <v>3</v>
      </c>
      <c r="I87" s="73">
        <v>4</v>
      </c>
      <c r="J87" s="73">
        <v>3</v>
      </c>
      <c r="K87" s="73">
        <v>2</v>
      </c>
      <c r="L87" s="73">
        <v>3</v>
      </c>
      <c r="M87" s="73">
        <v>3</v>
      </c>
      <c r="N87" s="73">
        <v>3</v>
      </c>
      <c r="O87" s="73"/>
      <c r="P87" s="73"/>
      <c r="Q87" s="73"/>
      <c r="R87" s="73">
        <v>3</v>
      </c>
      <c r="S87" s="73">
        <v>5</v>
      </c>
      <c r="T87" s="73" t="s">
        <v>1424</v>
      </c>
      <c r="U87" s="73" t="s">
        <v>39</v>
      </c>
      <c r="V87" s="73" t="s">
        <v>1369</v>
      </c>
      <c r="Y87" s="73" t="s">
        <v>1429</v>
      </c>
      <c r="Z87" s="73" t="s">
        <v>1430</v>
      </c>
      <c r="AA87" s="73" t="s">
        <v>1351</v>
      </c>
      <c r="AB87" s="73"/>
      <c r="AC87" s="73" t="s">
        <v>1352</v>
      </c>
      <c r="AD87" s="73" t="s">
        <v>1439</v>
      </c>
      <c r="AE87" s="73" t="s">
        <v>1159</v>
      </c>
      <c r="AF87" s="73">
        <v>5</v>
      </c>
      <c r="AG87" s="73">
        <v>5</v>
      </c>
      <c r="AH87" s="73">
        <v>5</v>
      </c>
      <c r="AI87" s="73">
        <v>5</v>
      </c>
      <c r="AJ87" s="73">
        <v>5</v>
      </c>
      <c r="AK87" s="73" t="s">
        <v>1431</v>
      </c>
    </row>
    <row r="88" spans="2:37" x14ac:dyDescent="0.3">
      <c r="B88" s="73" t="s">
        <v>1415</v>
      </c>
      <c r="C88" s="73" t="s">
        <v>1416</v>
      </c>
      <c r="D88" s="73" t="s">
        <v>1351</v>
      </c>
      <c r="E88" s="73"/>
      <c r="F88" s="73" t="s">
        <v>1352</v>
      </c>
      <c r="G88" s="73" t="s">
        <v>1426</v>
      </c>
      <c r="H88" s="73">
        <v>4</v>
      </c>
      <c r="I88" s="73">
        <v>4</v>
      </c>
      <c r="J88" s="73">
        <v>4</v>
      </c>
      <c r="K88" s="73">
        <v>4</v>
      </c>
      <c r="L88" s="73">
        <v>4</v>
      </c>
      <c r="M88" s="73">
        <v>4</v>
      </c>
      <c r="N88" s="73">
        <v>4</v>
      </c>
      <c r="O88" s="73">
        <v>2</v>
      </c>
      <c r="P88" s="73">
        <v>2</v>
      </c>
      <c r="Q88" s="73">
        <v>4</v>
      </c>
      <c r="R88" s="73">
        <v>3</v>
      </c>
      <c r="S88" s="73">
        <v>4</v>
      </c>
      <c r="T88" s="73"/>
      <c r="U88" s="73" t="s">
        <v>39</v>
      </c>
      <c r="V88" s="73" t="s">
        <v>1369</v>
      </c>
      <c r="Y88" s="73" t="s">
        <v>1429</v>
      </c>
      <c r="Z88" s="73" t="s">
        <v>1430</v>
      </c>
      <c r="AA88" s="73" t="s">
        <v>1351</v>
      </c>
      <c r="AB88" s="73"/>
      <c r="AC88" s="73" t="s">
        <v>1352</v>
      </c>
      <c r="AD88" s="73" t="s">
        <v>1439</v>
      </c>
      <c r="AE88" s="73" t="s">
        <v>1159</v>
      </c>
      <c r="AF88" s="73">
        <v>5</v>
      </c>
      <c r="AG88" s="73">
        <v>5</v>
      </c>
      <c r="AH88" s="73">
        <v>4</v>
      </c>
      <c r="AI88" s="73">
        <v>5</v>
      </c>
      <c r="AJ88" s="73">
        <v>5</v>
      </c>
      <c r="AK88" s="73" t="s">
        <v>1432</v>
      </c>
    </row>
    <row r="89" spans="2:37" x14ac:dyDescent="0.3">
      <c r="B89" s="73" t="s">
        <v>1415</v>
      </c>
      <c r="C89" s="73" t="s">
        <v>1416</v>
      </c>
      <c r="D89" s="73" t="s">
        <v>1351</v>
      </c>
      <c r="E89" s="73"/>
      <c r="F89" s="73" t="s">
        <v>1352</v>
      </c>
      <c r="G89" s="73" t="s">
        <v>1426</v>
      </c>
      <c r="H89" s="73">
        <v>3</v>
      </c>
      <c r="I89" s="73">
        <v>4</v>
      </c>
      <c r="J89" s="73">
        <v>4</v>
      </c>
      <c r="K89" s="73">
        <v>5</v>
      </c>
      <c r="L89" s="73">
        <v>3</v>
      </c>
      <c r="M89" s="73">
        <v>3</v>
      </c>
      <c r="N89" s="73">
        <v>4</v>
      </c>
      <c r="O89" s="73"/>
      <c r="P89" s="73"/>
      <c r="Q89" s="73">
        <v>3</v>
      </c>
      <c r="R89" s="73"/>
      <c r="S89" s="73">
        <v>4</v>
      </c>
      <c r="T89" s="73"/>
      <c r="U89" s="73" t="s">
        <v>39</v>
      </c>
      <c r="V89" s="73" t="s">
        <v>1369</v>
      </c>
      <c r="Y89" s="73" t="s">
        <v>1429</v>
      </c>
      <c r="Z89" s="73" t="s">
        <v>1430</v>
      </c>
      <c r="AA89" s="73" t="s">
        <v>1351</v>
      </c>
      <c r="AB89" s="73"/>
      <c r="AC89" s="73" t="s">
        <v>1352</v>
      </c>
      <c r="AD89" s="73" t="s">
        <v>1439</v>
      </c>
      <c r="AE89" s="73" t="s">
        <v>1159</v>
      </c>
      <c r="AF89" s="73">
        <v>5</v>
      </c>
      <c r="AG89" s="73">
        <v>5</v>
      </c>
      <c r="AH89" s="73">
        <v>5</v>
      </c>
      <c r="AI89" s="73">
        <v>5</v>
      </c>
      <c r="AJ89" s="73">
        <v>5</v>
      </c>
      <c r="AK89" s="73" t="s">
        <v>1433</v>
      </c>
    </row>
    <row r="90" spans="2:37" x14ac:dyDescent="0.3">
      <c r="B90" s="73" t="s">
        <v>1415</v>
      </c>
      <c r="C90" s="73" t="s">
        <v>1416</v>
      </c>
      <c r="D90" s="73" t="s">
        <v>1351</v>
      </c>
      <c r="E90" s="73"/>
      <c r="F90" s="73" t="s">
        <v>1352</v>
      </c>
      <c r="G90" s="73" t="s">
        <v>1428</v>
      </c>
      <c r="H90" s="73">
        <v>5</v>
      </c>
      <c r="I90" s="73">
        <v>5</v>
      </c>
      <c r="J90" s="73">
        <v>5</v>
      </c>
      <c r="K90" s="73">
        <v>5</v>
      </c>
      <c r="L90" s="73">
        <v>5</v>
      </c>
      <c r="M90" s="73">
        <v>5</v>
      </c>
      <c r="N90" s="73">
        <v>5</v>
      </c>
      <c r="O90" s="73">
        <v>3</v>
      </c>
      <c r="P90" s="73"/>
      <c r="Q90" s="73"/>
      <c r="R90" s="73">
        <v>4</v>
      </c>
      <c r="S90" s="73">
        <v>5</v>
      </c>
      <c r="T90" s="73"/>
      <c r="U90" s="73" t="s">
        <v>39</v>
      </c>
      <c r="V90" s="73" t="s">
        <v>1369</v>
      </c>
      <c r="Y90" s="73" t="s">
        <v>1429</v>
      </c>
      <c r="Z90" s="73" t="s">
        <v>1430</v>
      </c>
      <c r="AA90" s="73" t="s">
        <v>1351</v>
      </c>
      <c r="AB90" s="73"/>
      <c r="AC90" s="73" t="s">
        <v>1352</v>
      </c>
      <c r="AD90" s="73" t="s">
        <v>1439</v>
      </c>
      <c r="AE90" s="73" t="s">
        <v>1159</v>
      </c>
      <c r="AF90" s="73">
        <v>5</v>
      </c>
      <c r="AG90" s="73">
        <v>5</v>
      </c>
      <c r="AH90" s="73">
        <v>5</v>
      </c>
      <c r="AI90" s="73">
        <v>5</v>
      </c>
      <c r="AJ90" s="73">
        <v>5</v>
      </c>
      <c r="AK90" s="73" t="s">
        <v>1434</v>
      </c>
    </row>
    <row r="91" spans="2:37" x14ac:dyDescent="0.3">
      <c r="B91" s="73" t="s">
        <v>1415</v>
      </c>
      <c r="C91" s="73" t="s">
        <v>1416</v>
      </c>
      <c r="D91" s="73" t="s">
        <v>1351</v>
      </c>
      <c r="E91" s="73"/>
      <c r="F91" s="73" t="s">
        <v>1352</v>
      </c>
      <c r="G91" s="73" t="s">
        <v>1428</v>
      </c>
      <c r="H91" s="73">
        <v>5</v>
      </c>
      <c r="I91" s="73">
        <v>5</v>
      </c>
      <c r="J91" s="73">
        <v>5</v>
      </c>
      <c r="K91" s="73">
        <v>5</v>
      </c>
      <c r="L91" s="73">
        <v>5</v>
      </c>
      <c r="M91" s="73">
        <v>4</v>
      </c>
      <c r="N91" s="73">
        <v>3</v>
      </c>
      <c r="O91" s="73">
        <v>2</v>
      </c>
      <c r="P91" s="73">
        <v>4</v>
      </c>
      <c r="Q91" s="73">
        <v>5</v>
      </c>
      <c r="R91" s="73">
        <v>4</v>
      </c>
      <c r="S91" s="73">
        <v>5</v>
      </c>
      <c r="T91" s="73"/>
      <c r="U91" s="73"/>
      <c r="V91" s="73" t="s">
        <v>1370</v>
      </c>
      <c r="Y91" s="73" t="s">
        <v>1429</v>
      </c>
      <c r="Z91" s="73" t="s">
        <v>1430</v>
      </c>
      <c r="AA91" s="73" t="s">
        <v>1351</v>
      </c>
      <c r="AB91" s="73"/>
      <c r="AC91" s="73" t="s">
        <v>1352</v>
      </c>
      <c r="AD91" s="73" t="s">
        <v>1439</v>
      </c>
      <c r="AE91" s="73" t="s">
        <v>1159</v>
      </c>
      <c r="AF91" s="73">
        <v>5</v>
      </c>
      <c r="AG91" s="73">
        <v>5</v>
      </c>
      <c r="AH91" s="73">
        <v>5</v>
      </c>
      <c r="AI91" s="73">
        <v>5</v>
      </c>
      <c r="AJ91" s="73">
        <v>5</v>
      </c>
      <c r="AK91" s="73" t="s">
        <v>1435</v>
      </c>
    </row>
    <row r="92" spans="2:37" x14ac:dyDescent="0.3">
      <c r="B92" s="73" t="s">
        <v>1415</v>
      </c>
      <c r="C92" s="73" t="s">
        <v>1416</v>
      </c>
      <c r="D92" s="73" t="s">
        <v>1351</v>
      </c>
      <c r="E92" s="73"/>
      <c r="F92" s="73" t="s">
        <v>1352</v>
      </c>
      <c r="G92" s="73" t="s">
        <v>1428</v>
      </c>
      <c r="H92" s="73">
        <v>5</v>
      </c>
      <c r="I92" s="73">
        <v>5</v>
      </c>
      <c r="J92" s="73">
        <v>5</v>
      </c>
      <c r="K92" s="73">
        <v>5</v>
      </c>
      <c r="L92" s="73">
        <v>5</v>
      </c>
      <c r="M92" s="73">
        <v>5</v>
      </c>
      <c r="N92" s="73">
        <v>5</v>
      </c>
      <c r="O92" s="73">
        <v>4</v>
      </c>
      <c r="P92" s="73">
        <v>5</v>
      </c>
      <c r="Q92" s="73">
        <v>5</v>
      </c>
      <c r="R92" s="73">
        <v>4</v>
      </c>
      <c r="S92" s="73">
        <v>5</v>
      </c>
      <c r="T92" s="73"/>
      <c r="U92" s="73"/>
      <c r="V92" s="73" t="s">
        <v>1370</v>
      </c>
      <c r="Y92" s="73" t="s">
        <v>1429</v>
      </c>
      <c r="Z92" s="73" t="s">
        <v>1430</v>
      </c>
      <c r="AA92" s="73" t="s">
        <v>1351</v>
      </c>
      <c r="AB92" s="73"/>
      <c r="AC92" s="73" t="s">
        <v>1352</v>
      </c>
      <c r="AD92" s="73" t="s">
        <v>1440</v>
      </c>
      <c r="AE92" s="73" t="s">
        <v>1159</v>
      </c>
      <c r="AF92" s="73">
        <v>5</v>
      </c>
      <c r="AG92" s="73">
        <v>5</v>
      </c>
      <c r="AH92" s="73">
        <v>5</v>
      </c>
      <c r="AI92" s="73">
        <v>5</v>
      </c>
      <c r="AJ92" s="73">
        <v>5</v>
      </c>
      <c r="AK92" s="73" t="s">
        <v>1436</v>
      </c>
    </row>
    <row r="93" spans="2:37" x14ac:dyDescent="0.3">
      <c r="B93" s="73" t="s">
        <v>1441</v>
      </c>
      <c r="C93" s="73" t="s">
        <v>1442</v>
      </c>
      <c r="D93" s="73" t="s">
        <v>1351</v>
      </c>
      <c r="E93" s="73"/>
      <c r="F93" s="73" t="s">
        <v>1352</v>
      </c>
      <c r="G93" s="73" t="s">
        <v>1445</v>
      </c>
      <c r="H93" s="73">
        <v>5</v>
      </c>
      <c r="I93" s="73">
        <v>5</v>
      </c>
      <c r="J93" s="73">
        <v>5</v>
      </c>
      <c r="K93" s="73">
        <v>5</v>
      </c>
      <c r="L93" s="73">
        <v>5</v>
      </c>
      <c r="M93" s="73">
        <v>5</v>
      </c>
      <c r="N93" s="73">
        <v>5</v>
      </c>
      <c r="O93" s="73">
        <v>5</v>
      </c>
      <c r="P93" s="73">
        <v>5</v>
      </c>
      <c r="Q93" s="73">
        <v>5</v>
      </c>
      <c r="R93" s="73">
        <v>5</v>
      </c>
      <c r="S93" s="73">
        <v>5</v>
      </c>
      <c r="T93" s="73" t="s">
        <v>1443</v>
      </c>
      <c r="U93" s="73" t="s">
        <v>1219</v>
      </c>
      <c r="V93" s="73" t="s">
        <v>1367</v>
      </c>
      <c r="Y93" s="73" t="s">
        <v>1429</v>
      </c>
      <c r="Z93" s="73" t="s">
        <v>1430</v>
      </c>
      <c r="AA93" s="73" t="s">
        <v>1351</v>
      </c>
      <c r="AB93" s="73"/>
      <c r="AC93" s="73" t="s">
        <v>1352</v>
      </c>
      <c r="AD93" s="73" t="s">
        <v>1440</v>
      </c>
      <c r="AE93" s="73" t="s">
        <v>1159</v>
      </c>
      <c r="AF93" s="73">
        <v>5</v>
      </c>
      <c r="AG93" s="73">
        <v>5</v>
      </c>
      <c r="AH93" s="73">
        <v>5</v>
      </c>
      <c r="AI93" s="73">
        <v>5</v>
      </c>
      <c r="AJ93" s="73">
        <v>5</v>
      </c>
      <c r="AK93" s="73" t="s">
        <v>1437</v>
      </c>
    </row>
    <row r="94" spans="2:37" x14ac:dyDescent="0.3">
      <c r="B94" s="73" t="s">
        <v>1441</v>
      </c>
      <c r="C94" s="73" t="s">
        <v>1442</v>
      </c>
      <c r="D94" s="73" t="s">
        <v>1351</v>
      </c>
      <c r="E94" s="73"/>
      <c r="F94" s="73" t="s">
        <v>1352</v>
      </c>
      <c r="G94" s="73" t="s">
        <v>1446</v>
      </c>
      <c r="H94" s="73">
        <v>4</v>
      </c>
      <c r="I94" s="73">
        <v>4</v>
      </c>
      <c r="J94" s="73">
        <v>4</v>
      </c>
      <c r="K94" s="73">
        <v>4</v>
      </c>
      <c r="L94" s="73">
        <v>3</v>
      </c>
      <c r="M94" s="73">
        <v>4</v>
      </c>
      <c r="N94" s="73">
        <v>4</v>
      </c>
      <c r="O94" s="73">
        <v>4</v>
      </c>
      <c r="P94" s="73">
        <v>3</v>
      </c>
      <c r="Q94" s="73">
        <v>3</v>
      </c>
      <c r="R94" s="73">
        <v>4</v>
      </c>
      <c r="S94" s="73">
        <v>4</v>
      </c>
      <c r="T94" s="73" t="s">
        <v>1444</v>
      </c>
      <c r="U94" s="73" t="s">
        <v>38</v>
      </c>
      <c r="V94" s="73" t="s">
        <v>1366</v>
      </c>
      <c r="Y94" s="73" t="s">
        <v>1429</v>
      </c>
      <c r="Z94" s="73" t="s">
        <v>1430</v>
      </c>
      <c r="AA94" s="73" t="s">
        <v>1351</v>
      </c>
      <c r="AB94" s="73"/>
      <c r="AC94" s="73" t="s">
        <v>1352</v>
      </c>
      <c r="AD94" s="73" t="s">
        <v>1440</v>
      </c>
      <c r="AE94" s="73" t="s">
        <v>1159</v>
      </c>
      <c r="AF94" s="73">
        <v>5</v>
      </c>
      <c r="AG94" s="73">
        <v>5</v>
      </c>
      <c r="AH94" s="73">
        <v>4</v>
      </c>
      <c r="AI94" s="73">
        <v>5</v>
      </c>
      <c r="AJ94" s="73">
        <v>5</v>
      </c>
      <c r="AK94" s="73" t="s">
        <v>1438</v>
      </c>
    </row>
    <row r="95" spans="2:37" x14ac:dyDescent="0.3">
      <c r="B95" s="73" t="s">
        <v>1441</v>
      </c>
      <c r="C95" s="73" t="s">
        <v>1442</v>
      </c>
      <c r="D95" s="73" t="s">
        <v>1351</v>
      </c>
      <c r="E95" s="73"/>
      <c r="F95" s="73" t="s">
        <v>1352</v>
      </c>
      <c r="G95" s="73" t="s">
        <v>1446</v>
      </c>
      <c r="H95" s="73">
        <v>5</v>
      </c>
      <c r="I95" s="73">
        <v>5</v>
      </c>
      <c r="J95" s="73">
        <v>5</v>
      </c>
      <c r="K95" s="73">
        <v>5</v>
      </c>
      <c r="L95" s="73"/>
      <c r="M95" s="73">
        <v>5</v>
      </c>
      <c r="N95" s="73">
        <v>5</v>
      </c>
      <c r="O95" s="73">
        <v>4</v>
      </c>
      <c r="P95" s="73"/>
      <c r="Q95" s="73">
        <v>5</v>
      </c>
      <c r="R95" s="73">
        <v>5</v>
      </c>
      <c r="S95" s="73">
        <v>5</v>
      </c>
      <c r="T95" s="73"/>
      <c r="U95" s="73" t="s">
        <v>38</v>
      </c>
      <c r="V95" s="73" t="s">
        <v>1366</v>
      </c>
      <c r="Y95" s="73" t="s">
        <v>1429</v>
      </c>
      <c r="Z95" s="73" t="s">
        <v>1430</v>
      </c>
      <c r="AA95" s="73" t="s">
        <v>1351</v>
      </c>
      <c r="AB95" s="73"/>
      <c r="AC95" s="73" t="s">
        <v>1352</v>
      </c>
      <c r="AD95" s="73" t="s">
        <v>1440</v>
      </c>
      <c r="AE95" s="73" t="s">
        <v>1159</v>
      </c>
      <c r="AF95" s="73">
        <v>5</v>
      </c>
      <c r="AG95" s="73">
        <v>5</v>
      </c>
      <c r="AH95" s="73">
        <v>5</v>
      </c>
      <c r="AI95" s="73">
        <v>5</v>
      </c>
      <c r="AJ95" s="73">
        <v>5</v>
      </c>
      <c r="AK95" s="73"/>
    </row>
    <row r="96" spans="2:37" x14ac:dyDescent="0.3">
      <c r="B96" s="73" t="s">
        <v>1441</v>
      </c>
      <c r="C96" s="73" t="s">
        <v>1442</v>
      </c>
      <c r="D96" s="73" t="s">
        <v>1351</v>
      </c>
      <c r="E96" s="73"/>
      <c r="F96" s="73" t="s">
        <v>1352</v>
      </c>
      <c r="G96" s="73" t="s">
        <v>1446</v>
      </c>
      <c r="H96" s="73">
        <v>4</v>
      </c>
      <c r="I96" s="73">
        <v>4</v>
      </c>
      <c r="J96" s="73">
        <v>4</v>
      </c>
      <c r="K96" s="73">
        <v>4</v>
      </c>
      <c r="L96" s="73">
        <v>4</v>
      </c>
      <c r="M96" s="73">
        <v>4</v>
      </c>
      <c r="N96" s="73">
        <v>4</v>
      </c>
      <c r="O96" s="73">
        <v>4</v>
      </c>
      <c r="P96" s="73">
        <v>4</v>
      </c>
      <c r="Q96" s="73">
        <v>4</v>
      </c>
      <c r="R96" s="73">
        <v>4</v>
      </c>
      <c r="S96" s="73">
        <v>4</v>
      </c>
      <c r="T96" s="73"/>
      <c r="U96" s="73" t="s">
        <v>38</v>
      </c>
      <c r="V96" s="73" t="s">
        <v>1366</v>
      </c>
      <c r="Y96" s="73" t="s">
        <v>1429</v>
      </c>
      <c r="Z96" s="73" t="s">
        <v>1430</v>
      </c>
      <c r="AA96" s="73" t="s">
        <v>1351</v>
      </c>
      <c r="AB96" s="73"/>
      <c r="AC96" s="73" t="s">
        <v>1352</v>
      </c>
      <c r="AD96" s="73" t="s">
        <v>1440</v>
      </c>
      <c r="AE96" s="73" t="s">
        <v>1159</v>
      </c>
      <c r="AF96" s="73">
        <v>5</v>
      </c>
      <c r="AG96" s="73">
        <v>5</v>
      </c>
      <c r="AH96" s="73">
        <v>5</v>
      </c>
      <c r="AI96" s="73">
        <v>5</v>
      </c>
      <c r="AJ96" s="73">
        <v>5</v>
      </c>
      <c r="AK96" s="73"/>
    </row>
    <row r="97" spans="2:37" x14ac:dyDescent="0.3">
      <c r="B97" s="73" t="s">
        <v>1441</v>
      </c>
      <c r="C97" s="73" t="s">
        <v>1442</v>
      </c>
      <c r="D97" s="73" t="s">
        <v>1351</v>
      </c>
      <c r="E97" s="73"/>
      <c r="F97" s="73" t="s">
        <v>1352</v>
      </c>
      <c r="G97" s="73" t="s">
        <v>1446</v>
      </c>
      <c r="H97" s="73">
        <v>5</v>
      </c>
      <c r="I97" s="73">
        <v>3</v>
      </c>
      <c r="J97" s="73">
        <v>4</v>
      </c>
      <c r="K97" s="73">
        <v>5</v>
      </c>
      <c r="L97" s="73">
        <v>5</v>
      </c>
      <c r="M97" s="73">
        <v>5</v>
      </c>
      <c r="N97" s="73">
        <v>5</v>
      </c>
      <c r="O97" s="73">
        <v>5</v>
      </c>
      <c r="P97" s="73"/>
      <c r="Q97" s="73">
        <v>5</v>
      </c>
      <c r="R97" s="73">
        <v>5</v>
      </c>
      <c r="S97" s="73">
        <v>5</v>
      </c>
      <c r="T97" s="73"/>
      <c r="U97" s="73" t="s">
        <v>1219</v>
      </c>
      <c r="V97" s="73" t="s">
        <v>1367</v>
      </c>
      <c r="Y97" s="73" t="s">
        <v>1347</v>
      </c>
      <c r="Z97" s="73" t="s">
        <v>1348</v>
      </c>
      <c r="AA97" s="73" t="s">
        <v>1351</v>
      </c>
      <c r="AB97" s="73"/>
      <c r="AC97" s="73" t="s">
        <v>1352</v>
      </c>
      <c r="AD97" s="73" t="s">
        <v>1353</v>
      </c>
      <c r="AE97" s="73" t="s">
        <v>1181</v>
      </c>
      <c r="AF97" s="73">
        <v>5</v>
      </c>
      <c r="AG97" s="73">
        <v>5</v>
      </c>
      <c r="AH97" s="73">
        <v>5</v>
      </c>
      <c r="AI97" s="73">
        <v>5</v>
      </c>
      <c r="AJ97" s="73">
        <v>5</v>
      </c>
      <c r="AK97" s="73" t="s">
        <v>1349</v>
      </c>
    </row>
    <row r="98" spans="2:37" x14ac:dyDescent="0.3">
      <c r="B98" s="73" t="s">
        <v>1441</v>
      </c>
      <c r="C98" s="73" t="s">
        <v>1442</v>
      </c>
      <c r="D98" s="73" t="s">
        <v>1351</v>
      </c>
      <c r="E98" s="73"/>
      <c r="F98" s="73" t="s">
        <v>1352</v>
      </c>
      <c r="G98" s="73" t="s">
        <v>1446</v>
      </c>
      <c r="H98" s="73">
        <v>5</v>
      </c>
      <c r="I98" s="73">
        <v>4</v>
      </c>
      <c r="J98" s="73">
        <v>4</v>
      </c>
      <c r="K98" s="73">
        <v>5</v>
      </c>
      <c r="L98" s="73">
        <v>4</v>
      </c>
      <c r="M98" s="73">
        <v>5</v>
      </c>
      <c r="N98" s="73">
        <v>5</v>
      </c>
      <c r="O98" s="73">
        <v>5</v>
      </c>
      <c r="P98" s="73">
        <v>5</v>
      </c>
      <c r="Q98" s="73">
        <v>5</v>
      </c>
      <c r="R98" s="73">
        <v>5</v>
      </c>
      <c r="S98" s="73">
        <v>5</v>
      </c>
      <c r="T98" s="73"/>
      <c r="U98" s="73" t="s">
        <v>38</v>
      </c>
      <c r="V98" s="73" t="s">
        <v>1366</v>
      </c>
      <c r="Y98" s="73" t="s">
        <v>1347</v>
      </c>
      <c r="Z98" s="73" t="s">
        <v>1348</v>
      </c>
      <c r="AA98" s="73" t="s">
        <v>1351</v>
      </c>
      <c r="AB98" s="73"/>
      <c r="AC98" s="73" t="s">
        <v>1352</v>
      </c>
      <c r="AD98" s="73" t="s">
        <v>1353</v>
      </c>
      <c r="AE98" s="73" t="s">
        <v>1181</v>
      </c>
      <c r="AF98" s="73">
        <v>5</v>
      </c>
      <c r="AG98" s="73">
        <v>5</v>
      </c>
      <c r="AH98" s="73">
        <v>5</v>
      </c>
      <c r="AI98" s="73">
        <v>5</v>
      </c>
      <c r="AJ98" s="73">
        <v>5</v>
      </c>
      <c r="AK98" s="73" t="s">
        <v>1350</v>
      </c>
    </row>
    <row r="99" spans="2:37" x14ac:dyDescent="0.3">
      <c r="B99" s="73" t="s">
        <v>1441</v>
      </c>
      <c r="C99" s="73" t="s">
        <v>1442</v>
      </c>
      <c r="D99" s="73" t="s">
        <v>1351</v>
      </c>
      <c r="E99" s="73"/>
      <c r="F99" s="73" t="s">
        <v>1352</v>
      </c>
      <c r="G99" s="73" t="s">
        <v>1446</v>
      </c>
      <c r="H99" s="73">
        <v>5</v>
      </c>
      <c r="I99" s="73">
        <v>5</v>
      </c>
      <c r="J99" s="73">
        <v>4</v>
      </c>
      <c r="K99" s="73">
        <v>5</v>
      </c>
      <c r="L99" s="73">
        <v>4</v>
      </c>
      <c r="M99" s="73">
        <v>5</v>
      </c>
      <c r="N99" s="73">
        <v>5</v>
      </c>
      <c r="O99" s="73">
        <v>4</v>
      </c>
      <c r="P99" s="73">
        <v>5</v>
      </c>
      <c r="Q99" s="73">
        <v>5</v>
      </c>
      <c r="R99" s="73">
        <v>5</v>
      </c>
      <c r="S99" s="73">
        <v>5</v>
      </c>
      <c r="T99" s="73"/>
      <c r="U99" s="73" t="s">
        <v>40</v>
      </c>
      <c r="V99" s="73" t="s">
        <v>1413</v>
      </c>
      <c r="Y99" s="73" t="s">
        <v>1347</v>
      </c>
      <c r="Z99" s="73" t="s">
        <v>1348</v>
      </c>
      <c r="AA99" s="73" t="s">
        <v>1351</v>
      </c>
      <c r="AB99" s="73"/>
      <c r="AC99" s="73" t="s">
        <v>1352</v>
      </c>
      <c r="AD99" s="73" t="s">
        <v>1353</v>
      </c>
      <c r="AE99" s="73" t="s">
        <v>1181</v>
      </c>
      <c r="AF99" s="73">
        <v>4</v>
      </c>
      <c r="AG99" s="73">
        <v>4</v>
      </c>
      <c r="AH99" s="73">
        <v>4</v>
      </c>
      <c r="AI99" s="73">
        <v>4</v>
      </c>
      <c r="AJ99" s="73">
        <v>4</v>
      </c>
      <c r="AK99" s="73"/>
    </row>
    <row r="100" spans="2:37" x14ac:dyDescent="0.3">
      <c r="B100" s="73" t="s">
        <v>1358</v>
      </c>
      <c r="C100" s="73" t="s">
        <v>1359</v>
      </c>
      <c r="D100" s="73" t="s">
        <v>1351</v>
      </c>
      <c r="E100" s="73"/>
      <c r="F100" s="73" t="s">
        <v>1352</v>
      </c>
      <c r="G100" s="73" t="s">
        <v>1360</v>
      </c>
      <c r="H100" s="73">
        <v>5</v>
      </c>
      <c r="I100" s="73">
        <v>5</v>
      </c>
      <c r="J100" s="73">
        <v>5</v>
      </c>
      <c r="K100" s="73">
        <v>5</v>
      </c>
      <c r="L100" s="73">
        <v>5</v>
      </c>
      <c r="M100" s="73">
        <v>5</v>
      </c>
      <c r="N100" s="73">
        <v>4</v>
      </c>
      <c r="O100" s="73">
        <v>4</v>
      </c>
      <c r="P100" s="73">
        <v>3</v>
      </c>
      <c r="Q100" s="73">
        <v>4</v>
      </c>
      <c r="R100" s="73">
        <v>4</v>
      </c>
      <c r="S100" s="73">
        <v>5</v>
      </c>
      <c r="T100" s="73"/>
      <c r="U100" s="73" t="s">
        <v>41</v>
      </c>
      <c r="V100" s="73" t="s">
        <v>1361</v>
      </c>
      <c r="Y100" s="73" t="s">
        <v>1347</v>
      </c>
      <c r="Z100" s="73" t="s">
        <v>1348</v>
      </c>
      <c r="AA100" s="73" t="s">
        <v>1351</v>
      </c>
      <c r="AB100" s="73"/>
      <c r="AC100" s="73" t="s">
        <v>1352</v>
      </c>
      <c r="AD100" s="73" t="s">
        <v>1353</v>
      </c>
      <c r="AE100" s="73" t="s">
        <v>1181</v>
      </c>
      <c r="AF100" s="73"/>
      <c r="AG100" s="73"/>
      <c r="AH100" s="73"/>
      <c r="AI100" s="73"/>
      <c r="AJ100" s="73">
        <v>5</v>
      </c>
      <c r="AK100" s="73"/>
    </row>
    <row r="101" spans="2:37" x14ac:dyDescent="0.3">
      <c r="B101" s="73" t="s">
        <v>1358</v>
      </c>
      <c r="C101" s="73" t="s">
        <v>1359</v>
      </c>
      <c r="D101" s="73" t="s">
        <v>1351</v>
      </c>
      <c r="E101" s="73"/>
      <c r="F101" s="73" t="s">
        <v>1352</v>
      </c>
      <c r="G101" s="73" t="s">
        <v>1360</v>
      </c>
      <c r="H101" s="73">
        <v>5</v>
      </c>
      <c r="I101" s="73">
        <v>5</v>
      </c>
      <c r="J101" s="73">
        <v>5</v>
      </c>
      <c r="K101" s="73">
        <v>5</v>
      </c>
      <c r="L101" s="73">
        <v>5</v>
      </c>
      <c r="M101" s="73">
        <v>5</v>
      </c>
      <c r="N101" s="73">
        <v>5</v>
      </c>
      <c r="O101" s="73">
        <v>5</v>
      </c>
      <c r="P101" s="73">
        <v>5</v>
      </c>
      <c r="Q101" s="73">
        <v>5</v>
      </c>
      <c r="R101" s="73">
        <v>5</v>
      </c>
      <c r="S101" s="73">
        <v>5</v>
      </c>
      <c r="T101" s="73"/>
      <c r="U101" s="73" t="s">
        <v>41</v>
      </c>
      <c r="V101" s="73" t="s">
        <v>1361</v>
      </c>
      <c r="Y101" s="73" t="s">
        <v>1347</v>
      </c>
      <c r="Z101" s="73" t="s">
        <v>1348</v>
      </c>
      <c r="AA101" s="73" t="s">
        <v>1351</v>
      </c>
      <c r="AB101" s="73"/>
      <c r="AC101" s="73" t="s">
        <v>1352</v>
      </c>
      <c r="AD101" s="73" t="s">
        <v>1353</v>
      </c>
      <c r="AE101" s="73" t="s">
        <v>1181</v>
      </c>
      <c r="AF101" s="73">
        <v>5</v>
      </c>
      <c r="AG101" s="73">
        <v>5</v>
      </c>
      <c r="AH101" s="73">
        <v>5</v>
      </c>
      <c r="AI101" s="73">
        <v>5</v>
      </c>
      <c r="AJ101" s="73">
        <v>5</v>
      </c>
      <c r="AK101" s="73"/>
    </row>
    <row r="102" spans="2:37" x14ac:dyDescent="0.3">
      <c r="B102" s="73" t="s">
        <v>1358</v>
      </c>
      <c r="C102" s="73" t="s">
        <v>1359</v>
      </c>
      <c r="D102" s="73" t="s">
        <v>1351</v>
      </c>
      <c r="E102" s="73"/>
      <c r="F102" s="73" t="s">
        <v>1352</v>
      </c>
      <c r="G102" s="73" t="s">
        <v>1360</v>
      </c>
      <c r="H102" s="73">
        <v>5</v>
      </c>
      <c r="I102" s="73">
        <v>5</v>
      </c>
      <c r="J102" s="73">
        <v>5</v>
      </c>
      <c r="K102" s="73">
        <v>5</v>
      </c>
      <c r="L102" s="73">
        <v>4</v>
      </c>
      <c r="M102" s="73">
        <v>5</v>
      </c>
      <c r="N102" s="73">
        <v>5</v>
      </c>
      <c r="O102" s="73"/>
      <c r="P102" s="73"/>
      <c r="Q102" s="73">
        <v>5</v>
      </c>
      <c r="R102" s="73">
        <v>5</v>
      </c>
      <c r="S102" s="73">
        <v>5</v>
      </c>
      <c r="T102" s="73"/>
      <c r="U102" s="73" t="s">
        <v>41</v>
      </c>
      <c r="V102" s="73" t="s">
        <v>1361</v>
      </c>
      <c r="Y102" s="73" t="s">
        <v>1347</v>
      </c>
      <c r="Z102" s="73" t="s">
        <v>1348</v>
      </c>
      <c r="AA102" s="73" t="s">
        <v>1351</v>
      </c>
      <c r="AB102" s="73"/>
      <c r="AC102" s="73" t="s">
        <v>1352</v>
      </c>
      <c r="AD102" s="73" t="s">
        <v>1353</v>
      </c>
      <c r="AE102" s="73" t="s">
        <v>1181</v>
      </c>
      <c r="AF102" s="73">
        <v>5</v>
      </c>
      <c r="AG102" s="73">
        <v>5</v>
      </c>
      <c r="AH102" s="73">
        <v>5</v>
      </c>
      <c r="AI102" s="73">
        <v>5</v>
      </c>
      <c r="AJ102" s="73">
        <v>5</v>
      </c>
      <c r="AK102" s="73"/>
    </row>
    <row r="103" spans="2:37" x14ac:dyDescent="0.3">
      <c r="B103" s="73" t="s">
        <v>1358</v>
      </c>
      <c r="C103" s="73" t="s">
        <v>1359</v>
      </c>
      <c r="D103" s="73" t="s">
        <v>1351</v>
      </c>
      <c r="E103" s="73"/>
      <c r="F103" s="73" t="s">
        <v>1352</v>
      </c>
      <c r="G103" s="73" t="s">
        <v>1360</v>
      </c>
      <c r="H103" s="73">
        <v>5</v>
      </c>
      <c r="I103" s="73">
        <v>5</v>
      </c>
      <c r="J103" s="73">
        <v>5</v>
      </c>
      <c r="K103" s="73">
        <v>5</v>
      </c>
      <c r="L103" s="73">
        <v>5</v>
      </c>
      <c r="M103" s="73">
        <v>5</v>
      </c>
      <c r="N103" s="73">
        <v>5</v>
      </c>
      <c r="O103" s="73">
        <v>5</v>
      </c>
      <c r="P103" s="73">
        <v>5</v>
      </c>
      <c r="Q103" s="73">
        <v>5</v>
      </c>
      <c r="R103" s="73">
        <v>5</v>
      </c>
      <c r="S103" s="73">
        <v>5</v>
      </c>
      <c r="T103" s="73"/>
      <c r="U103" s="73" t="s">
        <v>41</v>
      </c>
      <c r="V103" s="73" t="s">
        <v>1361</v>
      </c>
      <c r="Y103" s="73" t="s">
        <v>1347</v>
      </c>
      <c r="Z103" s="73" t="s">
        <v>1348</v>
      </c>
      <c r="AA103" s="73" t="s">
        <v>1351</v>
      </c>
      <c r="AB103" s="73"/>
      <c r="AC103" s="73" t="s">
        <v>1352</v>
      </c>
      <c r="AD103" s="73" t="s">
        <v>1353</v>
      </c>
      <c r="AE103" s="73" t="s">
        <v>1181</v>
      </c>
      <c r="AF103" s="73">
        <v>5</v>
      </c>
      <c r="AG103" s="73">
        <v>5</v>
      </c>
      <c r="AH103" s="73">
        <v>5</v>
      </c>
      <c r="AI103" s="73">
        <v>5</v>
      </c>
      <c r="AJ103" s="73">
        <v>5</v>
      </c>
      <c r="AK103" s="73"/>
    </row>
    <row r="104" spans="2:37" x14ac:dyDescent="0.3">
      <c r="B104" s="73" t="s">
        <v>1358</v>
      </c>
      <c r="C104" s="73" t="s">
        <v>1359</v>
      </c>
      <c r="D104" s="73" t="s">
        <v>1351</v>
      </c>
      <c r="E104" s="73"/>
      <c r="F104" s="73" t="s">
        <v>1352</v>
      </c>
      <c r="G104" s="73" t="s">
        <v>1360</v>
      </c>
      <c r="H104" s="73">
        <v>5</v>
      </c>
      <c r="I104" s="73">
        <v>5</v>
      </c>
      <c r="J104" s="73">
        <v>5</v>
      </c>
      <c r="K104" s="73">
        <v>5</v>
      </c>
      <c r="L104" s="73">
        <v>5</v>
      </c>
      <c r="M104" s="73">
        <v>4</v>
      </c>
      <c r="N104" s="73">
        <v>4</v>
      </c>
      <c r="O104" s="73">
        <v>4</v>
      </c>
      <c r="P104" s="73"/>
      <c r="Q104" s="73">
        <v>3</v>
      </c>
      <c r="R104" s="73">
        <v>4</v>
      </c>
      <c r="S104" s="73">
        <v>5</v>
      </c>
      <c r="T104" s="73"/>
      <c r="U104" s="73" t="s">
        <v>41</v>
      </c>
      <c r="V104" s="73" t="s">
        <v>1361</v>
      </c>
      <c r="Y104" s="73" t="s">
        <v>1347</v>
      </c>
      <c r="Z104" s="73" t="s">
        <v>1348</v>
      </c>
      <c r="AA104" s="73" t="s">
        <v>1351</v>
      </c>
      <c r="AB104" s="73"/>
      <c r="AC104" s="73" t="s">
        <v>1352</v>
      </c>
      <c r="AD104" s="73" t="s">
        <v>1353</v>
      </c>
      <c r="AE104" s="73" t="s">
        <v>1181</v>
      </c>
      <c r="AF104" s="73">
        <v>5</v>
      </c>
      <c r="AG104" s="73">
        <v>5</v>
      </c>
      <c r="AH104" s="73">
        <v>5</v>
      </c>
      <c r="AI104" s="73">
        <v>5</v>
      </c>
      <c r="AJ104" s="73">
        <v>5</v>
      </c>
      <c r="AK104" s="73"/>
    </row>
    <row r="105" spans="2:37" x14ac:dyDescent="0.3">
      <c r="B105" s="73" t="s">
        <v>1358</v>
      </c>
      <c r="C105" s="73" t="s">
        <v>1359</v>
      </c>
      <c r="D105" s="73" t="s">
        <v>1351</v>
      </c>
      <c r="E105" s="73"/>
      <c r="F105" s="73" t="s">
        <v>1352</v>
      </c>
      <c r="G105" s="73" t="s">
        <v>1360</v>
      </c>
      <c r="H105" s="73">
        <v>5</v>
      </c>
      <c r="I105" s="73">
        <v>5</v>
      </c>
      <c r="J105" s="73">
        <v>5</v>
      </c>
      <c r="K105" s="73">
        <v>5</v>
      </c>
      <c r="L105" s="73">
        <v>5</v>
      </c>
      <c r="M105" s="73">
        <v>5</v>
      </c>
      <c r="N105" s="73">
        <v>5</v>
      </c>
      <c r="O105" s="73">
        <v>5</v>
      </c>
      <c r="P105" s="73">
        <v>5</v>
      </c>
      <c r="Q105" s="73">
        <v>5</v>
      </c>
      <c r="R105" s="73">
        <v>5</v>
      </c>
      <c r="S105" s="73">
        <v>5</v>
      </c>
      <c r="T105" s="73"/>
      <c r="U105" s="73" t="s">
        <v>41</v>
      </c>
      <c r="V105" s="73" t="s">
        <v>1361</v>
      </c>
      <c r="Y105" s="73" t="s">
        <v>1347</v>
      </c>
      <c r="Z105" s="73" t="s">
        <v>1348</v>
      </c>
      <c r="AA105" s="73" t="s">
        <v>1351</v>
      </c>
      <c r="AB105" s="73"/>
      <c r="AC105" s="73" t="s">
        <v>1352</v>
      </c>
      <c r="AD105" s="73" t="s">
        <v>1353</v>
      </c>
      <c r="AE105" s="73" t="s">
        <v>1181</v>
      </c>
      <c r="AF105" s="73">
        <v>5</v>
      </c>
      <c r="AG105" s="73">
        <v>5</v>
      </c>
      <c r="AH105" s="73">
        <v>5</v>
      </c>
      <c r="AI105" s="73">
        <v>5</v>
      </c>
      <c r="AJ105" s="73">
        <v>5</v>
      </c>
      <c r="AK105" s="73"/>
    </row>
    <row r="106" spans="2:37" x14ac:dyDescent="0.3">
      <c r="B106" s="73" t="s">
        <v>1358</v>
      </c>
      <c r="C106" s="73" t="s">
        <v>1359</v>
      </c>
      <c r="D106" s="73" t="s">
        <v>1351</v>
      </c>
      <c r="E106" s="73"/>
      <c r="F106" s="73" t="s">
        <v>1352</v>
      </c>
      <c r="G106" s="73" t="s">
        <v>1362</v>
      </c>
      <c r="H106" s="73">
        <v>5</v>
      </c>
      <c r="I106" s="73">
        <v>5</v>
      </c>
      <c r="J106" s="73">
        <v>5</v>
      </c>
      <c r="K106" s="73">
        <v>5</v>
      </c>
      <c r="L106" s="73">
        <v>5</v>
      </c>
      <c r="M106" s="73">
        <v>5</v>
      </c>
      <c r="N106" s="73">
        <v>5</v>
      </c>
      <c r="O106" s="73">
        <v>5</v>
      </c>
      <c r="P106" s="73">
        <v>5</v>
      </c>
      <c r="Q106" s="73">
        <v>2</v>
      </c>
      <c r="R106" s="73"/>
      <c r="S106" s="73">
        <v>5</v>
      </c>
      <c r="T106" s="73"/>
      <c r="U106" s="73" t="s">
        <v>41</v>
      </c>
      <c r="V106" s="73" t="s">
        <v>1361</v>
      </c>
      <c r="Y106" s="73" t="s">
        <v>1379</v>
      </c>
      <c r="Z106" s="73" t="s">
        <v>1348</v>
      </c>
      <c r="AA106" s="73" t="s">
        <v>1351</v>
      </c>
      <c r="AB106" s="73"/>
      <c r="AC106" s="73" t="s">
        <v>1352</v>
      </c>
      <c r="AD106" s="73" t="s">
        <v>1384</v>
      </c>
      <c r="AE106" s="73" t="s">
        <v>1181</v>
      </c>
      <c r="AF106" s="73">
        <v>5</v>
      </c>
      <c r="AG106" s="73">
        <v>5</v>
      </c>
      <c r="AH106" s="73">
        <v>5</v>
      </c>
      <c r="AI106" s="73">
        <v>5</v>
      </c>
      <c r="AJ106" s="73">
        <v>5</v>
      </c>
      <c r="AK106" s="73" t="s">
        <v>1380</v>
      </c>
    </row>
    <row r="107" spans="2:37" x14ac:dyDescent="0.3">
      <c r="B107" s="73" t="s">
        <v>1358</v>
      </c>
      <c r="C107" s="73" t="s">
        <v>1359</v>
      </c>
      <c r="D107" s="73" t="s">
        <v>1351</v>
      </c>
      <c r="E107" s="73"/>
      <c r="F107" s="73" t="s">
        <v>1352</v>
      </c>
      <c r="G107" s="73" t="s">
        <v>1362</v>
      </c>
      <c r="H107" s="73">
        <v>4</v>
      </c>
      <c r="I107" s="73">
        <v>4</v>
      </c>
      <c r="J107" s="73">
        <v>3</v>
      </c>
      <c r="K107" s="73">
        <v>3</v>
      </c>
      <c r="L107" s="73">
        <v>4</v>
      </c>
      <c r="M107" s="73">
        <v>3</v>
      </c>
      <c r="N107" s="73">
        <v>3</v>
      </c>
      <c r="O107" s="73">
        <v>3</v>
      </c>
      <c r="P107" s="73">
        <v>3</v>
      </c>
      <c r="Q107" s="73">
        <v>3</v>
      </c>
      <c r="R107" s="73">
        <v>3</v>
      </c>
      <c r="S107" s="73">
        <v>4</v>
      </c>
      <c r="T107" s="73"/>
      <c r="U107" s="73" t="s">
        <v>41</v>
      </c>
      <c r="V107" s="73" t="s">
        <v>1361</v>
      </c>
      <c r="Y107" s="73" t="s">
        <v>1379</v>
      </c>
      <c r="Z107" s="73" t="s">
        <v>1348</v>
      </c>
      <c r="AA107" s="73" t="s">
        <v>1351</v>
      </c>
      <c r="AB107" s="73"/>
      <c r="AC107" s="73" t="s">
        <v>1352</v>
      </c>
      <c r="AD107" s="73" t="s">
        <v>1384</v>
      </c>
      <c r="AE107" s="73" t="s">
        <v>1181</v>
      </c>
      <c r="AF107" s="73">
        <v>5</v>
      </c>
      <c r="AG107" s="73">
        <v>5</v>
      </c>
      <c r="AH107" s="73">
        <v>5</v>
      </c>
      <c r="AI107" s="73">
        <v>5</v>
      </c>
      <c r="AJ107" s="73">
        <v>5</v>
      </c>
      <c r="AK107" s="73" t="s">
        <v>1381</v>
      </c>
    </row>
    <row r="108" spans="2:37" x14ac:dyDescent="0.3">
      <c r="B108" s="73" t="s">
        <v>1358</v>
      </c>
      <c r="C108" s="73" t="s">
        <v>1359</v>
      </c>
      <c r="D108" s="73" t="s">
        <v>1351</v>
      </c>
      <c r="E108" s="73"/>
      <c r="F108" s="73" t="s">
        <v>1352</v>
      </c>
      <c r="G108" s="73" t="s">
        <v>1362</v>
      </c>
      <c r="H108" s="73">
        <v>4</v>
      </c>
      <c r="I108" s="73">
        <v>5</v>
      </c>
      <c r="J108" s="73">
        <v>4</v>
      </c>
      <c r="K108" s="73">
        <v>5</v>
      </c>
      <c r="L108" s="73">
        <v>5</v>
      </c>
      <c r="M108" s="73">
        <v>4</v>
      </c>
      <c r="N108" s="73">
        <v>5</v>
      </c>
      <c r="O108" s="73"/>
      <c r="P108" s="73">
        <v>4</v>
      </c>
      <c r="Q108" s="73">
        <v>4</v>
      </c>
      <c r="R108" s="73">
        <v>5</v>
      </c>
      <c r="S108" s="73">
        <v>5</v>
      </c>
      <c r="T108" s="73"/>
      <c r="U108" s="73" t="s">
        <v>41</v>
      </c>
      <c r="V108" s="73" t="s">
        <v>1361</v>
      </c>
      <c r="Y108" s="73" t="s">
        <v>1379</v>
      </c>
      <c r="Z108" s="73" t="s">
        <v>1348</v>
      </c>
      <c r="AA108" s="73" t="s">
        <v>1351</v>
      </c>
      <c r="AB108" s="73"/>
      <c r="AC108" s="73" t="s">
        <v>1352</v>
      </c>
      <c r="AD108" s="73" t="s">
        <v>1385</v>
      </c>
      <c r="AE108" s="73" t="s">
        <v>1181</v>
      </c>
      <c r="AF108" s="73">
        <v>5</v>
      </c>
      <c r="AG108" s="73">
        <v>5</v>
      </c>
      <c r="AH108" s="73">
        <v>5</v>
      </c>
      <c r="AI108" s="73">
        <v>5</v>
      </c>
      <c r="AJ108" s="73">
        <v>5</v>
      </c>
      <c r="AK108" s="73" t="s">
        <v>1382</v>
      </c>
    </row>
    <row r="109" spans="2:37" x14ac:dyDescent="0.3">
      <c r="B109" s="73" t="s">
        <v>1358</v>
      </c>
      <c r="C109" s="73" t="s">
        <v>1359</v>
      </c>
      <c r="D109" s="73" t="s">
        <v>1351</v>
      </c>
      <c r="E109" s="73"/>
      <c r="F109" s="73" t="s">
        <v>1352</v>
      </c>
      <c r="G109" s="73" t="s">
        <v>1362</v>
      </c>
      <c r="H109" s="73">
        <v>4</v>
      </c>
      <c r="I109" s="73">
        <v>5</v>
      </c>
      <c r="J109" s="73">
        <v>5</v>
      </c>
      <c r="K109" s="73">
        <v>5</v>
      </c>
      <c r="L109" s="73">
        <v>5</v>
      </c>
      <c r="M109" s="73">
        <v>4</v>
      </c>
      <c r="N109" s="73">
        <v>4</v>
      </c>
      <c r="O109" s="73">
        <v>2</v>
      </c>
      <c r="P109" s="73"/>
      <c r="Q109" s="73">
        <v>4</v>
      </c>
      <c r="R109" s="73">
        <v>4</v>
      </c>
      <c r="S109" s="73">
        <v>4</v>
      </c>
      <c r="T109" s="73"/>
      <c r="U109" s="73" t="s">
        <v>41</v>
      </c>
      <c r="V109" s="73" t="s">
        <v>1361</v>
      </c>
      <c r="Y109" s="73" t="s">
        <v>1379</v>
      </c>
      <c r="Z109" s="73" t="s">
        <v>1348</v>
      </c>
      <c r="AA109" s="73" t="s">
        <v>1351</v>
      </c>
      <c r="AB109" s="73"/>
      <c r="AC109" s="73" t="s">
        <v>1352</v>
      </c>
      <c r="AD109" s="73" t="s">
        <v>1385</v>
      </c>
      <c r="AE109" s="73" t="s">
        <v>1181</v>
      </c>
      <c r="AF109" s="73">
        <v>5</v>
      </c>
      <c r="AG109" s="73">
        <v>5</v>
      </c>
      <c r="AH109" s="73">
        <v>5</v>
      </c>
      <c r="AI109" s="73">
        <v>5</v>
      </c>
      <c r="AJ109" s="73">
        <v>5</v>
      </c>
      <c r="AK109" s="73" t="s">
        <v>1383</v>
      </c>
    </row>
    <row r="110" spans="2:37" x14ac:dyDescent="0.3">
      <c r="B110" s="73" t="s">
        <v>1358</v>
      </c>
      <c r="C110" s="73" t="s">
        <v>1359</v>
      </c>
      <c r="D110" s="73" t="s">
        <v>1351</v>
      </c>
      <c r="E110" s="73"/>
      <c r="F110" s="73" t="s">
        <v>1352</v>
      </c>
      <c r="G110" s="73" t="s">
        <v>1362</v>
      </c>
      <c r="H110" s="73">
        <v>5</v>
      </c>
      <c r="I110" s="73">
        <v>5</v>
      </c>
      <c r="J110" s="73">
        <v>5</v>
      </c>
      <c r="K110" s="73">
        <v>4</v>
      </c>
      <c r="L110" s="73">
        <v>5</v>
      </c>
      <c r="M110" s="73">
        <v>5</v>
      </c>
      <c r="N110" s="73"/>
      <c r="O110" s="73"/>
      <c r="P110" s="73"/>
      <c r="Q110" s="73"/>
      <c r="R110" s="73">
        <v>5</v>
      </c>
      <c r="S110" s="73">
        <v>5</v>
      </c>
      <c r="T110" s="73"/>
      <c r="U110" s="73" t="s">
        <v>41</v>
      </c>
      <c r="V110" s="73" t="s">
        <v>1361</v>
      </c>
      <c r="Y110" s="73" t="s">
        <v>1379</v>
      </c>
      <c r="Z110" s="73" t="s">
        <v>1348</v>
      </c>
      <c r="AA110" s="73" t="s">
        <v>1351</v>
      </c>
      <c r="AB110" s="73"/>
      <c r="AC110" s="73" t="s">
        <v>1352</v>
      </c>
      <c r="AD110" s="73" t="s">
        <v>1385</v>
      </c>
      <c r="AE110" s="73" t="s">
        <v>1181</v>
      </c>
      <c r="AF110" s="73">
        <v>5</v>
      </c>
      <c r="AG110" s="73">
        <v>5</v>
      </c>
      <c r="AH110" s="73">
        <v>5</v>
      </c>
      <c r="AI110" s="73">
        <v>5</v>
      </c>
      <c r="AJ110" s="73">
        <v>5</v>
      </c>
      <c r="AK110" s="73"/>
    </row>
    <row r="111" spans="2:37" x14ac:dyDescent="0.3">
      <c r="B111" s="73" t="s">
        <v>1363</v>
      </c>
      <c r="C111" s="73" t="s">
        <v>1364</v>
      </c>
      <c r="D111" s="73" t="s">
        <v>1351</v>
      </c>
      <c r="E111" s="73"/>
      <c r="F111" s="73" t="s">
        <v>1352</v>
      </c>
      <c r="G111" s="73" t="s">
        <v>1365</v>
      </c>
      <c r="H111" s="73">
        <v>5</v>
      </c>
      <c r="I111" s="73">
        <v>5</v>
      </c>
      <c r="J111" s="73">
        <v>5</v>
      </c>
      <c r="K111" s="73">
        <v>5</v>
      </c>
      <c r="L111" s="73">
        <v>5</v>
      </c>
      <c r="M111" s="73">
        <v>5</v>
      </c>
      <c r="N111" s="73">
        <v>5</v>
      </c>
      <c r="O111" s="73">
        <v>5</v>
      </c>
      <c r="P111" s="73">
        <v>5</v>
      </c>
      <c r="Q111" s="73">
        <v>5</v>
      </c>
      <c r="R111" s="73">
        <v>5</v>
      </c>
      <c r="S111" s="73">
        <v>5</v>
      </c>
      <c r="T111" s="73"/>
      <c r="U111" s="73" t="s">
        <v>38</v>
      </c>
      <c r="V111" s="73" t="s">
        <v>1366</v>
      </c>
      <c r="Y111" s="73" t="s">
        <v>1379</v>
      </c>
      <c r="Z111" s="73" t="s">
        <v>1348</v>
      </c>
      <c r="AA111" s="73" t="s">
        <v>1351</v>
      </c>
      <c r="AB111" s="73"/>
      <c r="AC111" s="73" t="s">
        <v>1352</v>
      </c>
      <c r="AD111" s="73" t="s">
        <v>1385</v>
      </c>
      <c r="AE111" s="73" t="s">
        <v>1181</v>
      </c>
      <c r="AF111" s="73">
        <v>5</v>
      </c>
      <c r="AG111" s="73">
        <v>5</v>
      </c>
      <c r="AH111" s="73">
        <v>5</v>
      </c>
      <c r="AI111" s="73">
        <v>5</v>
      </c>
      <c r="AJ111" s="73">
        <v>5</v>
      </c>
      <c r="AK111" s="73"/>
    </row>
    <row r="112" spans="2:37" x14ac:dyDescent="0.3">
      <c r="B112" s="73" t="s">
        <v>1363</v>
      </c>
      <c r="C112" s="73" t="s">
        <v>1364</v>
      </c>
      <c r="D112" s="73" t="s">
        <v>1351</v>
      </c>
      <c r="E112" s="73"/>
      <c r="F112" s="73" t="s">
        <v>1352</v>
      </c>
      <c r="G112" s="73" t="s">
        <v>1365</v>
      </c>
      <c r="H112" s="73">
        <v>5</v>
      </c>
      <c r="I112" s="73">
        <v>5</v>
      </c>
      <c r="J112" s="73">
        <v>5</v>
      </c>
      <c r="K112" s="73">
        <v>5</v>
      </c>
      <c r="L112" s="73">
        <v>5</v>
      </c>
      <c r="M112" s="73">
        <v>5</v>
      </c>
      <c r="N112" s="73"/>
      <c r="O112" s="73">
        <v>2</v>
      </c>
      <c r="P112" s="73"/>
      <c r="Q112" s="73">
        <v>3</v>
      </c>
      <c r="R112" s="73">
        <v>4</v>
      </c>
      <c r="S112" s="73">
        <v>5</v>
      </c>
      <c r="T112" s="73"/>
      <c r="U112" s="73" t="s">
        <v>1219</v>
      </c>
      <c r="V112" s="73" t="s">
        <v>1367</v>
      </c>
      <c r="Y112" s="73" t="s">
        <v>1379</v>
      </c>
      <c r="Z112" s="73" t="s">
        <v>1348</v>
      </c>
      <c r="AA112" s="73" t="s">
        <v>1351</v>
      </c>
      <c r="AB112" s="73"/>
      <c r="AC112" s="73" t="s">
        <v>1352</v>
      </c>
      <c r="AD112" s="73" t="s">
        <v>1385</v>
      </c>
      <c r="AE112" s="73" t="s">
        <v>1181</v>
      </c>
      <c r="AF112" s="73">
        <v>5</v>
      </c>
      <c r="AG112" s="73">
        <v>5</v>
      </c>
      <c r="AH112" s="73">
        <v>5</v>
      </c>
      <c r="AI112" s="73">
        <v>5</v>
      </c>
      <c r="AJ112" s="73">
        <v>5</v>
      </c>
      <c r="AK112" s="73"/>
    </row>
    <row r="113" spans="2:37" x14ac:dyDescent="0.3">
      <c r="B113" s="73" t="s">
        <v>1363</v>
      </c>
      <c r="C113" s="73" t="s">
        <v>1364</v>
      </c>
      <c r="D113" s="73" t="s">
        <v>1351</v>
      </c>
      <c r="E113" s="73"/>
      <c r="F113" s="73" t="s">
        <v>1352</v>
      </c>
      <c r="G113" s="73" t="s">
        <v>1365</v>
      </c>
      <c r="H113" s="73">
        <v>5</v>
      </c>
      <c r="I113" s="73">
        <v>5</v>
      </c>
      <c r="J113" s="73">
        <v>5</v>
      </c>
      <c r="K113" s="73">
        <v>5</v>
      </c>
      <c r="L113" s="73">
        <v>5</v>
      </c>
      <c r="M113" s="73">
        <v>5</v>
      </c>
      <c r="N113" s="73">
        <v>5</v>
      </c>
      <c r="O113" s="73">
        <v>5</v>
      </c>
      <c r="P113" s="73">
        <v>5</v>
      </c>
      <c r="Q113" s="73">
        <v>5</v>
      </c>
      <c r="R113" s="73">
        <v>5</v>
      </c>
      <c r="S113" s="73">
        <v>5</v>
      </c>
      <c r="T113" s="73"/>
      <c r="U113" s="73" t="s">
        <v>1219</v>
      </c>
      <c r="V113" s="73" t="s">
        <v>1367</v>
      </c>
      <c r="Y113" s="73" t="s">
        <v>1379</v>
      </c>
      <c r="Z113" s="73" t="s">
        <v>1348</v>
      </c>
      <c r="AA113" s="73" t="s">
        <v>1351</v>
      </c>
      <c r="AB113" s="73"/>
      <c r="AC113" s="73" t="s">
        <v>1352</v>
      </c>
      <c r="AD113" s="73" t="s">
        <v>1385</v>
      </c>
      <c r="AE113" s="73" t="s">
        <v>1181</v>
      </c>
      <c r="AF113" s="73">
        <v>5</v>
      </c>
      <c r="AG113" s="73">
        <v>5</v>
      </c>
      <c r="AH113" s="73">
        <v>5</v>
      </c>
      <c r="AI113" s="73">
        <v>4</v>
      </c>
      <c r="AJ113" s="73">
        <v>5</v>
      </c>
      <c r="AK113" s="73"/>
    </row>
    <row r="114" spans="2:37" x14ac:dyDescent="0.3">
      <c r="B114" s="73" t="s">
        <v>1363</v>
      </c>
      <c r="C114" s="73" t="s">
        <v>1364</v>
      </c>
      <c r="D114" s="73" t="s">
        <v>1351</v>
      </c>
      <c r="E114" s="73"/>
      <c r="F114" s="73" t="s">
        <v>1352</v>
      </c>
      <c r="G114" s="73" t="s">
        <v>1368</v>
      </c>
      <c r="H114" s="73">
        <v>5</v>
      </c>
      <c r="I114" s="73">
        <v>5</v>
      </c>
      <c r="J114" s="73">
        <v>5</v>
      </c>
      <c r="K114" s="73">
        <v>5</v>
      </c>
      <c r="L114" s="73">
        <v>5</v>
      </c>
      <c r="M114" s="73">
        <v>5</v>
      </c>
      <c r="N114" s="73">
        <v>5</v>
      </c>
      <c r="O114" s="73">
        <v>2</v>
      </c>
      <c r="P114" s="73"/>
      <c r="Q114" s="73">
        <v>5</v>
      </c>
      <c r="R114" s="73">
        <v>4</v>
      </c>
      <c r="S114" s="73">
        <v>5</v>
      </c>
      <c r="T114" s="73"/>
      <c r="U114" s="73" t="s">
        <v>38</v>
      </c>
      <c r="V114" s="73" t="s">
        <v>1366</v>
      </c>
      <c r="Y114" s="73" t="s">
        <v>1392</v>
      </c>
      <c r="Z114" s="73" t="s">
        <v>1393</v>
      </c>
      <c r="AA114" s="73" t="s">
        <v>1351</v>
      </c>
      <c r="AB114" s="73"/>
      <c r="AC114" s="73" t="s">
        <v>1352</v>
      </c>
      <c r="AD114" s="73" t="s">
        <v>1396</v>
      </c>
      <c r="AE114" s="73" t="s">
        <v>1344</v>
      </c>
      <c r="AF114" s="73">
        <v>5</v>
      </c>
      <c r="AG114" s="73">
        <v>5</v>
      </c>
      <c r="AH114" s="73">
        <v>5</v>
      </c>
      <c r="AI114" s="73">
        <v>5</v>
      </c>
      <c r="AJ114" s="73">
        <v>5</v>
      </c>
      <c r="AK114" s="73" t="s">
        <v>1394</v>
      </c>
    </row>
    <row r="115" spans="2:37" x14ac:dyDescent="0.3">
      <c r="B115" s="73" t="s">
        <v>1363</v>
      </c>
      <c r="C115" s="73" t="s">
        <v>1364</v>
      </c>
      <c r="D115" s="73" t="s">
        <v>1351</v>
      </c>
      <c r="E115" s="73"/>
      <c r="F115" s="73" t="s">
        <v>1352</v>
      </c>
      <c r="G115" s="73" t="s">
        <v>1368</v>
      </c>
      <c r="H115" s="73">
        <v>4</v>
      </c>
      <c r="I115" s="73">
        <v>4</v>
      </c>
      <c r="J115" s="73">
        <v>4</v>
      </c>
      <c r="K115" s="73">
        <v>3</v>
      </c>
      <c r="L115" s="73"/>
      <c r="M115" s="73">
        <v>3</v>
      </c>
      <c r="N115" s="73"/>
      <c r="O115" s="73"/>
      <c r="P115" s="73"/>
      <c r="Q115" s="73"/>
      <c r="R115" s="73">
        <v>3</v>
      </c>
      <c r="S115" s="73">
        <v>3</v>
      </c>
      <c r="T115" s="73"/>
      <c r="U115" s="73" t="s">
        <v>39</v>
      </c>
      <c r="V115" s="73" t="s">
        <v>1369</v>
      </c>
      <c r="Y115" s="73" t="s">
        <v>1392</v>
      </c>
      <c r="Z115" s="73" t="s">
        <v>1393</v>
      </c>
      <c r="AA115" s="73" t="s">
        <v>1351</v>
      </c>
      <c r="AB115" s="73"/>
      <c r="AC115" s="73" t="s">
        <v>1352</v>
      </c>
      <c r="AD115" s="73" t="s">
        <v>1396</v>
      </c>
      <c r="AE115" s="73" t="s">
        <v>1344</v>
      </c>
      <c r="AF115" s="73">
        <v>5</v>
      </c>
      <c r="AG115" s="73">
        <v>5</v>
      </c>
      <c r="AH115" s="73">
        <v>5</v>
      </c>
      <c r="AI115" s="73">
        <v>5</v>
      </c>
      <c r="AJ115" s="73">
        <v>5</v>
      </c>
      <c r="AK115" s="73" t="s">
        <v>1395</v>
      </c>
    </row>
    <row r="116" spans="2:37" x14ac:dyDescent="0.3">
      <c r="B116" s="73" t="s">
        <v>1363</v>
      </c>
      <c r="C116" s="73" t="s">
        <v>1364</v>
      </c>
      <c r="D116" s="73" t="s">
        <v>1351</v>
      </c>
      <c r="E116" s="73"/>
      <c r="F116" s="73" t="s">
        <v>1352</v>
      </c>
      <c r="G116" s="73" t="s">
        <v>1368</v>
      </c>
      <c r="H116" s="73">
        <v>5</v>
      </c>
      <c r="I116" s="73">
        <v>5</v>
      </c>
      <c r="J116" s="73">
        <v>5</v>
      </c>
      <c r="K116" s="73">
        <v>5</v>
      </c>
      <c r="L116" s="73">
        <v>5</v>
      </c>
      <c r="M116" s="73">
        <v>5</v>
      </c>
      <c r="N116" s="73">
        <v>4</v>
      </c>
      <c r="O116" s="73">
        <v>4</v>
      </c>
      <c r="P116" s="73">
        <v>4</v>
      </c>
      <c r="Q116" s="73">
        <v>4</v>
      </c>
      <c r="R116" s="73">
        <v>4</v>
      </c>
      <c r="S116" s="73">
        <v>5</v>
      </c>
      <c r="T116" s="73"/>
      <c r="U116" s="73" t="s">
        <v>1219</v>
      </c>
      <c r="V116" s="73" t="s">
        <v>1367</v>
      </c>
      <c r="Y116" s="73" t="s">
        <v>1392</v>
      </c>
      <c r="Z116" s="73" t="s">
        <v>1393</v>
      </c>
      <c r="AA116" s="73" t="s">
        <v>1351</v>
      </c>
      <c r="AB116" s="73"/>
      <c r="AC116" s="73" t="s">
        <v>1352</v>
      </c>
      <c r="AD116" s="73" t="s">
        <v>1396</v>
      </c>
      <c r="AE116" s="73" t="s">
        <v>1344</v>
      </c>
      <c r="AF116" s="73">
        <v>5</v>
      </c>
      <c r="AG116" s="73">
        <v>5</v>
      </c>
      <c r="AH116" s="73">
        <v>5</v>
      </c>
      <c r="AI116" s="73">
        <v>5</v>
      </c>
      <c r="AJ116" s="73">
        <v>5</v>
      </c>
      <c r="AK116" s="73"/>
    </row>
    <row r="117" spans="2:37" x14ac:dyDescent="0.3">
      <c r="B117" s="73" t="s">
        <v>1363</v>
      </c>
      <c r="C117" s="73" t="s">
        <v>1364</v>
      </c>
      <c r="D117" s="73" t="s">
        <v>1351</v>
      </c>
      <c r="E117" s="73"/>
      <c r="F117" s="73" t="s">
        <v>1352</v>
      </c>
      <c r="G117" s="73" t="s">
        <v>1368</v>
      </c>
      <c r="H117" s="73">
        <v>5</v>
      </c>
      <c r="I117" s="73">
        <v>5</v>
      </c>
      <c r="J117" s="73">
        <v>5</v>
      </c>
      <c r="K117" s="73">
        <v>4</v>
      </c>
      <c r="L117" s="73">
        <v>5</v>
      </c>
      <c r="M117" s="73">
        <v>5</v>
      </c>
      <c r="N117" s="73">
        <v>5</v>
      </c>
      <c r="O117" s="73"/>
      <c r="P117" s="73"/>
      <c r="Q117" s="73">
        <v>5</v>
      </c>
      <c r="R117" s="73">
        <v>4</v>
      </c>
      <c r="S117" s="73"/>
      <c r="T117" s="73"/>
      <c r="U117" s="73" t="s">
        <v>38</v>
      </c>
      <c r="V117" s="73" t="s">
        <v>1366</v>
      </c>
      <c r="Y117" s="73" t="s">
        <v>1392</v>
      </c>
      <c r="Z117" s="73" t="s">
        <v>1393</v>
      </c>
      <c r="AA117" s="73" t="s">
        <v>1351</v>
      </c>
      <c r="AB117" s="73"/>
      <c r="AC117" s="73" t="s">
        <v>1352</v>
      </c>
      <c r="AD117" s="73" t="s">
        <v>1396</v>
      </c>
      <c r="AE117" s="73" t="s">
        <v>1344</v>
      </c>
      <c r="AF117" s="73">
        <v>5</v>
      </c>
      <c r="AG117" s="73">
        <v>5</v>
      </c>
      <c r="AH117" s="73">
        <v>5</v>
      </c>
      <c r="AI117" s="73">
        <v>5</v>
      </c>
      <c r="AJ117" s="73">
        <v>5</v>
      </c>
      <c r="AK117" s="73"/>
    </row>
    <row r="118" spans="2:37" x14ac:dyDescent="0.3">
      <c r="B118" s="73" t="s">
        <v>1363</v>
      </c>
      <c r="C118" s="73" t="s">
        <v>1364</v>
      </c>
      <c r="D118" s="73" t="s">
        <v>1351</v>
      </c>
      <c r="E118" s="73"/>
      <c r="F118" s="73" t="s">
        <v>1352</v>
      </c>
      <c r="G118" s="73" t="s">
        <v>1368</v>
      </c>
      <c r="H118" s="73">
        <v>5</v>
      </c>
      <c r="I118" s="73">
        <v>5</v>
      </c>
      <c r="J118" s="73">
        <v>5</v>
      </c>
      <c r="K118" s="73">
        <v>5</v>
      </c>
      <c r="L118" s="73">
        <v>5</v>
      </c>
      <c r="M118" s="73">
        <v>5</v>
      </c>
      <c r="N118" s="73">
        <v>5</v>
      </c>
      <c r="O118" s="73">
        <v>1</v>
      </c>
      <c r="P118" s="73"/>
      <c r="Q118" s="73">
        <v>5</v>
      </c>
      <c r="R118" s="73"/>
      <c r="S118" s="73">
        <v>5</v>
      </c>
      <c r="T118" s="73"/>
      <c r="U118" s="73" t="s">
        <v>38</v>
      </c>
      <c r="V118" s="73" t="s">
        <v>1366</v>
      </c>
      <c r="Y118" s="73" t="s">
        <v>1392</v>
      </c>
      <c r="Z118" s="73" t="s">
        <v>1393</v>
      </c>
      <c r="AA118" s="73" t="s">
        <v>1351</v>
      </c>
      <c r="AB118" s="73"/>
      <c r="AC118" s="73" t="s">
        <v>1352</v>
      </c>
      <c r="AD118" s="73" t="s">
        <v>1397</v>
      </c>
      <c r="AE118" s="73" t="s">
        <v>1344</v>
      </c>
      <c r="AF118" s="73">
        <v>5</v>
      </c>
      <c r="AG118" s="73">
        <v>5</v>
      </c>
      <c r="AH118" s="73">
        <v>5</v>
      </c>
      <c r="AI118" s="73">
        <v>5</v>
      </c>
      <c r="AJ118" s="73">
        <v>5</v>
      </c>
      <c r="AK118" s="73"/>
    </row>
    <row r="119" spans="2:37" x14ac:dyDescent="0.3">
      <c r="B119" s="73" t="s">
        <v>1363</v>
      </c>
      <c r="C119" s="73" t="s">
        <v>1364</v>
      </c>
      <c r="D119" s="73" t="s">
        <v>1351</v>
      </c>
      <c r="E119" s="73"/>
      <c r="F119" s="73" t="s">
        <v>1352</v>
      </c>
      <c r="G119" s="73" t="s">
        <v>1368</v>
      </c>
      <c r="H119" s="73">
        <v>5</v>
      </c>
      <c r="I119" s="73">
        <v>5</v>
      </c>
      <c r="J119" s="73">
        <v>5</v>
      </c>
      <c r="K119" s="73">
        <v>4</v>
      </c>
      <c r="L119" s="73">
        <v>5</v>
      </c>
      <c r="M119" s="73">
        <v>5</v>
      </c>
      <c r="N119" s="73">
        <v>5</v>
      </c>
      <c r="O119" s="73"/>
      <c r="P119" s="73">
        <v>5</v>
      </c>
      <c r="Q119" s="73">
        <v>5</v>
      </c>
      <c r="R119" s="73"/>
      <c r="S119" s="73">
        <v>5</v>
      </c>
      <c r="T119" s="73"/>
      <c r="U119" s="73" t="s">
        <v>39</v>
      </c>
      <c r="V119" s="73" t="s">
        <v>1369</v>
      </c>
      <c r="Y119" s="73" t="s">
        <v>1392</v>
      </c>
      <c r="Z119" s="73" t="s">
        <v>1393</v>
      </c>
      <c r="AA119" s="73" t="s">
        <v>1351</v>
      </c>
      <c r="AB119" s="73"/>
      <c r="AC119" s="73" t="s">
        <v>1352</v>
      </c>
      <c r="AD119" s="73" t="s">
        <v>1397</v>
      </c>
      <c r="AE119" s="73" t="s">
        <v>1344</v>
      </c>
      <c r="AF119" s="73">
        <v>5</v>
      </c>
      <c r="AG119" s="73">
        <v>5</v>
      </c>
      <c r="AH119" s="73">
        <v>5</v>
      </c>
      <c r="AI119" s="73">
        <v>5</v>
      </c>
      <c r="AJ119" s="73">
        <v>5</v>
      </c>
      <c r="AK119" s="73"/>
    </row>
    <row r="120" spans="2:37" x14ac:dyDescent="0.3">
      <c r="B120" s="73" t="s">
        <v>1363</v>
      </c>
      <c r="C120" s="73" t="s">
        <v>1364</v>
      </c>
      <c r="D120" s="73" t="s">
        <v>1351</v>
      </c>
      <c r="E120" s="73"/>
      <c r="F120" s="73" t="s">
        <v>1352</v>
      </c>
      <c r="G120" s="73" t="s">
        <v>1368</v>
      </c>
      <c r="H120" s="73">
        <v>5</v>
      </c>
      <c r="I120" s="73">
        <v>5</v>
      </c>
      <c r="J120" s="73">
        <v>5</v>
      </c>
      <c r="K120" s="73">
        <v>5</v>
      </c>
      <c r="L120" s="73">
        <v>5</v>
      </c>
      <c r="M120" s="73">
        <v>5</v>
      </c>
      <c r="N120" s="73">
        <v>5</v>
      </c>
      <c r="O120" s="73">
        <v>3</v>
      </c>
      <c r="P120" s="73">
        <v>4</v>
      </c>
      <c r="Q120" s="73">
        <v>5</v>
      </c>
      <c r="R120" s="73">
        <v>5</v>
      </c>
      <c r="S120" s="73">
        <v>5</v>
      </c>
      <c r="T120" s="73"/>
      <c r="U120" s="73" t="s">
        <v>1219</v>
      </c>
      <c r="V120" s="73" t="s">
        <v>1367</v>
      </c>
      <c r="Y120" s="73" t="s">
        <v>1392</v>
      </c>
      <c r="Z120" s="73" t="s">
        <v>1393</v>
      </c>
      <c r="AA120" s="73" t="s">
        <v>1351</v>
      </c>
      <c r="AB120" s="73"/>
      <c r="AC120" s="73" t="s">
        <v>1352</v>
      </c>
      <c r="AD120" s="73" t="s">
        <v>1397</v>
      </c>
      <c r="AE120" s="73" t="s">
        <v>1344</v>
      </c>
      <c r="AF120" s="73">
        <v>5</v>
      </c>
      <c r="AG120" s="73">
        <v>5</v>
      </c>
      <c r="AH120" s="73">
        <v>5</v>
      </c>
      <c r="AI120" s="73">
        <v>5</v>
      </c>
      <c r="AJ120" s="73">
        <v>5</v>
      </c>
      <c r="AK120" s="73"/>
    </row>
    <row r="121" spans="2:37" x14ac:dyDescent="0.3">
      <c r="B121" s="73" t="s">
        <v>1363</v>
      </c>
      <c r="C121" s="73" t="s">
        <v>1364</v>
      </c>
      <c r="D121" s="73" t="s">
        <v>1351</v>
      </c>
      <c r="E121" s="73"/>
      <c r="F121" s="73" t="s">
        <v>1352</v>
      </c>
      <c r="G121" s="73" t="s">
        <v>1368</v>
      </c>
      <c r="H121" s="73">
        <v>5</v>
      </c>
      <c r="I121" s="73">
        <v>5</v>
      </c>
      <c r="J121" s="73">
        <v>5</v>
      </c>
      <c r="K121" s="73">
        <v>5</v>
      </c>
      <c r="L121" s="73">
        <v>5</v>
      </c>
      <c r="M121" s="73">
        <v>5</v>
      </c>
      <c r="N121" s="73">
        <v>5</v>
      </c>
      <c r="O121" s="73">
        <v>5</v>
      </c>
      <c r="P121" s="73">
        <v>5</v>
      </c>
      <c r="Q121" s="73">
        <v>5</v>
      </c>
      <c r="R121" s="73">
        <v>5</v>
      </c>
      <c r="S121" s="73">
        <v>5</v>
      </c>
      <c r="T121" s="73"/>
      <c r="U121" s="73"/>
      <c r="V121" s="73" t="s">
        <v>1370</v>
      </c>
      <c r="Y121" s="73" t="s">
        <v>1392</v>
      </c>
      <c r="Z121" s="73" t="s">
        <v>1393</v>
      </c>
      <c r="AA121" s="73" t="s">
        <v>1351</v>
      </c>
      <c r="AB121" s="73"/>
      <c r="AC121" s="73" t="s">
        <v>1352</v>
      </c>
      <c r="AD121" s="73" t="s">
        <v>1397</v>
      </c>
      <c r="AE121" s="73" t="s">
        <v>1344</v>
      </c>
      <c r="AF121" s="73">
        <v>5</v>
      </c>
      <c r="AG121" s="73">
        <v>5</v>
      </c>
      <c r="AH121" s="73">
        <v>5</v>
      </c>
      <c r="AI121" s="73">
        <v>5</v>
      </c>
      <c r="AJ121" s="73">
        <v>5</v>
      </c>
      <c r="AK121" s="73"/>
    </row>
    <row r="122" spans="2:37" x14ac:dyDescent="0.3">
      <c r="B122" s="73" t="s">
        <v>1363</v>
      </c>
      <c r="C122" s="73" t="s">
        <v>1364</v>
      </c>
      <c r="D122" s="73" t="s">
        <v>1351</v>
      </c>
      <c r="E122" s="73"/>
      <c r="F122" s="73" t="s">
        <v>1352</v>
      </c>
      <c r="G122" s="73" t="s">
        <v>1371</v>
      </c>
      <c r="H122" s="73">
        <v>5</v>
      </c>
      <c r="I122" s="73">
        <v>5</v>
      </c>
      <c r="J122" s="73">
        <v>5</v>
      </c>
      <c r="K122" s="73">
        <v>5</v>
      </c>
      <c r="L122" s="73">
        <v>5</v>
      </c>
      <c r="M122" s="73">
        <v>5</v>
      </c>
      <c r="N122" s="73">
        <v>5</v>
      </c>
      <c r="O122" s="73">
        <v>5</v>
      </c>
      <c r="P122" s="73">
        <v>5</v>
      </c>
      <c r="Q122" s="73">
        <v>5</v>
      </c>
      <c r="R122" s="73">
        <v>5</v>
      </c>
      <c r="S122" s="73">
        <v>5</v>
      </c>
      <c r="T122" s="73"/>
      <c r="U122" s="73"/>
      <c r="V122" s="73" t="s">
        <v>1370</v>
      </c>
      <c r="Y122" s="73" t="s">
        <v>1392</v>
      </c>
      <c r="Z122" s="73" t="s">
        <v>1393</v>
      </c>
      <c r="AA122" s="73" t="s">
        <v>1351</v>
      </c>
      <c r="AB122" s="73"/>
      <c r="AC122" s="73" t="s">
        <v>1352</v>
      </c>
      <c r="AD122" s="73" t="s">
        <v>1397</v>
      </c>
      <c r="AE122" s="73" t="s">
        <v>1344</v>
      </c>
      <c r="AF122" s="73">
        <v>5</v>
      </c>
      <c r="AG122" s="73">
        <v>5</v>
      </c>
      <c r="AH122" s="73">
        <v>5</v>
      </c>
      <c r="AI122" s="73">
        <v>5</v>
      </c>
      <c r="AJ122" s="73">
        <v>5</v>
      </c>
      <c r="AK122" s="73"/>
    </row>
    <row r="123" spans="2:37" x14ac:dyDescent="0.3">
      <c r="B123" s="73" t="s">
        <v>1386</v>
      </c>
      <c r="C123" s="73" t="s">
        <v>1387</v>
      </c>
      <c r="D123" s="73" t="s">
        <v>1351</v>
      </c>
      <c r="E123" s="73"/>
      <c r="F123" s="73" t="s">
        <v>1352</v>
      </c>
      <c r="G123" s="73" t="s">
        <v>1390</v>
      </c>
      <c r="H123" s="73">
        <v>5</v>
      </c>
      <c r="I123" s="73">
        <v>5</v>
      </c>
      <c r="J123" s="73">
        <v>5</v>
      </c>
      <c r="K123" s="73">
        <v>5</v>
      </c>
      <c r="L123" s="73">
        <v>5</v>
      </c>
      <c r="M123" s="73">
        <v>5</v>
      </c>
      <c r="N123" s="73">
        <v>5</v>
      </c>
      <c r="O123" s="73">
        <v>5</v>
      </c>
      <c r="P123" s="73">
        <v>5</v>
      </c>
      <c r="Q123" s="73">
        <v>5</v>
      </c>
      <c r="R123" s="73">
        <v>5</v>
      </c>
      <c r="S123" s="73">
        <v>5</v>
      </c>
      <c r="T123" s="73" t="s">
        <v>1388</v>
      </c>
      <c r="U123" s="73" t="s">
        <v>37</v>
      </c>
      <c r="V123" s="73" t="s">
        <v>1354</v>
      </c>
      <c r="Y123" s="73" t="s">
        <v>1392</v>
      </c>
      <c r="Z123" s="73" t="s">
        <v>1393</v>
      </c>
      <c r="AA123" s="73" t="s">
        <v>1351</v>
      </c>
      <c r="AB123" s="73"/>
      <c r="AC123" s="73" t="s">
        <v>1352</v>
      </c>
      <c r="AD123" s="73" t="s">
        <v>1397</v>
      </c>
      <c r="AE123" s="73" t="s">
        <v>1344</v>
      </c>
      <c r="AF123" s="73">
        <v>5</v>
      </c>
      <c r="AG123" s="73">
        <v>5</v>
      </c>
      <c r="AH123" s="73">
        <v>5</v>
      </c>
      <c r="AI123" s="73">
        <v>5</v>
      </c>
      <c r="AJ123" s="73">
        <v>5</v>
      </c>
      <c r="AK123" s="73"/>
    </row>
    <row r="124" spans="2:37" x14ac:dyDescent="0.3">
      <c r="B124" s="73" t="s">
        <v>1386</v>
      </c>
      <c r="C124" s="73" t="s">
        <v>1387</v>
      </c>
      <c r="D124" s="73" t="s">
        <v>1351</v>
      </c>
      <c r="E124" s="73"/>
      <c r="F124" s="73" t="s">
        <v>1352</v>
      </c>
      <c r="G124" s="73" t="s">
        <v>1390</v>
      </c>
      <c r="H124" s="73">
        <v>4</v>
      </c>
      <c r="I124" s="73">
        <v>4</v>
      </c>
      <c r="J124" s="73">
        <v>4</v>
      </c>
      <c r="K124" s="73">
        <v>4</v>
      </c>
      <c r="L124" s="73">
        <v>3</v>
      </c>
      <c r="M124" s="73">
        <v>3</v>
      </c>
      <c r="N124" s="73">
        <v>3</v>
      </c>
      <c r="O124" s="73">
        <v>3</v>
      </c>
      <c r="P124" s="73">
        <v>3</v>
      </c>
      <c r="Q124" s="73">
        <v>3</v>
      </c>
      <c r="R124" s="73">
        <v>3</v>
      </c>
      <c r="S124" s="73">
        <v>4</v>
      </c>
      <c r="T124" s="73" t="s">
        <v>1389</v>
      </c>
      <c r="U124" s="73" t="s">
        <v>37</v>
      </c>
      <c r="V124" s="73" t="s">
        <v>1354</v>
      </c>
      <c r="Y124" s="73" t="s">
        <v>1372</v>
      </c>
      <c r="Z124" s="73" t="s">
        <v>1373</v>
      </c>
      <c r="AA124" s="73" t="s">
        <v>1351</v>
      </c>
      <c r="AB124" s="73"/>
      <c r="AC124" s="73" t="s">
        <v>1352</v>
      </c>
      <c r="AD124" s="73" t="s">
        <v>1375</v>
      </c>
      <c r="AE124" s="73" t="s">
        <v>1344</v>
      </c>
      <c r="AF124" s="73">
        <v>5</v>
      </c>
      <c r="AG124" s="73">
        <v>5</v>
      </c>
      <c r="AH124" s="73">
        <v>5</v>
      </c>
      <c r="AI124" s="73">
        <v>4</v>
      </c>
      <c r="AJ124" s="73">
        <v>5</v>
      </c>
      <c r="AK124" s="73" t="s">
        <v>1374</v>
      </c>
    </row>
    <row r="125" spans="2:37" x14ac:dyDescent="0.3">
      <c r="B125" s="73" t="s">
        <v>1386</v>
      </c>
      <c r="C125" s="73" t="s">
        <v>1387</v>
      </c>
      <c r="D125" s="73" t="s">
        <v>1351</v>
      </c>
      <c r="E125" s="73"/>
      <c r="F125" s="73" t="s">
        <v>1352</v>
      </c>
      <c r="G125" s="73" t="s">
        <v>1390</v>
      </c>
      <c r="H125" s="73">
        <v>5</v>
      </c>
      <c r="I125" s="73">
        <v>4</v>
      </c>
      <c r="J125" s="73">
        <v>3</v>
      </c>
      <c r="K125" s="73">
        <v>4</v>
      </c>
      <c r="L125" s="73">
        <v>3</v>
      </c>
      <c r="M125" s="73">
        <v>4</v>
      </c>
      <c r="N125" s="73">
        <v>4</v>
      </c>
      <c r="O125" s="73">
        <v>4</v>
      </c>
      <c r="P125" s="73">
        <v>3</v>
      </c>
      <c r="Q125" s="73">
        <v>5</v>
      </c>
      <c r="R125" s="73">
        <v>4</v>
      </c>
      <c r="S125" s="73">
        <v>5</v>
      </c>
      <c r="T125" s="73"/>
      <c r="U125" s="73" t="s">
        <v>37</v>
      </c>
      <c r="V125" s="73" t="s">
        <v>1354</v>
      </c>
      <c r="Y125" s="73" t="s">
        <v>1372</v>
      </c>
      <c r="Z125" s="73" t="s">
        <v>1373</v>
      </c>
      <c r="AA125" s="73" t="s">
        <v>1351</v>
      </c>
      <c r="AB125" s="73"/>
      <c r="AC125" s="73" t="s">
        <v>1352</v>
      </c>
      <c r="AD125" s="73" t="s">
        <v>1375</v>
      </c>
      <c r="AE125" s="73" t="s">
        <v>1344</v>
      </c>
      <c r="AF125" s="73">
        <v>5</v>
      </c>
      <c r="AG125" s="73">
        <v>5</v>
      </c>
      <c r="AH125" s="73">
        <v>5</v>
      </c>
      <c r="AI125" s="73">
        <v>5</v>
      </c>
      <c r="AJ125" s="73">
        <v>5</v>
      </c>
      <c r="AK125" s="73"/>
    </row>
    <row r="126" spans="2:37" x14ac:dyDescent="0.3">
      <c r="B126" s="73" t="s">
        <v>1386</v>
      </c>
      <c r="C126" s="73" t="s">
        <v>1387</v>
      </c>
      <c r="D126" s="73" t="s">
        <v>1351</v>
      </c>
      <c r="E126" s="73"/>
      <c r="F126" s="73" t="s">
        <v>1352</v>
      </c>
      <c r="G126" s="73" t="s">
        <v>1390</v>
      </c>
      <c r="H126" s="73">
        <v>5</v>
      </c>
      <c r="I126" s="73">
        <v>5</v>
      </c>
      <c r="J126" s="73">
        <v>5</v>
      </c>
      <c r="K126" s="73">
        <v>5</v>
      </c>
      <c r="L126" s="73">
        <v>4</v>
      </c>
      <c r="M126" s="73">
        <v>4</v>
      </c>
      <c r="N126" s="73">
        <v>5</v>
      </c>
      <c r="O126" s="73">
        <v>5</v>
      </c>
      <c r="P126" s="73">
        <v>5</v>
      </c>
      <c r="Q126" s="73">
        <v>5</v>
      </c>
      <c r="R126" s="73">
        <v>5</v>
      </c>
      <c r="S126" s="73">
        <v>5</v>
      </c>
      <c r="T126" s="73"/>
      <c r="U126" s="73" t="s">
        <v>37</v>
      </c>
      <c r="V126" s="73" t="s">
        <v>1354</v>
      </c>
      <c r="Y126" s="73" t="s">
        <v>1372</v>
      </c>
      <c r="Z126" s="73" t="s">
        <v>1373</v>
      </c>
      <c r="AA126" s="73" t="s">
        <v>1351</v>
      </c>
      <c r="AB126" s="73"/>
      <c r="AC126" s="73" t="s">
        <v>1352</v>
      </c>
      <c r="AD126" s="73" t="s">
        <v>1375</v>
      </c>
      <c r="AE126" s="73" t="s">
        <v>1344</v>
      </c>
      <c r="AF126" s="73">
        <v>5</v>
      </c>
      <c r="AG126" s="73">
        <v>5</v>
      </c>
      <c r="AH126" s="73">
        <v>5</v>
      </c>
      <c r="AI126" s="73">
        <v>5</v>
      </c>
      <c r="AJ126" s="73">
        <v>5</v>
      </c>
      <c r="AK126" s="73"/>
    </row>
    <row r="127" spans="2:37" x14ac:dyDescent="0.3">
      <c r="B127" s="73" t="s">
        <v>1386</v>
      </c>
      <c r="C127" s="73" t="s">
        <v>1387</v>
      </c>
      <c r="D127" s="73" t="s">
        <v>1351</v>
      </c>
      <c r="E127" s="73"/>
      <c r="F127" s="73" t="s">
        <v>1352</v>
      </c>
      <c r="G127" s="73" t="s">
        <v>1390</v>
      </c>
      <c r="H127" s="73">
        <v>5</v>
      </c>
      <c r="I127" s="73">
        <v>5</v>
      </c>
      <c r="J127" s="73">
        <v>5</v>
      </c>
      <c r="K127" s="73">
        <v>5</v>
      </c>
      <c r="L127" s="73">
        <v>5</v>
      </c>
      <c r="M127" s="73">
        <v>5</v>
      </c>
      <c r="N127" s="73">
        <v>5</v>
      </c>
      <c r="O127" s="73">
        <v>5</v>
      </c>
      <c r="P127" s="73">
        <v>5</v>
      </c>
      <c r="Q127" s="73">
        <v>5</v>
      </c>
      <c r="R127" s="73">
        <v>5</v>
      </c>
      <c r="S127" s="73">
        <v>5</v>
      </c>
      <c r="T127" s="73"/>
      <c r="U127" s="73" t="s">
        <v>37</v>
      </c>
      <c r="V127" s="73" t="s">
        <v>1354</v>
      </c>
      <c r="Y127" s="73" t="s">
        <v>1372</v>
      </c>
      <c r="Z127" s="73" t="s">
        <v>1373</v>
      </c>
      <c r="AA127" s="73" t="s">
        <v>1351</v>
      </c>
      <c r="AB127" s="73"/>
      <c r="AC127" s="73" t="s">
        <v>1352</v>
      </c>
      <c r="AD127" s="73" t="s">
        <v>1375</v>
      </c>
      <c r="AE127" s="73" t="s">
        <v>1344</v>
      </c>
      <c r="AF127" s="73">
        <v>5</v>
      </c>
      <c r="AG127" s="73">
        <v>5</v>
      </c>
      <c r="AH127" s="73">
        <v>5</v>
      </c>
      <c r="AI127" s="73">
        <v>5</v>
      </c>
      <c r="AJ127" s="73">
        <v>5</v>
      </c>
      <c r="AK127" s="73"/>
    </row>
    <row r="128" spans="2:37" x14ac:dyDescent="0.3">
      <c r="B128" s="73" t="s">
        <v>1386</v>
      </c>
      <c r="C128" s="73" t="s">
        <v>1387</v>
      </c>
      <c r="D128" s="73" t="s">
        <v>1351</v>
      </c>
      <c r="E128" s="73"/>
      <c r="F128" s="73" t="s">
        <v>1352</v>
      </c>
      <c r="G128" s="73" t="s">
        <v>1391</v>
      </c>
      <c r="H128" s="73">
        <v>5</v>
      </c>
      <c r="I128" s="73">
        <v>5</v>
      </c>
      <c r="J128" s="73">
        <v>5</v>
      </c>
      <c r="K128" s="73">
        <v>5</v>
      </c>
      <c r="L128" s="73">
        <v>5</v>
      </c>
      <c r="M128" s="73">
        <v>5</v>
      </c>
      <c r="N128" s="73">
        <v>5</v>
      </c>
      <c r="O128" s="73">
        <v>5</v>
      </c>
      <c r="P128" s="73">
        <v>5</v>
      </c>
      <c r="Q128" s="73">
        <v>5</v>
      </c>
      <c r="R128" s="73">
        <v>5</v>
      </c>
      <c r="S128" s="73">
        <v>5</v>
      </c>
      <c r="T128" s="73"/>
      <c r="U128" s="73" t="s">
        <v>37</v>
      </c>
      <c r="V128" s="73" t="s">
        <v>1354</v>
      </c>
      <c r="Y128" s="73" t="s">
        <v>1372</v>
      </c>
      <c r="Z128" s="73" t="s">
        <v>1373</v>
      </c>
      <c r="AA128" s="73" t="s">
        <v>1351</v>
      </c>
      <c r="AB128" s="73"/>
      <c r="AC128" s="73" t="s">
        <v>1352</v>
      </c>
      <c r="AD128" s="73" t="s">
        <v>1376</v>
      </c>
      <c r="AE128" s="73" t="s">
        <v>1344</v>
      </c>
      <c r="AF128" s="73">
        <v>5</v>
      </c>
      <c r="AG128" s="73">
        <v>5</v>
      </c>
      <c r="AH128" s="73">
        <v>5</v>
      </c>
      <c r="AI128" s="73">
        <v>5</v>
      </c>
      <c r="AJ128" s="73">
        <v>5</v>
      </c>
      <c r="AK128" s="73"/>
    </row>
    <row r="129" spans="2:37" x14ac:dyDescent="0.3">
      <c r="B129" s="73" t="s">
        <v>1386</v>
      </c>
      <c r="C129" s="73" t="s">
        <v>1387</v>
      </c>
      <c r="D129" s="73" t="s">
        <v>1351</v>
      </c>
      <c r="E129" s="73"/>
      <c r="F129" s="73" t="s">
        <v>1352</v>
      </c>
      <c r="G129" s="73" t="s">
        <v>1391</v>
      </c>
      <c r="H129" s="73">
        <v>5</v>
      </c>
      <c r="I129" s="73">
        <v>5</v>
      </c>
      <c r="J129" s="73">
        <v>5</v>
      </c>
      <c r="K129" s="73">
        <v>5</v>
      </c>
      <c r="L129" s="73">
        <v>4</v>
      </c>
      <c r="M129" s="73">
        <v>5</v>
      </c>
      <c r="N129" s="73">
        <v>5</v>
      </c>
      <c r="O129" s="73">
        <v>5</v>
      </c>
      <c r="P129" s="73">
        <v>5</v>
      </c>
      <c r="Q129" s="73">
        <v>5</v>
      </c>
      <c r="R129" s="73">
        <v>5</v>
      </c>
      <c r="S129" s="73">
        <v>5</v>
      </c>
      <c r="T129" s="73"/>
      <c r="U129" s="73" t="s">
        <v>37</v>
      </c>
      <c r="V129" s="73" t="s">
        <v>1354</v>
      </c>
      <c r="Y129" s="73" t="s">
        <v>1372</v>
      </c>
      <c r="Z129" s="73" t="s">
        <v>1373</v>
      </c>
      <c r="AA129" s="73" t="s">
        <v>1351</v>
      </c>
      <c r="AB129" s="73"/>
      <c r="AC129" s="73" t="s">
        <v>1352</v>
      </c>
      <c r="AD129" s="73" t="s">
        <v>1376</v>
      </c>
      <c r="AE129" s="73" t="s">
        <v>1344</v>
      </c>
      <c r="AF129" s="73">
        <v>5</v>
      </c>
      <c r="AG129" s="73">
        <v>5</v>
      </c>
      <c r="AH129" s="73">
        <v>5</v>
      </c>
      <c r="AI129" s="73">
        <v>5</v>
      </c>
      <c r="AJ129" s="73">
        <v>5</v>
      </c>
      <c r="AK129" s="73"/>
    </row>
    <row r="130" spans="2:37" x14ac:dyDescent="0.3">
      <c r="B130" s="73" t="s">
        <v>1386</v>
      </c>
      <c r="C130" s="73" t="s">
        <v>1387</v>
      </c>
      <c r="D130" s="73" t="s">
        <v>1351</v>
      </c>
      <c r="E130" s="73"/>
      <c r="F130" s="73" t="s">
        <v>1352</v>
      </c>
      <c r="G130" s="73" t="s">
        <v>1391</v>
      </c>
      <c r="H130" s="73">
        <v>5</v>
      </c>
      <c r="I130" s="73">
        <v>5</v>
      </c>
      <c r="J130" s="73">
        <v>5</v>
      </c>
      <c r="K130" s="73">
        <v>5</v>
      </c>
      <c r="L130" s="73">
        <v>5</v>
      </c>
      <c r="M130" s="73">
        <v>5</v>
      </c>
      <c r="N130" s="73">
        <v>5</v>
      </c>
      <c r="O130" s="73">
        <v>5</v>
      </c>
      <c r="P130" s="73">
        <v>5</v>
      </c>
      <c r="Q130" s="73">
        <v>5</v>
      </c>
      <c r="R130" s="73">
        <v>5</v>
      </c>
      <c r="S130" s="73">
        <v>5</v>
      </c>
      <c r="T130" s="73"/>
      <c r="U130" s="73" t="s">
        <v>37</v>
      </c>
      <c r="V130" s="73" t="s">
        <v>1354</v>
      </c>
      <c r="Y130" s="73" t="s">
        <v>1372</v>
      </c>
      <c r="Z130" s="73" t="s">
        <v>1373</v>
      </c>
      <c r="AA130" s="73" t="s">
        <v>1351</v>
      </c>
      <c r="AB130" s="73"/>
      <c r="AC130" s="73" t="s">
        <v>1352</v>
      </c>
      <c r="AD130" s="73" t="s">
        <v>1376</v>
      </c>
      <c r="AE130" s="73" t="s">
        <v>1344</v>
      </c>
      <c r="AF130" s="73">
        <v>5</v>
      </c>
      <c r="AG130" s="73">
        <v>5</v>
      </c>
      <c r="AH130" s="73">
        <v>5</v>
      </c>
      <c r="AI130" s="73">
        <v>5</v>
      </c>
      <c r="AJ130" s="73">
        <v>5</v>
      </c>
      <c r="AK130" s="73"/>
    </row>
    <row r="131" spans="2:37" x14ac:dyDescent="0.3">
      <c r="B131" s="73" t="s">
        <v>1386</v>
      </c>
      <c r="C131" s="73" t="s">
        <v>1387</v>
      </c>
      <c r="D131" s="73" t="s">
        <v>1351</v>
      </c>
      <c r="E131" s="73"/>
      <c r="F131" s="73" t="s">
        <v>1352</v>
      </c>
      <c r="G131" s="73" t="s">
        <v>1391</v>
      </c>
      <c r="H131" s="73">
        <v>5</v>
      </c>
      <c r="I131" s="73">
        <v>5</v>
      </c>
      <c r="J131" s="73">
        <v>5</v>
      </c>
      <c r="K131" s="73">
        <v>4</v>
      </c>
      <c r="L131" s="73">
        <v>4</v>
      </c>
      <c r="M131" s="73">
        <v>5</v>
      </c>
      <c r="N131" s="73">
        <v>3</v>
      </c>
      <c r="O131" s="73">
        <v>3</v>
      </c>
      <c r="P131" s="73">
        <v>3</v>
      </c>
      <c r="Q131" s="73">
        <v>3</v>
      </c>
      <c r="R131" s="73">
        <v>3</v>
      </c>
      <c r="S131" s="73">
        <v>5</v>
      </c>
      <c r="T131" s="73"/>
      <c r="U131" s="73" t="s">
        <v>37</v>
      </c>
      <c r="V131" s="73" t="s">
        <v>1354</v>
      </c>
      <c r="Y131" s="73" t="s">
        <v>1372</v>
      </c>
      <c r="Z131" s="73" t="s">
        <v>1373</v>
      </c>
      <c r="AA131" s="73" t="s">
        <v>1351</v>
      </c>
      <c r="AB131" s="73"/>
      <c r="AC131" s="73" t="s">
        <v>1352</v>
      </c>
      <c r="AD131" s="73" t="s">
        <v>1376</v>
      </c>
      <c r="AE131" s="73" t="s">
        <v>1344</v>
      </c>
      <c r="AF131" s="73">
        <v>5</v>
      </c>
      <c r="AG131" s="73">
        <v>5</v>
      </c>
      <c r="AH131" s="73">
        <v>5</v>
      </c>
      <c r="AI131" s="73">
        <v>5</v>
      </c>
      <c r="AJ131" s="73">
        <v>5</v>
      </c>
      <c r="AK131" s="73"/>
    </row>
    <row r="132" spans="2:37" x14ac:dyDescent="0.3">
      <c r="B132" s="73" t="s">
        <v>1386</v>
      </c>
      <c r="C132" s="73" t="s">
        <v>1387</v>
      </c>
      <c r="D132" s="73" t="s">
        <v>1351</v>
      </c>
      <c r="E132" s="73"/>
      <c r="F132" s="73" t="s">
        <v>1352</v>
      </c>
      <c r="G132" s="73" t="s">
        <v>1391</v>
      </c>
      <c r="H132" s="73">
        <v>5</v>
      </c>
      <c r="I132" s="73">
        <v>5</v>
      </c>
      <c r="J132" s="73">
        <v>5</v>
      </c>
      <c r="K132" s="73">
        <v>5</v>
      </c>
      <c r="L132" s="73">
        <v>4</v>
      </c>
      <c r="M132" s="73">
        <v>5</v>
      </c>
      <c r="N132" s="73">
        <v>5</v>
      </c>
      <c r="O132" s="73">
        <v>5</v>
      </c>
      <c r="P132" s="73">
        <v>5</v>
      </c>
      <c r="Q132" s="73">
        <v>5</v>
      </c>
      <c r="R132" s="73">
        <v>5</v>
      </c>
      <c r="S132" s="73">
        <v>5</v>
      </c>
      <c r="T132" s="73"/>
      <c r="U132" s="73" t="s">
        <v>37</v>
      </c>
      <c r="V132" s="73" t="s">
        <v>1354</v>
      </c>
      <c r="Y132" s="73" t="s">
        <v>1372</v>
      </c>
      <c r="Z132" s="73" t="s">
        <v>1373</v>
      </c>
      <c r="AA132" s="73" t="s">
        <v>1351</v>
      </c>
      <c r="AB132" s="73"/>
      <c r="AC132" s="73" t="s">
        <v>1352</v>
      </c>
      <c r="AD132" s="73" t="s">
        <v>1376</v>
      </c>
      <c r="AE132" s="73" t="s">
        <v>1344</v>
      </c>
      <c r="AF132" s="73">
        <v>5</v>
      </c>
      <c r="AG132" s="73">
        <v>5</v>
      </c>
      <c r="AH132" s="73">
        <v>5</v>
      </c>
      <c r="AI132" s="73">
        <v>5</v>
      </c>
      <c r="AJ132" s="73">
        <v>5</v>
      </c>
      <c r="AK132" s="73"/>
    </row>
    <row r="133" spans="2:37" x14ac:dyDescent="0.3">
      <c r="B133" s="73" t="s">
        <v>1372</v>
      </c>
      <c r="C133" s="73" t="s">
        <v>1373</v>
      </c>
      <c r="D133" s="73" t="s">
        <v>1351</v>
      </c>
      <c r="E133" s="73"/>
      <c r="F133" s="73" t="s">
        <v>1352</v>
      </c>
      <c r="G133" s="73" t="s">
        <v>1375</v>
      </c>
      <c r="H133" s="73">
        <v>5</v>
      </c>
      <c r="I133" s="73">
        <v>4</v>
      </c>
      <c r="J133" s="73">
        <v>4</v>
      </c>
      <c r="K133" s="73">
        <v>4</v>
      </c>
      <c r="L133" s="73">
        <v>4</v>
      </c>
      <c r="M133" s="73">
        <v>4</v>
      </c>
      <c r="N133" s="73">
        <v>4</v>
      </c>
      <c r="O133" s="73"/>
      <c r="P133" s="73"/>
      <c r="Q133" s="73">
        <v>5</v>
      </c>
      <c r="R133" s="73"/>
      <c r="S133" s="73">
        <v>4</v>
      </c>
      <c r="T133" s="73" t="s">
        <v>1374</v>
      </c>
      <c r="U133" s="73" t="s">
        <v>37</v>
      </c>
      <c r="V133" s="73" t="s">
        <v>1354</v>
      </c>
      <c r="Y133" s="73" t="s">
        <v>1372</v>
      </c>
      <c r="Z133" s="73" t="s">
        <v>1373</v>
      </c>
      <c r="AA133" s="73" t="s">
        <v>1351</v>
      </c>
      <c r="AB133" s="73"/>
      <c r="AC133" s="73" t="s">
        <v>1352</v>
      </c>
      <c r="AD133" s="73" t="s">
        <v>1376</v>
      </c>
      <c r="AE133" s="73" t="s">
        <v>1344</v>
      </c>
      <c r="AF133" s="73">
        <v>5</v>
      </c>
      <c r="AG133" s="73">
        <v>5</v>
      </c>
      <c r="AH133" s="73">
        <v>5</v>
      </c>
      <c r="AI133" s="73">
        <v>5</v>
      </c>
      <c r="AJ133" s="73">
        <v>5</v>
      </c>
      <c r="AK133" s="73"/>
    </row>
    <row r="134" spans="2:37" x14ac:dyDescent="0.3">
      <c r="B134" s="73" t="s">
        <v>1372</v>
      </c>
      <c r="C134" s="73" t="s">
        <v>1373</v>
      </c>
      <c r="D134" s="73" t="s">
        <v>1351</v>
      </c>
      <c r="E134" s="73"/>
      <c r="F134" s="73" t="s">
        <v>1352</v>
      </c>
      <c r="G134" s="73" t="s">
        <v>1375</v>
      </c>
      <c r="H134" s="73">
        <v>4</v>
      </c>
      <c r="I134" s="73">
        <v>4</v>
      </c>
      <c r="J134" s="73">
        <v>4</v>
      </c>
      <c r="K134" s="73">
        <v>4</v>
      </c>
      <c r="L134" s="73">
        <v>4</v>
      </c>
      <c r="M134" s="73">
        <v>4</v>
      </c>
      <c r="N134" s="73"/>
      <c r="O134" s="73"/>
      <c r="P134" s="73"/>
      <c r="Q134" s="73"/>
      <c r="R134" s="73">
        <v>4</v>
      </c>
      <c r="S134" s="73">
        <v>4</v>
      </c>
      <c r="T134" s="73"/>
      <c r="U134" s="73" t="s">
        <v>37</v>
      </c>
      <c r="V134" s="73" t="s">
        <v>1354</v>
      </c>
      <c r="Y134" s="73" t="s">
        <v>1372</v>
      </c>
      <c r="Z134" s="73" t="s">
        <v>1373</v>
      </c>
      <c r="AA134" s="73" t="s">
        <v>1351</v>
      </c>
      <c r="AB134" s="73"/>
      <c r="AC134" s="73" t="s">
        <v>1352</v>
      </c>
      <c r="AD134" s="73" t="s">
        <v>1376</v>
      </c>
      <c r="AE134" s="73" t="s">
        <v>1344</v>
      </c>
      <c r="AF134" s="73">
        <v>5</v>
      </c>
      <c r="AG134" s="73">
        <v>5</v>
      </c>
      <c r="AH134" s="73">
        <v>5</v>
      </c>
      <c r="AI134" s="73">
        <v>5</v>
      </c>
      <c r="AJ134" s="73">
        <v>5</v>
      </c>
      <c r="AK134" s="73"/>
    </row>
    <row r="135" spans="2:37" x14ac:dyDescent="0.3">
      <c r="B135" s="73" t="s">
        <v>1372</v>
      </c>
      <c r="C135" s="73" t="s">
        <v>1373</v>
      </c>
      <c r="D135" s="73" t="s">
        <v>1351</v>
      </c>
      <c r="E135" s="73"/>
      <c r="F135" s="73" t="s">
        <v>1352</v>
      </c>
      <c r="G135" s="73" t="s">
        <v>1375</v>
      </c>
      <c r="H135" s="73">
        <v>4</v>
      </c>
      <c r="I135" s="73">
        <v>5</v>
      </c>
      <c r="J135" s="73">
        <v>5</v>
      </c>
      <c r="K135" s="73">
        <v>3</v>
      </c>
      <c r="L135" s="73">
        <v>5</v>
      </c>
      <c r="M135" s="73">
        <v>4</v>
      </c>
      <c r="N135" s="73">
        <v>4</v>
      </c>
      <c r="O135" s="73">
        <v>4</v>
      </c>
      <c r="P135" s="73">
        <v>4</v>
      </c>
      <c r="Q135" s="73">
        <v>5</v>
      </c>
      <c r="R135" s="73">
        <v>4</v>
      </c>
      <c r="S135" s="73">
        <v>5</v>
      </c>
      <c r="T135" s="73"/>
      <c r="U135" s="73" t="s">
        <v>37</v>
      </c>
      <c r="V135" s="73" t="s">
        <v>1354</v>
      </c>
      <c r="Y135" s="73" t="s">
        <v>1372</v>
      </c>
      <c r="Z135" s="73" t="s">
        <v>1373</v>
      </c>
      <c r="AA135" s="73" t="s">
        <v>1351</v>
      </c>
      <c r="AB135" s="73"/>
      <c r="AC135" s="73" t="s">
        <v>1352</v>
      </c>
      <c r="AD135" s="73" t="s">
        <v>1376</v>
      </c>
      <c r="AE135" s="73" t="s">
        <v>1344</v>
      </c>
      <c r="AF135" s="73">
        <v>5</v>
      </c>
      <c r="AG135" s="73">
        <v>5</v>
      </c>
      <c r="AH135" s="73">
        <v>5</v>
      </c>
      <c r="AI135" s="73">
        <v>5</v>
      </c>
      <c r="AJ135" s="73">
        <v>5</v>
      </c>
      <c r="AK135" s="73"/>
    </row>
    <row r="136" spans="2:37" x14ac:dyDescent="0.3">
      <c r="B136" s="73" t="s">
        <v>1372</v>
      </c>
      <c r="C136" s="73" t="s">
        <v>1373</v>
      </c>
      <c r="D136" s="73" t="s">
        <v>1351</v>
      </c>
      <c r="E136" s="73"/>
      <c r="F136" s="73" t="s">
        <v>1352</v>
      </c>
      <c r="G136" s="73" t="s">
        <v>1375</v>
      </c>
      <c r="H136" s="73">
        <v>5</v>
      </c>
      <c r="I136" s="73">
        <v>4</v>
      </c>
      <c r="J136" s="73">
        <v>4</v>
      </c>
      <c r="K136" s="73">
        <v>4</v>
      </c>
      <c r="L136" s="73">
        <v>4</v>
      </c>
      <c r="M136" s="73">
        <v>4</v>
      </c>
      <c r="N136" s="73"/>
      <c r="O136" s="73"/>
      <c r="P136" s="73"/>
      <c r="Q136" s="73"/>
      <c r="R136" s="73">
        <v>4</v>
      </c>
      <c r="S136" s="73">
        <v>5</v>
      </c>
      <c r="T136" s="73"/>
      <c r="U136" s="73" t="s">
        <v>37</v>
      </c>
      <c r="V136" s="73" t="s">
        <v>1354</v>
      </c>
      <c r="Y136" s="73" t="s">
        <v>1372</v>
      </c>
      <c r="Z136" s="73" t="s">
        <v>1373</v>
      </c>
      <c r="AA136" s="73" t="s">
        <v>1351</v>
      </c>
      <c r="AB136" s="73"/>
      <c r="AC136" s="73" t="s">
        <v>1352</v>
      </c>
      <c r="AD136" s="73" t="s">
        <v>1376</v>
      </c>
      <c r="AE136" s="73" t="s">
        <v>1344</v>
      </c>
      <c r="AF136" s="73">
        <v>5</v>
      </c>
      <c r="AG136" s="73">
        <v>5</v>
      </c>
      <c r="AH136" s="73">
        <v>5</v>
      </c>
      <c r="AI136" s="73">
        <v>5</v>
      </c>
      <c r="AJ136" s="73">
        <v>5</v>
      </c>
      <c r="AK136" s="73"/>
    </row>
    <row r="137" spans="2:37" x14ac:dyDescent="0.3">
      <c r="B137" s="73" t="s">
        <v>1372</v>
      </c>
      <c r="C137" s="73" t="s">
        <v>1373</v>
      </c>
      <c r="D137" s="73" t="s">
        <v>1351</v>
      </c>
      <c r="E137" s="73"/>
      <c r="F137" s="73" t="s">
        <v>1352</v>
      </c>
      <c r="G137" s="73" t="s">
        <v>1375</v>
      </c>
      <c r="H137" s="73">
        <v>5</v>
      </c>
      <c r="I137" s="73">
        <v>4</v>
      </c>
      <c r="J137" s="73">
        <v>4</v>
      </c>
      <c r="K137" s="73">
        <v>5</v>
      </c>
      <c r="L137" s="73">
        <v>5</v>
      </c>
      <c r="M137" s="73">
        <v>4</v>
      </c>
      <c r="N137" s="73">
        <v>4</v>
      </c>
      <c r="O137" s="73"/>
      <c r="P137" s="73"/>
      <c r="Q137" s="73"/>
      <c r="R137" s="73">
        <v>4</v>
      </c>
      <c r="S137" s="73">
        <v>5</v>
      </c>
      <c r="T137" s="73"/>
      <c r="U137" s="73" t="s">
        <v>37</v>
      </c>
      <c r="V137" s="73" t="s">
        <v>1354</v>
      </c>
      <c r="Y137" s="73" t="s">
        <v>1372</v>
      </c>
      <c r="Z137" s="73" t="s">
        <v>1373</v>
      </c>
      <c r="AA137" s="73" t="s">
        <v>1351</v>
      </c>
      <c r="AB137" s="73"/>
      <c r="AC137" s="73" t="s">
        <v>1352</v>
      </c>
      <c r="AD137" s="73" t="s">
        <v>1377</v>
      </c>
      <c r="AE137" s="73" t="s">
        <v>1344</v>
      </c>
      <c r="AF137" s="73">
        <v>5</v>
      </c>
      <c r="AG137" s="73">
        <v>5</v>
      </c>
      <c r="AH137" s="73">
        <v>5</v>
      </c>
      <c r="AI137" s="73">
        <v>5</v>
      </c>
      <c r="AJ137" s="73">
        <v>5</v>
      </c>
      <c r="AK137" s="73"/>
    </row>
    <row r="138" spans="2:37" x14ac:dyDescent="0.3">
      <c r="B138" s="73" t="s">
        <v>1372</v>
      </c>
      <c r="C138" s="73" t="s">
        <v>1373</v>
      </c>
      <c r="D138" s="73" t="s">
        <v>1351</v>
      </c>
      <c r="E138" s="73"/>
      <c r="F138" s="73" t="s">
        <v>1352</v>
      </c>
      <c r="G138" s="73" t="s">
        <v>1376</v>
      </c>
      <c r="H138" s="73">
        <v>5</v>
      </c>
      <c r="I138" s="73">
        <v>4</v>
      </c>
      <c r="J138" s="73">
        <v>4</v>
      </c>
      <c r="K138" s="73">
        <v>4</v>
      </c>
      <c r="L138" s="73">
        <v>5</v>
      </c>
      <c r="M138" s="73">
        <v>5</v>
      </c>
      <c r="N138" s="73"/>
      <c r="O138" s="73"/>
      <c r="P138" s="73"/>
      <c r="Q138" s="73"/>
      <c r="R138" s="73">
        <v>5</v>
      </c>
      <c r="S138" s="73">
        <v>5</v>
      </c>
      <c r="T138" s="73"/>
      <c r="U138" s="73" t="s">
        <v>37</v>
      </c>
      <c r="V138" s="73" t="s">
        <v>1354</v>
      </c>
      <c r="Y138" s="73" t="s">
        <v>1372</v>
      </c>
      <c r="Z138" s="73" t="s">
        <v>1373</v>
      </c>
      <c r="AA138" s="73" t="s">
        <v>1351</v>
      </c>
      <c r="AB138" s="73"/>
      <c r="AC138" s="73" t="s">
        <v>1352</v>
      </c>
      <c r="AD138" s="73" t="s">
        <v>1377</v>
      </c>
      <c r="AE138" s="73" t="s">
        <v>1344</v>
      </c>
      <c r="AF138" s="73">
        <v>5</v>
      </c>
      <c r="AG138" s="73">
        <v>5</v>
      </c>
      <c r="AH138" s="73">
        <v>5</v>
      </c>
      <c r="AI138" s="73">
        <v>5</v>
      </c>
      <c r="AJ138" s="73">
        <v>5</v>
      </c>
      <c r="AK138" s="73"/>
    </row>
    <row r="139" spans="2:37" x14ac:dyDescent="0.3">
      <c r="B139" s="73" t="s">
        <v>1372</v>
      </c>
      <c r="C139" s="73" t="s">
        <v>1373</v>
      </c>
      <c r="D139" s="73" t="s">
        <v>1351</v>
      </c>
      <c r="E139" s="73"/>
      <c r="F139" s="73" t="s">
        <v>1352</v>
      </c>
      <c r="G139" s="73" t="s">
        <v>1376</v>
      </c>
      <c r="H139" s="73">
        <v>5</v>
      </c>
      <c r="I139" s="73">
        <v>5</v>
      </c>
      <c r="J139" s="73">
        <v>5</v>
      </c>
      <c r="K139" s="73">
        <v>4</v>
      </c>
      <c r="L139" s="73">
        <v>4</v>
      </c>
      <c r="M139" s="73">
        <v>4</v>
      </c>
      <c r="N139" s="73"/>
      <c r="O139" s="73"/>
      <c r="P139" s="73"/>
      <c r="Q139" s="73"/>
      <c r="R139" s="73"/>
      <c r="S139" s="73">
        <v>5</v>
      </c>
      <c r="T139" s="73"/>
      <c r="U139" s="73" t="s">
        <v>37</v>
      </c>
      <c r="V139" s="73" t="s">
        <v>1354</v>
      </c>
      <c r="Y139" s="73" t="s">
        <v>1447</v>
      </c>
      <c r="Z139" s="73" t="s">
        <v>1448</v>
      </c>
      <c r="AA139" s="73" t="s">
        <v>1351</v>
      </c>
      <c r="AB139" s="73"/>
      <c r="AC139" s="73" t="s">
        <v>1352</v>
      </c>
      <c r="AD139" s="73" t="s">
        <v>1452</v>
      </c>
      <c r="AE139" s="73" t="s">
        <v>183</v>
      </c>
      <c r="AF139" s="73">
        <v>5</v>
      </c>
      <c r="AG139" s="73">
        <v>5</v>
      </c>
      <c r="AH139" s="73">
        <v>5</v>
      </c>
      <c r="AI139" s="73">
        <v>5</v>
      </c>
      <c r="AJ139" s="73">
        <v>5</v>
      </c>
      <c r="AK139" s="73" t="s">
        <v>1449</v>
      </c>
    </row>
    <row r="140" spans="2:37" x14ac:dyDescent="0.3">
      <c r="B140" s="73" t="s">
        <v>1372</v>
      </c>
      <c r="C140" s="73" t="s">
        <v>1373</v>
      </c>
      <c r="D140" s="73" t="s">
        <v>1351</v>
      </c>
      <c r="E140" s="73"/>
      <c r="F140" s="73" t="s">
        <v>1352</v>
      </c>
      <c r="G140" s="73" t="s">
        <v>1376</v>
      </c>
      <c r="H140" s="73">
        <v>5</v>
      </c>
      <c r="I140" s="73"/>
      <c r="J140" s="73"/>
      <c r="K140" s="73"/>
      <c r="L140" s="73">
        <v>4</v>
      </c>
      <c r="M140" s="73">
        <v>4</v>
      </c>
      <c r="N140" s="73"/>
      <c r="O140" s="73"/>
      <c r="P140" s="73"/>
      <c r="Q140" s="73">
        <v>4</v>
      </c>
      <c r="R140" s="73">
        <v>4</v>
      </c>
      <c r="S140" s="73">
        <v>5</v>
      </c>
      <c r="T140" s="73"/>
      <c r="U140" s="73" t="s">
        <v>37</v>
      </c>
      <c r="V140" s="73" t="s">
        <v>1354</v>
      </c>
      <c r="Y140" s="73" t="s">
        <v>1447</v>
      </c>
      <c r="Z140" s="73" t="s">
        <v>1448</v>
      </c>
      <c r="AA140" s="73" t="s">
        <v>1351</v>
      </c>
      <c r="AB140" s="73"/>
      <c r="AC140" s="73" t="s">
        <v>1352</v>
      </c>
      <c r="AD140" s="73" t="s">
        <v>1452</v>
      </c>
      <c r="AE140" s="73" t="s">
        <v>183</v>
      </c>
      <c r="AF140" s="73">
        <v>5</v>
      </c>
      <c r="AG140" s="73">
        <v>4</v>
      </c>
      <c r="AH140" s="73">
        <v>5</v>
      </c>
      <c r="AI140" s="73">
        <v>5</v>
      </c>
      <c r="AJ140" s="73">
        <v>5</v>
      </c>
      <c r="AK140" s="73" t="s">
        <v>1450</v>
      </c>
    </row>
    <row r="141" spans="2:37" x14ac:dyDescent="0.3">
      <c r="B141" s="73" t="s">
        <v>1372</v>
      </c>
      <c r="C141" s="73" t="s">
        <v>1373</v>
      </c>
      <c r="D141" s="73" t="s">
        <v>1351</v>
      </c>
      <c r="E141" s="73"/>
      <c r="F141" s="73" t="s">
        <v>1352</v>
      </c>
      <c r="G141" s="73" t="s">
        <v>1376</v>
      </c>
      <c r="H141" s="73">
        <v>4</v>
      </c>
      <c r="I141" s="73">
        <v>4</v>
      </c>
      <c r="J141" s="73">
        <v>4</v>
      </c>
      <c r="K141" s="73">
        <v>5</v>
      </c>
      <c r="L141" s="73">
        <v>3</v>
      </c>
      <c r="M141" s="73">
        <v>4</v>
      </c>
      <c r="N141" s="73">
        <v>4</v>
      </c>
      <c r="O141" s="73">
        <v>4</v>
      </c>
      <c r="P141" s="73">
        <v>4</v>
      </c>
      <c r="Q141" s="73">
        <v>4</v>
      </c>
      <c r="R141" s="73">
        <v>4</v>
      </c>
      <c r="S141" s="73">
        <v>5</v>
      </c>
      <c r="T141" s="73"/>
      <c r="U141" s="73" t="s">
        <v>37</v>
      </c>
      <c r="V141" s="73" t="s">
        <v>1354</v>
      </c>
      <c r="Y141" s="73" t="s">
        <v>1447</v>
      </c>
      <c r="Z141" s="73" t="s">
        <v>1448</v>
      </c>
      <c r="AA141" s="73" t="s">
        <v>1351</v>
      </c>
      <c r="AB141" s="73"/>
      <c r="AC141" s="73" t="s">
        <v>1352</v>
      </c>
      <c r="AD141" s="73" t="s">
        <v>1452</v>
      </c>
      <c r="AE141" s="73" t="s">
        <v>183</v>
      </c>
      <c r="AF141" s="73">
        <v>5</v>
      </c>
      <c r="AG141" s="73">
        <v>5</v>
      </c>
      <c r="AH141" s="73">
        <v>5</v>
      </c>
      <c r="AI141" s="73">
        <v>5</v>
      </c>
      <c r="AJ141" s="73">
        <v>5</v>
      </c>
      <c r="AK141" s="73" t="s">
        <v>1451</v>
      </c>
    </row>
    <row r="142" spans="2:37" x14ac:dyDescent="0.3">
      <c r="B142" s="73" t="s">
        <v>1372</v>
      </c>
      <c r="C142" s="73" t="s">
        <v>1373</v>
      </c>
      <c r="D142" s="73" t="s">
        <v>1351</v>
      </c>
      <c r="E142" s="73"/>
      <c r="F142" s="73" t="s">
        <v>1352</v>
      </c>
      <c r="G142" s="73" t="s">
        <v>1376</v>
      </c>
      <c r="H142" s="73">
        <v>4</v>
      </c>
      <c r="I142" s="73">
        <v>4</v>
      </c>
      <c r="J142" s="73">
        <v>4</v>
      </c>
      <c r="K142" s="73">
        <v>4</v>
      </c>
      <c r="L142" s="73">
        <v>3</v>
      </c>
      <c r="M142" s="73">
        <v>4</v>
      </c>
      <c r="N142" s="73">
        <v>4</v>
      </c>
      <c r="O142" s="73">
        <v>4</v>
      </c>
      <c r="P142" s="73">
        <v>4</v>
      </c>
      <c r="Q142" s="73">
        <v>4</v>
      </c>
      <c r="R142" s="73">
        <v>3</v>
      </c>
      <c r="S142" s="73">
        <v>4</v>
      </c>
      <c r="T142" s="73"/>
      <c r="U142" s="73" t="s">
        <v>37</v>
      </c>
      <c r="V142" s="73" t="s">
        <v>1354</v>
      </c>
      <c r="Y142" s="73" t="s">
        <v>1447</v>
      </c>
      <c r="Z142" s="73" t="s">
        <v>1448</v>
      </c>
      <c r="AA142" s="73" t="s">
        <v>1351</v>
      </c>
      <c r="AB142" s="73"/>
      <c r="AC142" s="73" t="s">
        <v>1352</v>
      </c>
      <c r="AD142" s="73" t="s">
        <v>1452</v>
      </c>
      <c r="AE142" s="73" t="s">
        <v>183</v>
      </c>
      <c r="AF142" s="73">
        <v>5</v>
      </c>
      <c r="AG142" s="73">
        <v>5</v>
      </c>
      <c r="AH142" s="73">
        <v>5</v>
      </c>
      <c r="AI142" s="73">
        <v>5</v>
      </c>
      <c r="AJ142" s="73">
        <v>5</v>
      </c>
      <c r="AK142" s="73"/>
    </row>
    <row r="143" spans="2:37" x14ac:dyDescent="0.3">
      <c r="B143" s="73" t="s">
        <v>1372</v>
      </c>
      <c r="C143" s="73" t="s">
        <v>1373</v>
      </c>
      <c r="D143" s="73" t="s">
        <v>1351</v>
      </c>
      <c r="E143" s="73"/>
      <c r="F143" s="73" t="s">
        <v>1352</v>
      </c>
      <c r="G143" s="73" t="s">
        <v>1376</v>
      </c>
      <c r="H143" s="73">
        <v>4</v>
      </c>
      <c r="I143" s="73">
        <v>4</v>
      </c>
      <c r="J143" s="73"/>
      <c r="K143" s="73"/>
      <c r="L143" s="73"/>
      <c r="M143" s="73">
        <v>5</v>
      </c>
      <c r="N143" s="73"/>
      <c r="O143" s="73"/>
      <c r="P143" s="73"/>
      <c r="Q143" s="73"/>
      <c r="R143" s="73"/>
      <c r="S143" s="73">
        <v>5</v>
      </c>
      <c r="T143" s="73"/>
      <c r="U143" s="73" t="s">
        <v>37</v>
      </c>
      <c r="V143" s="73" t="s">
        <v>1354</v>
      </c>
      <c r="Y143" s="73" t="s">
        <v>1447</v>
      </c>
      <c r="Z143" s="73" t="s">
        <v>1448</v>
      </c>
      <c r="AA143" s="73" t="s">
        <v>1351</v>
      </c>
      <c r="AB143" s="73"/>
      <c r="AC143" s="73" t="s">
        <v>1352</v>
      </c>
      <c r="AD143" s="73" t="s">
        <v>1453</v>
      </c>
      <c r="AE143" s="73" t="s">
        <v>183</v>
      </c>
      <c r="AF143" s="73">
        <v>5</v>
      </c>
      <c r="AG143" s="73">
        <v>5</v>
      </c>
      <c r="AH143" s="73">
        <v>5</v>
      </c>
      <c r="AI143" s="73">
        <v>5</v>
      </c>
      <c r="AJ143" s="73">
        <v>5</v>
      </c>
      <c r="AK143" s="73"/>
    </row>
    <row r="144" spans="2:37" x14ac:dyDescent="0.3">
      <c r="B144" s="73" t="s">
        <v>1372</v>
      </c>
      <c r="C144" s="73" t="s">
        <v>1373</v>
      </c>
      <c r="D144" s="73" t="s">
        <v>1351</v>
      </c>
      <c r="E144" s="73"/>
      <c r="F144" s="73" t="s">
        <v>1352</v>
      </c>
      <c r="G144" s="73" t="s">
        <v>1376</v>
      </c>
      <c r="H144" s="73">
        <v>5</v>
      </c>
      <c r="I144" s="73">
        <v>5</v>
      </c>
      <c r="J144" s="73">
        <v>5</v>
      </c>
      <c r="K144" s="73">
        <v>5</v>
      </c>
      <c r="L144" s="73">
        <v>5</v>
      </c>
      <c r="M144" s="73">
        <v>5</v>
      </c>
      <c r="N144" s="73">
        <v>4</v>
      </c>
      <c r="O144" s="73">
        <v>4</v>
      </c>
      <c r="P144" s="73"/>
      <c r="Q144" s="73">
        <v>5</v>
      </c>
      <c r="R144" s="73">
        <v>5</v>
      </c>
      <c r="S144" s="73">
        <v>5</v>
      </c>
      <c r="T144" s="73"/>
      <c r="U144" s="73" t="s">
        <v>37</v>
      </c>
      <c r="V144" s="73" t="s">
        <v>1354</v>
      </c>
      <c r="Y144" s="73" t="s">
        <v>1447</v>
      </c>
      <c r="Z144" s="73" t="s">
        <v>1448</v>
      </c>
      <c r="AA144" s="73" t="s">
        <v>1351</v>
      </c>
      <c r="AB144" s="73"/>
      <c r="AC144" s="73" t="s">
        <v>1352</v>
      </c>
      <c r="AD144" s="73" t="s">
        <v>1453</v>
      </c>
      <c r="AE144" s="73" t="s">
        <v>183</v>
      </c>
      <c r="AF144" s="73">
        <v>5</v>
      </c>
      <c r="AG144" s="73">
        <v>5</v>
      </c>
      <c r="AH144" s="73">
        <v>5</v>
      </c>
      <c r="AI144" s="73">
        <v>5</v>
      </c>
      <c r="AJ144" s="73">
        <v>5</v>
      </c>
      <c r="AK144" s="73"/>
    </row>
    <row r="145" spans="2:37" x14ac:dyDescent="0.3">
      <c r="B145" s="73" t="s">
        <v>1372</v>
      </c>
      <c r="C145" s="73" t="s">
        <v>1373</v>
      </c>
      <c r="D145" s="73" t="s">
        <v>1351</v>
      </c>
      <c r="E145" s="73"/>
      <c r="F145" s="73" t="s">
        <v>1352</v>
      </c>
      <c r="G145" s="73" t="s">
        <v>1376</v>
      </c>
      <c r="H145" s="73">
        <v>5</v>
      </c>
      <c r="I145" s="73">
        <v>5</v>
      </c>
      <c r="J145" s="73">
        <v>5</v>
      </c>
      <c r="K145" s="73">
        <v>4</v>
      </c>
      <c r="L145" s="73">
        <v>4</v>
      </c>
      <c r="M145" s="73">
        <v>4</v>
      </c>
      <c r="N145" s="73"/>
      <c r="O145" s="73"/>
      <c r="P145" s="73"/>
      <c r="Q145" s="73"/>
      <c r="R145" s="73">
        <v>4</v>
      </c>
      <c r="S145" s="73">
        <v>5</v>
      </c>
      <c r="T145" s="73"/>
      <c r="U145" s="73" t="s">
        <v>37</v>
      </c>
      <c r="V145" s="73" t="s">
        <v>1354</v>
      </c>
      <c r="Y145" s="73" t="s">
        <v>1447</v>
      </c>
      <c r="Z145" s="73" t="s">
        <v>1448</v>
      </c>
      <c r="AA145" s="73" t="s">
        <v>1351</v>
      </c>
      <c r="AB145" s="73"/>
      <c r="AC145" s="73" t="s">
        <v>1352</v>
      </c>
      <c r="AD145" s="73" t="s">
        <v>1453</v>
      </c>
      <c r="AE145" s="73" t="s">
        <v>183</v>
      </c>
      <c r="AF145" s="73">
        <v>5</v>
      </c>
      <c r="AG145" s="73">
        <v>5</v>
      </c>
      <c r="AH145" s="73">
        <v>5</v>
      </c>
      <c r="AI145" s="73">
        <v>5</v>
      </c>
      <c r="AJ145" s="73">
        <v>5</v>
      </c>
      <c r="AK145" s="73"/>
    </row>
    <row r="146" spans="2:37" x14ac:dyDescent="0.3">
      <c r="B146" s="73" t="s">
        <v>1372</v>
      </c>
      <c r="C146" s="73" t="s">
        <v>1373</v>
      </c>
      <c r="D146" s="73" t="s">
        <v>1351</v>
      </c>
      <c r="E146" s="73"/>
      <c r="F146" s="73" t="s">
        <v>1352</v>
      </c>
      <c r="G146" s="73" t="s">
        <v>1377</v>
      </c>
      <c r="H146" s="73">
        <v>4</v>
      </c>
      <c r="I146" s="73">
        <v>3</v>
      </c>
      <c r="J146" s="73">
        <v>3</v>
      </c>
      <c r="K146" s="73">
        <v>3</v>
      </c>
      <c r="L146" s="73">
        <v>4</v>
      </c>
      <c r="M146" s="73">
        <v>3</v>
      </c>
      <c r="N146" s="73"/>
      <c r="O146" s="73"/>
      <c r="P146" s="73"/>
      <c r="Q146" s="73"/>
      <c r="R146" s="73">
        <v>4</v>
      </c>
      <c r="S146" s="73">
        <v>4</v>
      </c>
      <c r="T146" s="73"/>
      <c r="U146" s="73" t="s">
        <v>37</v>
      </c>
      <c r="V146" s="73" t="s">
        <v>1354</v>
      </c>
      <c r="Y146" s="73" t="s">
        <v>1447</v>
      </c>
      <c r="Z146" s="73" t="s">
        <v>1448</v>
      </c>
      <c r="AA146" s="73" t="s">
        <v>1351</v>
      </c>
      <c r="AB146" s="73"/>
      <c r="AC146" s="73" t="s">
        <v>1352</v>
      </c>
      <c r="AD146" s="73" t="s">
        <v>1453</v>
      </c>
      <c r="AE146" s="73" t="s">
        <v>183</v>
      </c>
      <c r="AF146" s="73">
        <v>5</v>
      </c>
      <c r="AG146" s="73">
        <v>5</v>
      </c>
      <c r="AH146" s="73">
        <v>5</v>
      </c>
      <c r="AI146" s="73">
        <v>5</v>
      </c>
      <c r="AJ146" s="73">
        <v>5</v>
      </c>
      <c r="AK146" s="73"/>
    </row>
    <row r="147" spans="2:37" x14ac:dyDescent="0.3">
      <c r="B147" s="73" t="s">
        <v>1372</v>
      </c>
      <c r="C147" s="73" t="s">
        <v>1373</v>
      </c>
      <c r="D147" s="73" t="s">
        <v>1351</v>
      </c>
      <c r="E147" s="73"/>
      <c r="F147" s="73" t="s">
        <v>1352</v>
      </c>
      <c r="G147" s="73" t="s">
        <v>1377</v>
      </c>
      <c r="H147" s="73">
        <v>5</v>
      </c>
      <c r="I147" s="73">
        <v>5</v>
      </c>
      <c r="J147" s="73">
        <v>5</v>
      </c>
      <c r="K147" s="73">
        <v>4</v>
      </c>
      <c r="L147" s="73"/>
      <c r="M147" s="73">
        <v>4</v>
      </c>
      <c r="N147" s="73"/>
      <c r="O147" s="73"/>
      <c r="P147" s="73"/>
      <c r="Q147" s="73">
        <v>5</v>
      </c>
      <c r="R147" s="73">
        <v>5</v>
      </c>
      <c r="S147" s="73">
        <v>5</v>
      </c>
      <c r="T147" s="73"/>
      <c r="U147" s="73" t="s">
        <v>37</v>
      </c>
      <c r="V147" s="73" t="s">
        <v>1354</v>
      </c>
      <c r="Y147" s="73" t="s">
        <v>1447</v>
      </c>
      <c r="Z147" s="73" t="s">
        <v>1448</v>
      </c>
      <c r="AA147" s="73" t="s">
        <v>1351</v>
      </c>
      <c r="AB147" s="73"/>
      <c r="AC147" s="73" t="s">
        <v>1352</v>
      </c>
      <c r="AD147" s="73" t="s">
        <v>1453</v>
      </c>
      <c r="AE147" s="73" t="s">
        <v>183</v>
      </c>
      <c r="AF147" s="73">
        <v>5</v>
      </c>
      <c r="AG147" s="73">
        <v>5</v>
      </c>
      <c r="AH147" s="73">
        <v>5</v>
      </c>
      <c r="AI147" s="73">
        <v>5</v>
      </c>
      <c r="AJ147" s="73">
        <v>5</v>
      </c>
      <c r="AK147" s="73"/>
    </row>
    <row r="148" spans="2:37" x14ac:dyDescent="0.3">
      <c r="B148" s="73" t="s">
        <v>1347</v>
      </c>
      <c r="C148" s="73" t="s">
        <v>1348</v>
      </c>
      <c r="D148" s="73" t="s">
        <v>1351</v>
      </c>
      <c r="E148" s="73"/>
      <c r="F148" s="73" t="s">
        <v>1352</v>
      </c>
      <c r="G148" s="73" t="s">
        <v>1353</v>
      </c>
      <c r="H148" s="73">
        <v>4</v>
      </c>
      <c r="I148" s="73">
        <v>4</v>
      </c>
      <c r="J148" s="73">
        <v>5</v>
      </c>
      <c r="K148" s="73">
        <v>5</v>
      </c>
      <c r="L148" s="73">
        <v>4</v>
      </c>
      <c r="M148" s="73">
        <v>4</v>
      </c>
      <c r="N148" s="73">
        <v>4</v>
      </c>
      <c r="O148" s="73">
        <v>4</v>
      </c>
      <c r="P148" s="73">
        <v>4</v>
      </c>
      <c r="Q148" s="73">
        <v>4</v>
      </c>
      <c r="R148" s="73">
        <v>4</v>
      </c>
      <c r="S148" s="73">
        <v>5</v>
      </c>
      <c r="T148" s="73" t="s">
        <v>1349</v>
      </c>
      <c r="U148" s="73" t="s">
        <v>37</v>
      </c>
      <c r="V148" s="73" t="s">
        <v>1354</v>
      </c>
      <c r="Y148" s="73" t="s">
        <v>1447</v>
      </c>
      <c r="Z148" s="73" t="s">
        <v>1448</v>
      </c>
      <c r="AA148" s="73" t="s">
        <v>1351</v>
      </c>
      <c r="AB148" s="73"/>
      <c r="AC148" s="73" t="s">
        <v>1352</v>
      </c>
      <c r="AD148" s="73" t="s">
        <v>1453</v>
      </c>
      <c r="AE148" s="73" t="s">
        <v>183</v>
      </c>
      <c r="AF148" s="73">
        <v>4</v>
      </c>
      <c r="AG148" s="73">
        <v>4</v>
      </c>
      <c r="AH148" s="73">
        <v>4</v>
      </c>
      <c r="AI148" s="73">
        <v>5</v>
      </c>
      <c r="AJ148" s="73">
        <v>5</v>
      </c>
      <c r="AK148" s="73"/>
    </row>
    <row r="149" spans="2:37" x14ac:dyDescent="0.3">
      <c r="B149" s="73" t="s">
        <v>1347</v>
      </c>
      <c r="C149" s="73" t="s">
        <v>1348</v>
      </c>
      <c r="D149" s="73" t="s">
        <v>1351</v>
      </c>
      <c r="E149" s="73"/>
      <c r="F149" s="73" t="s">
        <v>1352</v>
      </c>
      <c r="G149" s="73" t="s">
        <v>1353</v>
      </c>
      <c r="H149" s="73">
        <v>5</v>
      </c>
      <c r="I149" s="73">
        <v>5</v>
      </c>
      <c r="J149" s="73">
        <v>4</v>
      </c>
      <c r="K149" s="73">
        <v>5</v>
      </c>
      <c r="L149" s="73">
        <v>5</v>
      </c>
      <c r="M149" s="73"/>
      <c r="N149" s="73"/>
      <c r="O149" s="73"/>
      <c r="P149" s="73"/>
      <c r="Q149" s="73">
        <v>5</v>
      </c>
      <c r="R149" s="73">
        <v>5</v>
      </c>
      <c r="S149" s="73">
        <v>5</v>
      </c>
      <c r="T149" s="73" t="s">
        <v>1350</v>
      </c>
      <c r="U149" s="73" t="s">
        <v>37</v>
      </c>
      <c r="V149" s="73" t="s">
        <v>1354</v>
      </c>
      <c r="Y149" s="73" t="s">
        <v>1447</v>
      </c>
      <c r="Z149" s="73" t="s">
        <v>1448</v>
      </c>
      <c r="AA149" s="73" t="s">
        <v>1351</v>
      </c>
      <c r="AB149" s="73"/>
      <c r="AC149" s="73" t="s">
        <v>1352</v>
      </c>
      <c r="AD149" s="73" t="s">
        <v>1453</v>
      </c>
      <c r="AE149" s="73" t="s">
        <v>183</v>
      </c>
      <c r="AF149" s="73">
        <v>5</v>
      </c>
      <c r="AG149" s="73">
        <v>5</v>
      </c>
      <c r="AH149" s="73">
        <v>5</v>
      </c>
      <c r="AI149" s="73">
        <v>5</v>
      </c>
      <c r="AJ149" s="73">
        <v>5</v>
      </c>
      <c r="AK149" s="73"/>
    </row>
    <row r="150" spans="2:37" x14ac:dyDescent="0.3">
      <c r="B150" s="73" t="s">
        <v>1347</v>
      </c>
      <c r="C150" s="73" t="s">
        <v>1348</v>
      </c>
      <c r="D150" s="73" t="s">
        <v>1351</v>
      </c>
      <c r="E150" s="73"/>
      <c r="F150" s="73" t="s">
        <v>1352</v>
      </c>
      <c r="G150" s="73" t="s">
        <v>1353</v>
      </c>
      <c r="H150" s="73">
        <v>4</v>
      </c>
      <c r="I150" s="73">
        <v>4</v>
      </c>
      <c r="J150" s="73">
        <v>4</v>
      </c>
      <c r="K150" s="73">
        <v>4</v>
      </c>
      <c r="L150" s="73">
        <v>4</v>
      </c>
      <c r="M150" s="73">
        <v>4</v>
      </c>
      <c r="N150" s="73">
        <v>4</v>
      </c>
      <c r="O150" s="73">
        <v>4</v>
      </c>
      <c r="P150" s="73">
        <v>4</v>
      </c>
      <c r="Q150" s="73">
        <v>4</v>
      </c>
      <c r="R150" s="73">
        <v>4</v>
      </c>
      <c r="S150" s="73">
        <v>5</v>
      </c>
      <c r="T150" s="73"/>
      <c r="U150" s="73" t="s">
        <v>37</v>
      </c>
      <c r="V150" s="73" t="s">
        <v>1354</v>
      </c>
      <c r="Y150" s="73" t="s">
        <v>1447</v>
      </c>
      <c r="Z150" s="73" t="s">
        <v>1448</v>
      </c>
      <c r="AA150" s="73" t="s">
        <v>1351</v>
      </c>
      <c r="AB150" s="73"/>
      <c r="AC150" s="73" t="s">
        <v>1352</v>
      </c>
      <c r="AD150" s="73" t="s">
        <v>1453</v>
      </c>
      <c r="AE150" s="73" t="s">
        <v>183</v>
      </c>
      <c r="AF150" s="73">
        <v>4</v>
      </c>
      <c r="AG150" s="73">
        <v>4</v>
      </c>
      <c r="AH150" s="73">
        <v>4</v>
      </c>
      <c r="AI150" s="73">
        <v>4</v>
      </c>
      <c r="AJ150" s="73">
        <v>4</v>
      </c>
      <c r="AK150" s="73"/>
    </row>
    <row r="151" spans="2:37" x14ac:dyDescent="0.3">
      <c r="B151" s="73" t="s">
        <v>1347</v>
      </c>
      <c r="C151" s="73" t="s">
        <v>1348</v>
      </c>
      <c r="D151" s="73" t="s">
        <v>1351</v>
      </c>
      <c r="E151" s="73"/>
      <c r="F151" s="73" t="s">
        <v>1352</v>
      </c>
      <c r="G151" s="73" t="s">
        <v>1353</v>
      </c>
      <c r="H151" s="73">
        <v>5</v>
      </c>
      <c r="I151" s="73">
        <v>5</v>
      </c>
      <c r="J151" s="73"/>
      <c r="K151" s="73"/>
      <c r="L151" s="73">
        <v>5</v>
      </c>
      <c r="M151" s="73">
        <v>5</v>
      </c>
      <c r="N151" s="73">
        <v>5</v>
      </c>
      <c r="O151" s="73">
        <v>5</v>
      </c>
      <c r="P151" s="73">
        <v>5</v>
      </c>
      <c r="Q151" s="73">
        <v>5</v>
      </c>
      <c r="R151" s="73">
        <v>5</v>
      </c>
      <c r="S151" s="73">
        <v>5</v>
      </c>
      <c r="T151" s="73"/>
      <c r="U151" s="73" t="s">
        <v>37</v>
      </c>
      <c r="V151" s="73" t="s">
        <v>1354</v>
      </c>
      <c r="Y151" s="73" t="s">
        <v>1447</v>
      </c>
      <c r="Z151" s="73" t="s">
        <v>1448</v>
      </c>
      <c r="AA151" s="73" t="s">
        <v>1351</v>
      </c>
      <c r="AB151" s="73"/>
      <c r="AC151" s="73" t="s">
        <v>1352</v>
      </c>
      <c r="AD151" s="73" t="s">
        <v>1455</v>
      </c>
      <c r="AE151" s="73" t="s">
        <v>183</v>
      </c>
      <c r="AF151" s="73">
        <v>5</v>
      </c>
      <c r="AG151" s="73">
        <v>5</v>
      </c>
      <c r="AH151" s="73">
        <v>5</v>
      </c>
      <c r="AI151" s="73">
        <v>5</v>
      </c>
      <c r="AJ151" s="73">
        <v>5</v>
      </c>
      <c r="AK151" s="73"/>
    </row>
    <row r="152" spans="2:37" x14ac:dyDescent="0.3">
      <c r="B152" s="73" t="s">
        <v>1347</v>
      </c>
      <c r="C152" s="73" t="s">
        <v>1348</v>
      </c>
      <c r="D152" s="73" t="s">
        <v>1351</v>
      </c>
      <c r="E152" s="73"/>
      <c r="F152" s="73" t="s">
        <v>1352</v>
      </c>
      <c r="G152" s="73" t="s">
        <v>1353</v>
      </c>
      <c r="H152" s="73">
        <v>5</v>
      </c>
      <c r="I152" s="73">
        <v>5</v>
      </c>
      <c r="J152" s="73">
        <v>5</v>
      </c>
      <c r="K152" s="73">
        <v>5</v>
      </c>
      <c r="L152" s="73">
        <v>5</v>
      </c>
      <c r="M152" s="73">
        <v>5</v>
      </c>
      <c r="N152" s="73">
        <v>5</v>
      </c>
      <c r="O152" s="73">
        <v>5</v>
      </c>
      <c r="P152" s="73">
        <v>5</v>
      </c>
      <c r="Q152" s="73">
        <v>5</v>
      </c>
      <c r="R152" s="73">
        <v>5</v>
      </c>
      <c r="S152" s="73">
        <v>5</v>
      </c>
      <c r="T152" s="73"/>
      <c r="U152" s="73" t="s">
        <v>37</v>
      </c>
      <c r="V152" s="73" t="s">
        <v>1354</v>
      </c>
      <c r="Y152" s="73" t="s">
        <v>1415</v>
      </c>
      <c r="Z152" s="73" t="s">
        <v>1416</v>
      </c>
      <c r="AA152" s="73" t="s">
        <v>1351</v>
      </c>
      <c r="AB152" s="73"/>
      <c r="AC152" s="73" t="s">
        <v>1352</v>
      </c>
      <c r="AD152" s="73" t="s">
        <v>1425</v>
      </c>
      <c r="AE152" s="73" t="s">
        <v>1117</v>
      </c>
      <c r="AF152" s="73">
        <v>5</v>
      </c>
      <c r="AG152" s="73">
        <v>5</v>
      </c>
      <c r="AH152" s="73">
        <v>5</v>
      </c>
      <c r="AI152" s="73">
        <v>5</v>
      </c>
      <c r="AJ152" s="73">
        <v>5</v>
      </c>
      <c r="AK152" s="73" t="s">
        <v>1417</v>
      </c>
    </row>
    <row r="153" spans="2:37" x14ac:dyDescent="0.3">
      <c r="B153" s="73" t="s">
        <v>1347</v>
      </c>
      <c r="C153" s="73" t="s">
        <v>1348</v>
      </c>
      <c r="D153" s="73" t="s">
        <v>1351</v>
      </c>
      <c r="E153" s="73"/>
      <c r="F153" s="73" t="s">
        <v>1352</v>
      </c>
      <c r="G153" s="73" t="s">
        <v>1353</v>
      </c>
      <c r="H153" s="73">
        <v>5</v>
      </c>
      <c r="I153" s="73">
        <v>5</v>
      </c>
      <c r="J153" s="73">
        <v>5</v>
      </c>
      <c r="K153" s="73">
        <v>5</v>
      </c>
      <c r="L153" s="73">
        <v>5</v>
      </c>
      <c r="M153" s="73">
        <v>5</v>
      </c>
      <c r="N153" s="73">
        <v>5</v>
      </c>
      <c r="O153" s="73">
        <v>5</v>
      </c>
      <c r="P153" s="73">
        <v>5</v>
      </c>
      <c r="Q153" s="73">
        <v>5</v>
      </c>
      <c r="R153" s="73">
        <v>5</v>
      </c>
      <c r="S153" s="73">
        <v>5</v>
      </c>
      <c r="T153" s="73"/>
      <c r="U153" s="73" t="s">
        <v>37</v>
      </c>
      <c r="V153" s="73" t="s">
        <v>1354</v>
      </c>
      <c r="Y153" s="73" t="s">
        <v>1415</v>
      </c>
      <c r="Z153" s="73" t="s">
        <v>1416</v>
      </c>
      <c r="AA153" s="73" t="s">
        <v>1351</v>
      </c>
      <c r="AB153" s="73"/>
      <c r="AC153" s="73" t="s">
        <v>1352</v>
      </c>
      <c r="AD153" s="73" t="s">
        <v>1426</v>
      </c>
      <c r="AE153" s="73" t="s">
        <v>1117</v>
      </c>
      <c r="AF153" s="73">
        <v>5</v>
      </c>
      <c r="AG153" s="73">
        <v>5</v>
      </c>
      <c r="AH153" s="73">
        <v>5</v>
      </c>
      <c r="AI153" s="73">
        <v>5</v>
      </c>
      <c r="AJ153" s="73">
        <v>5</v>
      </c>
      <c r="AK153" s="73" t="s">
        <v>1418</v>
      </c>
    </row>
    <row r="154" spans="2:37" x14ac:dyDescent="0.3">
      <c r="B154" s="73" t="s">
        <v>1347</v>
      </c>
      <c r="C154" s="73" t="s">
        <v>1348</v>
      </c>
      <c r="D154" s="73" t="s">
        <v>1351</v>
      </c>
      <c r="E154" s="73"/>
      <c r="F154" s="73" t="s">
        <v>1352</v>
      </c>
      <c r="G154" s="73" t="s">
        <v>1353</v>
      </c>
      <c r="H154" s="73">
        <v>5</v>
      </c>
      <c r="I154" s="73">
        <v>5</v>
      </c>
      <c r="J154" s="73">
        <v>5</v>
      </c>
      <c r="K154" s="73">
        <v>5</v>
      </c>
      <c r="L154" s="73">
        <v>5</v>
      </c>
      <c r="M154" s="73">
        <v>5</v>
      </c>
      <c r="N154" s="73">
        <v>5</v>
      </c>
      <c r="O154" s="73">
        <v>5</v>
      </c>
      <c r="P154" s="73">
        <v>5</v>
      </c>
      <c r="Q154" s="73">
        <v>5</v>
      </c>
      <c r="R154" s="73">
        <v>5</v>
      </c>
      <c r="S154" s="73">
        <v>5</v>
      </c>
      <c r="T154" s="73"/>
      <c r="U154" s="73" t="s">
        <v>37</v>
      </c>
      <c r="V154" s="73" t="s">
        <v>1354</v>
      </c>
      <c r="Y154" s="73" t="s">
        <v>1415</v>
      </c>
      <c r="Z154" s="73" t="s">
        <v>1416</v>
      </c>
      <c r="AA154" s="73" t="s">
        <v>1351</v>
      </c>
      <c r="AB154" s="73"/>
      <c r="AC154" s="73" t="s">
        <v>1352</v>
      </c>
      <c r="AD154" s="73" t="s">
        <v>1426</v>
      </c>
      <c r="AE154" s="73" t="s">
        <v>1117</v>
      </c>
      <c r="AF154" s="73">
        <v>5</v>
      </c>
      <c r="AG154" s="73">
        <v>5</v>
      </c>
      <c r="AH154" s="73">
        <v>5</v>
      </c>
      <c r="AI154" s="73">
        <v>5</v>
      </c>
      <c r="AJ154" s="73">
        <v>5</v>
      </c>
      <c r="AK154" s="73" t="s">
        <v>1419</v>
      </c>
    </row>
    <row r="155" spans="2:37" x14ac:dyDescent="0.3">
      <c r="B155" s="73" t="s">
        <v>1347</v>
      </c>
      <c r="C155" s="73" t="s">
        <v>1348</v>
      </c>
      <c r="D155" s="73" t="s">
        <v>1351</v>
      </c>
      <c r="E155" s="73"/>
      <c r="F155" s="73" t="s">
        <v>1352</v>
      </c>
      <c r="G155" s="73" t="s">
        <v>1353</v>
      </c>
      <c r="H155" s="73">
        <v>5</v>
      </c>
      <c r="I155" s="73">
        <v>5</v>
      </c>
      <c r="J155" s="73"/>
      <c r="K155" s="73">
        <v>5</v>
      </c>
      <c r="L155" s="73">
        <v>5</v>
      </c>
      <c r="M155" s="73">
        <v>5</v>
      </c>
      <c r="N155" s="73">
        <v>5</v>
      </c>
      <c r="O155" s="73">
        <v>5</v>
      </c>
      <c r="P155" s="73">
        <v>5</v>
      </c>
      <c r="Q155" s="73">
        <v>5</v>
      </c>
      <c r="R155" s="73">
        <v>5</v>
      </c>
      <c r="S155" s="73">
        <v>5</v>
      </c>
      <c r="T155" s="73"/>
      <c r="U155" s="73" t="s">
        <v>37</v>
      </c>
      <c r="V155" s="73" t="s">
        <v>1354</v>
      </c>
      <c r="Y155" s="73" t="s">
        <v>1415</v>
      </c>
      <c r="Z155" s="73" t="s">
        <v>1416</v>
      </c>
      <c r="AA155" s="73" t="s">
        <v>1351</v>
      </c>
      <c r="AB155" s="73"/>
      <c r="AC155" s="73" t="s">
        <v>1352</v>
      </c>
      <c r="AD155" s="73" t="s">
        <v>1426</v>
      </c>
      <c r="AE155" s="73" t="s">
        <v>1117</v>
      </c>
      <c r="AF155" s="73">
        <v>5</v>
      </c>
      <c r="AG155" s="73">
        <v>5</v>
      </c>
      <c r="AH155" s="73">
        <v>5</v>
      </c>
      <c r="AI155" s="73">
        <v>5</v>
      </c>
      <c r="AJ155" s="73">
        <v>5</v>
      </c>
      <c r="AK155" s="73" t="s">
        <v>1420</v>
      </c>
    </row>
    <row r="156" spans="2:37" x14ac:dyDescent="0.3">
      <c r="B156" s="73" t="s">
        <v>1347</v>
      </c>
      <c r="C156" s="73" t="s">
        <v>1348</v>
      </c>
      <c r="D156" s="73" t="s">
        <v>1351</v>
      </c>
      <c r="E156" s="73"/>
      <c r="F156" s="73" t="s">
        <v>1352</v>
      </c>
      <c r="G156" s="73" t="s">
        <v>1353</v>
      </c>
      <c r="H156" s="73">
        <v>5</v>
      </c>
      <c r="I156" s="73">
        <v>5</v>
      </c>
      <c r="J156" s="73">
        <v>4</v>
      </c>
      <c r="K156" s="73">
        <v>5</v>
      </c>
      <c r="L156" s="73">
        <v>5</v>
      </c>
      <c r="M156" s="73">
        <v>5</v>
      </c>
      <c r="N156" s="73">
        <v>5</v>
      </c>
      <c r="O156" s="73">
        <v>5</v>
      </c>
      <c r="P156" s="73">
        <v>5</v>
      </c>
      <c r="Q156" s="73">
        <v>5</v>
      </c>
      <c r="R156" s="73">
        <v>5</v>
      </c>
      <c r="S156" s="73">
        <v>5</v>
      </c>
      <c r="T156" s="73"/>
      <c r="U156" s="73" t="s">
        <v>37</v>
      </c>
      <c r="V156" s="73" t="s">
        <v>1354</v>
      </c>
      <c r="Y156" s="73" t="s">
        <v>1415</v>
      </c>
      <c r="Z156" s="73" t="s">
        <v>1416</v>
      </c>
      <c r="AA156" s="73" t="s">
        <v>1351</v>
      </c>
      <c r="AB156" s="73"/>
      <c r="AC156" s="73" t="s">
        <v>1352</v>
      </c>
      <c r="AD156" s="73" t="s">
        <v>1426</v>
      </c>
      <c r="AE156" s="73" t="s">
        <v>1117</v>
      </c>
      <c r="AF156" s="73">
        <v>5</v>
      </c>
      <c r="AG156" s="73">
        <v>5</v>
      </c>
      <c r="AH156" s="73">
        <v>5</v>
      </c>
      <c r="AI156" s="73">
        <v>5</v>
      </c>
      <c r="AJ156" s="73">
        <v>5</v>
      </c>
      <c r="AK156" s="73" t="s">
        <v>1421</v>
      </c>
    </row>
    <row r="157" spans="2:37" x14ac:dyDescent="0.3">
      <c r="B157" s="73" t="s">
        <v>1379</v>
      </c>
      <c r="C157" s="73" t="s">
        <v>1348</v>
      </c>
      <c r="D157" s="73" t="s">
        <v>1351</v>
      </c>
      <c r="E157" s="73"/>
      <c r="F157" s="73" t="s">
        <v>1352</v>
      </c>
      <c r="G157" s="73" t="s">
        <v>1384</v>
      </c>
      <c r="H157" s="73">
        <v>5</v>
      </c>
      <c r="I157" s="73">
        <v>4</v>
      </c>
      <c r="J157" s="73"/>
      <c r="K157" s="73"/>
      <c r="L157" s="73">
        <v>5</v>
      </c>
      <c r="M157" s="73">
        <v>5</v>
      </c>
      <c r="N157" s="73">
        <v>5</v>
      </c>
      <c r="O157" s="73">
        <v>5</v>
      </c>
      <c r="P157" s="73">
        <v>5</v>
      </c>
      <c r="Q157" s="73">
        <v>5</v>
      </c>
      <c r="R157" s="73">
        <v>5</v>
      </c>
      <c r="S157" s="73">
        <v>5</v>
      </c>
      <c r="T157" s="73" t="s">
        <v>1380</v>
      </c>
      <c r="U157" s="73" t="s">
        <v>37</v>
      </c>
      <c r="V157" s="73" t="s">
        <v>1354</v>
      </c>
      <c r="Y157" s="73" t="s">
        <v>1415</v>
      </c>
      <c r="Z157" s="73" t="s">
        <v>1416</v>
      </c>
      <c r="AA157" s="73" t="s">
        <v>1351</v>
      </c>
      <c r="AB157" s="73"/>
      <c r="AC157" s="73" t="s">
        <v>1352</v>
      </c>
      <c r="AD157" s="73" t="s">
        <v>1426</v>
      </c>
      <c r="AE157" s="73" t="s">
        <v>1117</v>
      </c>
      <c r="AF157" s="73">
        <v>5</v>
      </c>
      <c r="AG157" s="73">
        <v>5</v>
      </c>
      <c r="AH157" s="73">
        <v>5</v>
      </c>
      <c r="AI157" s="73">
        <v>5</v>
      </c>
      <c r="AJ157" s="73">
        <v>5</v>
      </c>
      <c r="AK157" s="73" t="s">
        <v>1422</v>
      </c>
    </row>
    <row r="158" spans="2:37" x14ac:dyDescent="0.3">
      <c r="B158" s="73" t="s">
        <v>1379</v>
      </c>
      <c r="C158" s="73" t="s">
        <v>1348</v>
      </c>
      <c r="D158" s="73" t="s">
        <v>1351</v>
      </c>
      <c r="E158" s="73"/>
      <c r="F158" s="73" t="s">
        <v>1352</v>
      </c>
      <c r="G158" s="73" t="s">
        <v>1384</v>
      </c>
      <c r="H158" s="73">
        <v>5</v>
      </c>
      <c r="I158" s="73">
        <v>5</v>
      </c>
      <c r="J158" s="73">
        <v>5</v>
      </c>
      <c r="K158" s="73">
        <v>5</v>
      </c>
      <c r="L158" s="73">
        <v>5</v>
      </c>
      <c r="M158" s="73">
        <v>5</v>
      </c>
      <c r="N158" s="73">
        <v>5</v>
      </c>
      <c r="O158" s="73">
        <v>5</v>
      </c>
      <c r="P158" s="73">
        <v>5</v>
      </c>
      <c r="Q158" s="73">
        <v>5</v>
      </c>
      <c r="R158" s="73">
        <v>5</v>
      </c>
      <c r="S158" s="73">
        <v>5</v>
      </c>
      <c r="T158" s="73" t="s">
        <v>1381</v>
      </c>
      <c r="U158" s="73" t="s">
        <v>37</v>
      </c>
      <c r="V158" s="73" t="s">
        <v>1354</v>
      </c>
      <c r="Y158" s="73" t="s">
        <v>1415</v>
      </c>
      <c r="Z158" s="73" t="s">
        <v>1416</v>
      </c>
      <c r="AA158" s="73" t="s">
        <v>1351</v>
      </c>
      <c r="AB158" s="73"/>
      <c r="AC158" s="73" t="s">
        <v>1352</v>
      </c>
      <c r="AD158" s="73" t="s">
        <v>1426</v>
      </c>
      <c r="AE158" s="73" t="s">
        <v>1117</v>
      </c>
      <c r="AF158" s="73">
        <v>5</v>
      </c>
      <c r="AG158" s="73">
        <v>5</v>
      </c>
      <c r="AH158" s="73">
        <v>5</v>
      </c>
      <c r="AI158" s="73">
        <v>5</v>
      </c>
      <c r="AJ158" s="73">
        <v>5</v>
      </c>
      <c r="AK158" s="73" t="s">
        <v>1423</v>
      </c>
    </row>
    <row r="159" spans="2:37" x14ac:dyDescent="0.3">
      <c r="B159" s="73" t="s">
        <v>1379</v>
      </c>
      <c r="C159" s="73" t="s">
        <v>1348</v>
      </c>
      <c r="D159" s="73" t="s">
        <v>1351</v>
      </c>
      <c r="E159" s="73"/>
      <c r="F159" s="73" t="s">
        <v>1352</v>
      </c>
      <c r="G159" s="73" t="s">
        <v>1385</v>
      </c>
      <c r="H159" s="73">
        <v>5</v>
      </c>
      <c r="I159" s="73">
        <v>5</v>
      </c>
      <c r="J159" s="73">
        <v>5</v>
      </c>
      <c r="K159" s="73">
        <v>5</v>
      </c>
      <c r="L159" s="73">
        <v>5</v>
      </c>
      <c r="M159" s="73">
        <v>5</v>
      </c>
      <c r="N159" s="73">
        <v>5</v>
      </c>
      <c r="O159" s="73">
        <v>5</v>
      </c>
      <c r="P159" s="73">
        <v>5</v>
      </c>
      <c r="Q159" s="73">
        <v>5</v>
      </c>
      <c r="R159" s="73">
        <v>5</v>
      </c>
      <c r="S159" s="73">
        <v>5</v>
      </c>
      <c r="T159" s="73" t="s">
        <v>1382</v>
      </c>
      <c r="U159" s="73" t="s">
        <v>37</v>
      </c>
      <c r="V159" s="73" t="s">
        <v>1354</v>
      </c>
      <c r="Y159" s="73" t="s">
        <v>1415</v>
      </c>
      <c r="Z159" s="73" t="s">
        <v>1416</v>
      </c>
      <c r="AA159" s="73" t="s">
        <v>1351</v>
      </c>
      <c r="AB159" s="73"/>
      <c r="AC159" s="73" t="s">
        <v>1352</v>
      </c>
      <c r="AD159" s="73" t="s">
        <v>1426</v>
      </c>
      <c r="AE159" s="73" t="s">
        <v>1117</v>
      </c>
      <c r="AF159" s="73">
        <v>4</v>
      </c>
      <c r="AG159" s="73">
        <v>5</v>
      </c>
      <c r="AH159" s="73">
        <v>5</v>
      </c>
      <c r="AI159" s="73">
        <v>5</v>
      </c>
      <c r="AJ159" s="73">
        <v>5</v>
      </c>
      <c r="AK159" s="73" t="s">
        <v>1424</v>
      </c>
    </row>
    <row r="160" spans="2:37" x14ac:dyDescent="0.3">
      <c r="B160" s="73" t="s">
        <v>1379</v>
      </c>
      <c r="C160" s="73" t="s">
        <v>1348</v>
      </c>
      <c r="D160" s="73" t="s">
        <v>1351</v>
      </c>
      <c r="E160" s="73"/>
      <c r="F160" s="73" t="s">
        <v>1352</v>
      </c>
      <c r="G160" s="73" t="s">
        <v>1385</v>
      </c>
      <c r="H160" s="73">
        <v>5</v>
      </c>
      <c r="I160" s="73">
        <v>5</v>
      </c>
      <c r="J160" s="73">
        <v>5</v>
      </c>
      <c r="K160" s="73">
        <v>5</v>
      </c>
      <c r="L160" s="73">
        <v>5</v>
      </c>
      <c r="M160" s="73">
        <v>5</v>
      </c>
      <c r="N160" s="73">
        <v>5</v>
      </c>
      <c r="O160" s="73">
        <v>5</v>
      </c>
      <c r="P160" s="73">
        <v>5</v>
      </c>
      <c r="Q160" s="73">
        <v>5</v>
      </c>
      <c r="R160" s="73">
        <v>5</v>
      </c>
      <c r="S160" s="73">
        <v>5</v>
      </c>
      <c r="T160" s="73" t="s">
        <v>1383</v>
      </c>
      <c r="U160" s="73" t="s">
        <v>37</v>
      </c>
      <c r="V160" s="73" t="s">
        <v>1354</v>
      </c>
      <c r="Y160" s="73" t="s">
        <v>1415</v>
      </c>
      <c r="Z160" s="73" t="s">
        <v>1416</v>
      </c>
      <c r="AA160" s="73" t="s">
        <v>1351</v>
      </c>
      <c r="AB160" s="73"/>
      <c r="AC160" s="73" t="s">
        <v>1352</v>
      </c>
      <c r="AD160" s="73" t="s">
        <v>1426</v>
      </c>
      <c r="AE160" s="73" t="s">
        <v>1117</v>
      </c>
      <c r="AF160" s="73">
        <v>4</v>
      </c>
      <c r="AG160" s="73">
        <v>5</v>
      </c>
      <c r="AH160" s="73">
        <v>5</v>
      </c>
      <c r="AI160" s="73">
        <v>5</v>
      </c>
      <c r="AJ160" s="73">
        <v>4</v>
      </c>
      <c r="AK160" s="73"/>
    </row>
    <row r="161" spans="2:37" x14ac:dyDescent="0.3">
      <c r="B161" s="73" t="s">
        <v>1379</v>
      </c>
      <c r="C161" s="73" t="s">
        <v>1348</v>
      </c>
      <c r="D161" s="73" t="s">
        <v>1351</v>
      </c>
      <c r="E161" s="73"/>
      <c r="F161" s="73" t="s">
        <v>1352</v>
      </c>
      <c r="G161" s="73" t="s">
        <v>1385</v>
      </c>
      <c r="H161" s="73">
        <v>5</v>
      </c>
      <c r="I161" s="73">
        <v>4</v>
      </c>
      <c r="J161" s="73">
        <v>5</v>
      </c>
      <c r="K161" s="73">
        <v>4</v>
      </c>
      <c r="L161" s="73">
        <v>5</v>
      </c>
      <c r="M161" s="73">
        <v>4</v>
      </c>
      <c r="N161" s="73">
        <v>5</v>
      </c>
      <c r="O161" s="73">
        <v>4</v>
      </c>
      <c r="P161" s="73"/>
      <c r="Q161" s="73">
        <v>5</v>
      </c>
      <c r="R161" s="73">
        <v>5</v>
      </c>
      <c r="S161" s="73">
        <v>5</v>
      </c>
      <c r="T161" s="73"/>
      <c r="U161" s="73" t="s">
        <v>37</v>
      </c>
      <c r="V161" s="73" t="s">
        <v>1354</v>
      </c>
      <c r="Y161" s="73" t="s">
        <v>1415</v>
      </c>
      <c r="Z161" s="73" t="s">
        <v>1416</v>
      </c>
      <c r="AA161" s="73" t="s">
        <v>1351</v>
      </c>
      <c r="AB161" s="73"/>
      <c r="AC161" s="73" t="s">
        <v>1352</v>
      </c>
      <c r="AD161" s="73" t="s">
        <v>1428</v>
      </c>
      <c r="AE161" s="73" t="s">
        <v>1117</v>
      </c>
      <c r="AF161" s="73">
        <v>3</v>
      </c>
      <c r="AG161" s="73">
        <v>4</v>
      </c>
      <c r="AH161" s="73">
        <v>5</v>
      </c>
      <c r="AI161" s="73">
        <v>5</v>
      </c>
      <c r="AJ161" s="73">
        <v>4</v>
      </c>
      <c r="AK161" s="73"/>
    </row>
    <row r="162" spans="2:37" x14ac:dyDescent="0.3">
      <c r="B162" s="73" t="s">
        <v>1379</v>
      </c>
      <c r="C162" s="73" t="s">
        <v>1348</v>
      </c>
      <c r="D162" s="73" t="s">
        <v>1351</v>
      </c>
      <c r="E162" s="73"/>
      <c r="F162" s="73" t="s">
        <v>1352</v>
      </c>
      <c r="G162" s="73" t="s">
        <v>1385</v>
      </c>
      <c r="H162" s="73">
        <v>5</v>
      </c>
      <c r="I162" s="73">
        <v>5</v>
      </c>
      <c r="J162" s="73">
        <v>5</v>
      </c>
      <c r="K162" s="73">
        <v>5</v>
      </c>
      <c r="L162" s="73">
        <v>5</v>
      </c>
      <c r="M162" s="73">
        <v>5</v>
      </c>
      <c r="N162" s="73">
        <v>5</v>
      </c>
      <c r="O162" s="73">
        <v>4</v>
      </c>
      <c r="P162" s="73">
        <v>5</v>
      </c>
      <c r="Q162" s="73">
        <v>5</v>
      </c>
      <c r="R162" s="73">
        <v>5</v>
      </c>
      <c r="S162" s="73">
        <v>5</v>
      </c>
      <c r="T162" s="73"/>
      <c r="U162" s="73" t="s">
        <v>37</v>
      </c>
      <c r="V162" s="73" t="s">
        <v>1354</v>
      </c>
      <c r="Y162" s="73" t="s">
        <v>1415</v>
      </c>
      <c r="Z162" s="73" t="s">
        <v>1416</v>
      </c>
      <c r="AA162" s="73" t="s">
        <v>1351</v>
      </c>
      <c r="AB162" s="73"/>
      <c r="AC162" s="73" t="s">
        <v>1352</v>
      </c>
      <c r="AD162" s="73" t="s">
        <v>1428</v>
      </c>
      <c r="AE162" s="73" t="s">
        <v>1117</v>
      </c>
      <c r="AF162" s="73">
        <v>5</v>
      </c>
      <c r="AG162" s="73">
        <v>5</v>
      </c>
      <c r="AH162" s="73">
        <v>5</v>
      </c>
      <c r="AI162" s="73">
        <v>5</v>
      </c>
      <c r="AJ162" s="73">
        <v>5</v>
      </c>
      <c r="AK162" s="73"/>
    </row>
    <row r="163" spans="2:37" x14ac:dyDescent="0.3">
      <c r="B163" s="73" t="s">
        <v>1379</v>
      </c>
      <c r="C163" s="73" t="s">
        <v>1348</v>
      </c>
      <c r="D163" s="73" t="s">
        <v>1351</v>
      </c>
      <c r="E163" s="73"/>
      <c r="F163" s="73" t="s">
        <v>1352</v>
      </c>
      <c r="G163" s="73" t="s">
        <v>1385</v>
      </c>
      <c r="H163" s="73">
        <v>5</v>
      </c>
      <c r="I163" s="73">
        <v>5</v>
      </c>
      <c r="J163" s="73">
        <v>5</v>
      </c>
      <c r="K163" s="73">
        <v>5</v>
      </c>
      <c r="L163" s="73">
        <v>5</v>
      </c>
      <c r="M163" s="73">
        <v>5</v>
      </c>
      <c r="N163" s="73">
        <v>4</v>
      </c>
      <c r="O163" s="73">
        <v>4</v>
      </c>
      <c r="P163" s="73">
        <v>4</v>
      </c>
      <c r="Q163" s="73">
        <v>4</v>
      </c>
      <c r="R163" s="73"/>
      <c r="S163" s="73">
        <v>5</v>
      </c>
      <c r="T163" s="73"/>
      <c r="U163" s="73" t="s">
        <v>37</v>
      </c>
      <c r="V163" s="73" t="s">
        <v>1354</v>
      </c>
      <c r="Y163" s="73" t="s">
        <v>1415</v>
      </c>
      <c r="Z163" s="73" t="s">
        <v>1416</v>
      </c>
      <c r="AA163" s="73" t="s">
        <v>1351</v>
      </c>
      <c r="AB163" s="73"/>
      <c r="AC163" s="73" t="s">
        <v>1352</v>
      </c>
      <c r="AD163" s="73" t="s">
        <v>1428</v>
      </c>
      <c r="AE163" s="73" t="s">
        <v>1117</v>
      </c>
      <c r="AF163" s="73">
        <v>5</v>
      </c>
      <c r="AG163" s="73">
        <v>5</v>
      </c>
      <c r="AH163" s="73">
        <v>5</v>
      </c>
      <c r="AI163" s="73">
        <v>5</v>
      </c>
      <c r="AJ163" s="73">
        <v>5</v>
      </c>
      <c r="AK163" s="73"/>
    </row>
    <row r="164" spans="2:37" x14ac:dyDescent="0.3">
      <c r="B164" s="73" t="s">
        <v>1379</v>
      </c>
      <c r="C164" s="73" t="s">
        <v>1348</v>
      </c>
      <c r="D164" s="73" t="s">
        <v>1351</v>
      </c>
      <c r="E164" s="73"/>
      <c r="F164" s="73" t="s">
        <v>1352</v>
      </c>
      <c r="G164" s="73" t="s">
        <v>1385</v>
      </c>
      <c r="H164" s="73">
        <v>4</v>
      </c>
      <c r="I164" s="73">
        <v>4</v>
      </c>
      <c r="J164" s="73">
        <v>4</v>
      </c>
      <c r="K164" s="73">
        <v>4</v>
      </c>
      <c r="L164" s="73">
        <v>3</v>
      </c>
      <c r="M164" s="73">
        <v>4</v>
      </c>
      <c r="N164" s="73">
        <v>4</v>
      </c>
      <c r="O164" s="73">
        <v>4</v>
      </c>
      <c r="P164" s="73">
        <v>4</v>
      </c>
      <c r="Q164" s="73">
        <v>4</v>
      </c>
      <c r="R164" s="73">
        <v>4</v>
      </c>
      <c r="S164" s="73">
        <v>4</v>
      </c>
      <c r="T164" s="73"/>
      <c r="U164" s="73" t="s">
        <v>37</v>
      </c>
      <c r="V164" s="73" t="s">
        <v>1354</v>
      </c>
      <c r="Y164" s="73" t="s">
        <v>1415</v>
      </c>
      <c r="Z164" s="73" t="s">
        <v>1416</v>
      </c>
      <c r="AA164" s="73" t="s">
        <v>1351</v>
      </c>
      <c r="AB164" s="73"/>
      <c r="AC164" s="73" t="s">
        <v>1352</v>
      </c>
      <c r="AD164" s="73" t="s">
        <v>1428</v>
      </c>
      <c r="AE164" s="73" t="s">
        <v>1117</v>
      </c>
      <c r="AF164" s="73">
        <v>5</v>
      </c>
      <c r="AG164" s="73">
        <v>5</v>
      </c>
      <c r="AH164" s="73">
        <v>5</v>
      </c>
      <c r="AI164" s="73">
        <v>5</v>
      </c>
      <c r="AJ164" s="73">
        <v>5</v>
      </c>
      <c r="AK164" s="73"/>
    </row>
  </sheetData>
  <sheetProtection algorithmName="SHA-512" hashValue="ukw5hhbKk3TtSCVzy8tOz5r5xo2CZ++w9o5Amxhxe9Xdmxe146mq6zAFNH5KZsxI/g4ghgafCHX99+JJlvIZlg==" saltValue="KL2Aqfoo9Td9g0BWw6JZtQ==" spinCount="100000" sheet="1" objects="1" scenarios="1"/>
  <mergeCells count="6">
    <mergeCell ref="BA3:BF4"/>
    <mergeCell ref="S4:V4"/>
    <mergeCell ref="B3:V3"/>
    <mergeCell ref="Y3:AK4"/>
    <mergeCell ref="B4:G4"/>
    <mergeCell ref="H4:R4"/>
  </mergeCells>
  <phoneticPr fontId="4" type="noConversion"/>
  <conditionalFormatting sqref="BG6">
    <cfRule type="iconSet" priority="113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rintOptions horizontalCentered="1"/>
  <pageMargins left="0.23622047244094502" right="0.23622047244094502" top="0.15748031496063" bottom="0.35433070866141703" header="0.11811023622047198" footer="0.11811023622047198"/>
  <pageSetup paperSize="9" scale="70" fitToHeight="0" orientation="landscape" r:id="rId1"/>
  <headerFooter>
    <oddFooter>&amp;L&amp;"Segoe UI,Normal"&amp;12Mod. F 037. 11&amp;C&amp;"Segoe UI,Normal"&amp;12&amp;D&amp;R&amp;P &amp; / &amp; &amp;N</oddFooter>
  </headerFooter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267D0-6EBC-4489-BE0F-831FC4F3D543}">
  <sheetPr codeName="Folha2"/>
  <dimension ref="A1:F5035"/>
  <sheetViews>
    <sheetView topLeftCell="A577" zoomScale="90" zoomScaleNormal="90" workbookViewId="0">
      <selection activeCell="F3" sqref="A3:F602"/>
    </sheetView>
  </sheetViews>
  <sheetFormatPr defaultRowHeight="17.25" x14ac:dyDescent="0.3"/>
  <cols>
    <col min="1" max="1" width="12.75" style="3" customWidth="1"/>
    <col min="2" max="2" width="75.375" style="3" bestFit="1" customWidth="1"/>
    <col min="3" max="3" width="22.25" style="3" bestFit="1" customWidth="1"/>
    <col min="4" max="4" width="71.875" style="3" customWidth="1"/>
    <col min="5" max="5" width="17.625" style="3" customWidth="1"/>
    <col min="6" max="6" width="22.25" style="3" customWidth="1"/>
    <col min="7" max="16384" width="9" style="3"/>
  </cols>
  <sheetData>
    <row r="1" spans="1:6" ht="60" customHeight="1" x14ac:dyDescent="0.3">
      <c r="A1" s="201" t="s">
        <v>1294</v>
      </c>
      <c r="B1" s="201"/>
      <c r="C1" s="201"/>
      <c r="D1" s="201"/>
      <c r="E1" s="201"/>
      <c r="F1" s="201"/>
    </row>
    <row r="2" spans="1:6" ht="67.5" customHeight="1" x14ac:dyDescent="0.3">
      <c r="A2" s="68" t="s">
        <v>1211</v>
      </c>
      <c r="B2" s="68" t="s">
        <v>1212</v>
      </c>
      <c r="C2" s="68" t="s">
        <v>43</v>
      </c>
      <c r="D2" s="68" t="s">
        <v>44</v>
      </c>
      <c r="E2" s="68" t="s">
        <v>1213</v>
      </c>
      <c r="F2" s="68" t="s">
        <v>1214</v>
      </c>
    </row>
    <row r="3" spans="1:6" x14ac:dyDescent="0.3">
      <c r="A3" s="69">
        <v>123</v>
      </c>
      <c r="B3" s="70" t="s">
        <v>276</v>
      </c>
      <c r="C3" s="70" t="s">
        <v>277</v>
      </c>
      <c r="D3" s="70" t="s">
        <v>103</v>
      </c>
      <c r="E3" s="69" t="s">
        <v>1215</v>
      </c>
      <c r="F3" s="70" t="s">
        <v>1346</v>
      </c>
    </row>
    <row r="4" spans="1:6" x14ac:dyDescent="0.3">
      <c r="A4" s="71">
        <v>166</v>
      </c>
      <c r="B4" s="72" t="s">
        <v>356</v>
      </c>
      <c r="C4" s="72" t="s">
        <v>357</v>
      </c>
      <c r="D4" s="71"/>
      <c r="E4" s="71" t="s">
        <v>1215</v>
      </c>
      <c r="F4" s="71" t="s">
        <v>1346</v>
      </c>
    </row>
    <row r="5" spans="1:6" x14ac:dyDescent="0.3">
      <c r="A5" s="69">
        <v>555</v>
      </c>
      <c r="B5" s="70" t="s">
        <v>1135</v>
      </c>
      <c r="C5" s="70" t="s">
        <v>1136</v>
      </c>
      <c r="D5" s="70"/>
      <c r="E5" s="69" t="s">
        <v>1215</v>
      </c>
      <c r="F5" s="70" t="s">
        <v>1346</v>
      </c>
    </row>
    <row r="6" spans="1:6" x14ac:dyDescent="0.3">
      <c r="A6" s="71">
        <v>37</v>
      </c>
      <c r="B6" s="72" t="s">
        <v>120</v>
      </c>
      <c r="C6" s="72"/>
      <c r="D6" s="71"/>
      <c r="E6" s="71" t="s">
        <v>1215</v>
      </c>
      <c r="F6" s="71" t="s">
        <v>1346</v>
      </c>
    </row>
    <row r="7" spans="1:6" x14ac:dyDescent="0.3">
      <c r="A7" s="69">
        <v>153</v>
      </c>
      <c r="B7" s="70" t="s">
        <v>329</v>
      </c>
      <c r="C7" s="70" t="s">
        <v>330</v>
      </c>
      <c r="D7" s="70" t="s">
        <v>324</v>
      </c>
      <c r="E7" s="69" t="s">
        <v>1215</v>
      </c>
      <c r="F7" s="70" t="s">
        <v>1346</v>
      </c>
    </row>
    <row r="8" spans="1:6" x14ac:dyDescent="0.3">
      <c r="A8" s="71">
        <v>606</v>
      </c>
      <c r="B8" s="72" t="s">
        <v>1315</v>
      </c>
      <c r="C8" s="72" t="s">
        <v>1316</v>
      </c>
      <c r="D8" s="71"/>
      <c r="E8" s="71" t="s">
        <v>1215</v>
      </c>
      <c r="F8" s="71" t="s">
        <v>1346</v>
      </c>
    </row>
    <row r="9" spans="1:6" x14ac:dyDescent="0.3">
      <c r="A9" s="69">
        <v>417</v>
      </c>
      <c r="B9" s="70" t="s">
        <v>886</v>
      </c>
      <c r="C9" s="70" t="s">
        <v>887</v>
      </c>
      <c r="D9" s="70"/>
      <c r="E9" s="69" t="s">
        <v>1215</v>
      </c>
      <c r="F9" s="70" t="s">
        <v>1346</v>
      </c>
    </row>
    <row r="10" spans="1:6" x14ac:dyDescent="0.3">
      <c r="A10" s="71">
        <v>254</v>
      </c>
      <c r="B10" s="72" t="s">
        <v>523</v>
      </c>
      <c r="C10" s="72" t="s">
        <v>524</v>
      </c>
      <c r="D10" s="71" t="s">
        <v>525</v>
      </c>
      <c r="E10" s="71" t="s">
        <v>1215</v>
      </c>
      <c r="F10" s="71" t="s">
        <v>1346</v>
      </c>
    </row>
    <row r="11" spans="1:6" x14ac:dyDescent="0.3">
      <c r="A11" s="69">
        <v>185</v>
      </c>
      <c r="B11" s="70" t="s">
        <v>387</v>
      </c>
      <c r="C11" s="70" t="s">
        <v>388</v>
      </c>
      <c r="D11" s="70" t="s">
        <v>389</v>
      </c>
      <c r="E11" s="69" t="s">
        <v>1215</v>
      </c>
      <c r="F11" s="70" t="s">
        <v>1346</v>
      </c>
    </row>
    <row r="12" spans="1:6" x14ac:dyDescent="0.3">
      <c r="A12" s="71">
        <v>253</v>
      </c>
      <c r="B12" s="72" t="s">
        <v>521</v>
      </c>
      <c r="C12" s="72" t="s">
        <v>522</v>
      </c>
      <c r="D12" s="71"/>
      <c r="E12" s="71" t="s">
        <v>1215</v>
      </c>
      <c r="F12" s="71" t="s">
        <v>1346</v>
      </c>
    </row>
    <row r="13" spans="1:6" x14ac:dyDescent="0.3">
      <c r="A13" s="69">
        <v>162</v>
      </c>
      <c r="B13" s="70" t="s">
        <v>347</v>
      </c>
      <c r="C13" s="70" t="s">
        <v>348</v>
      </c>
      <c r="D13" s="70"/>
      <c r="E13" s="69" t="s">
        <v>1215</v>
      </c>
      <c r="F13" s="70" t="s">
        <v>1346</v>
      </c>
    </row>
    <row r="14" spans="1:6" x14ac:dyDescent="0.3">
      <c r="A14" s="71">
        <v>310</v>
      </c>
      <c r="B14" s="72" t="s">
        <v>643</v>
      </c>
      <c r="C14" s="72" t="s">
        <v>644</v>
      </c>
      <c r="D14" s="71" t="s">
        <v>85</v>
      </c>
      <c r="E14" s="71" t="s">
        <v>1215</v>
      </c>
      <c r="F14" s="71" t="s">
        <v>1346</v>
      </c>
    </row>
    <row r="15" spans="1:6" x14ac:dyDescent="0.3">
      <c r="A15" s="69">
        <v>586</v>
      </c>
      <c r="B15" s="70" t="s">
        <v>1187</v>
      </c>
      <c r="C15" s="70" t="s">
        <v>1188</v>
      </c>
      <c r="D15" s="70"/>
      <c r="E15" s="69" t="s">
        <v>1215</v>
      </c>
      <c r="F15" s="70" t="s">
        <v>1346</v>
      </c>
    </row>
    <row r="16" spans="1:6" x14ac:dyDescent="0.3">
      <c r="A16" s="71">
        <v>4</v>
      </c>
      <c r="B16" s="72" t="s">
        <v>45</v>
      </c>
      <c r="C16" s="72"/>
      <c r="D16" s="71"/>
      <c r="E16" s="71" t="s">
        <v>1215</v>
      </c>
      <c r="F16" s="71" t="s">
        <v>1346</v>
      </c>
    </row>
    <row r="17" spans="1:6" x14ac:dyDescent="0.3">
      <c r="A17" s="69">
        <v>592</v>
      </c>
      <c r="B17" s="70" t="s">
        <v>1196</v>
      </c>
      <c r="C17" s="70"/>
      <c r="D17" s="70"/>
      <c r="E17" s="69" t="s">
        <v>1215</v>
      </c>
      <c r="F17" s="70" t="s">
        <v>1346</v>
      </c>
    </row>
    <row r="18" spans="1:6" x14ac:dyDescent="0.3">
      <c r="A18" s="71">
        <v>428</v>
      </c>
      <c r="B18" s="72" t="s">
        <v>907</v>
      </c>
      <c r="C18" s="72" t="s">
        <v>908</v>
      </c>
      <c r="D18" s="71"/>
      <c r="E18" s="71" t="s">
        <v>1215</v>
      </c>
      <c r="F18" s="71" t="s">
        <v>1346</v>
      </c>
    </row>
    <row r="19" spans="1:6" x14ac:dyDescent="0.3">
      <c r="A19" s="69">
        <v>195</v>
      </c>
      <c r="B19" s="70" t="s">
        <v>411</v>
      </c>
      <c r="C19" s="70" t="s">
        <v>412</v>
      </c>
      <c r="D19" s="70" t="s">
        <v>309</v>
      </c>
      <c r="E19" s="69" t="s">
        <v>1215</v>
      </c>
      <c r="F19" s="70" t="s">
        <v>1346</v>
      </c>
    </row>
    <row r="20" spans="1:6" x14ac:dyDescent="0.3">
      <c r="A20" s="71">
        <v>550</v>
      </c>
      <c r="B20" s="72" t="s">
        <v>1125</v>
      </c>
      <c r="C20" s="72" t="s">
        <v>1126</v>
      </c>
      <c r="D20" s="71"/>
      <c r="E20" s="71" t="s">
        <v>1215</v>
      </c>
      <c r="F20" s="71" t="s">
        <v>1346</v>
      </c>
    </row>
    <row r="21" spans="1:6" x14ac:dyDescent="0.3">
      <c r="A21" s="69">
        <v>472</v>
      </c>
      <c r="B21" s="70" t="s">
        <v>990</v>
      </c>
      <c r="C21" s="70" t="s">
        <v>991</v>
      </c>
      <c r="D21" s="70"/>
      <c r="E21" s="69" t="s">
        <v>1215</v>
      </c>
      <c r="F21" s="70" t="s">
        <v>1346</v>
      </c>
    </row>
    <row r="22" spans="1:6" x14ac:dyDescent="0.3">
      <c r="A22" s="71">
        <v>395</v>
      </c>
      <c r="B22" s="72" t="s">
        <v>840</v>
      </c>
      <c r="C22" s="72" t="s">
        <v>841</v>
      </c>
      <c r="D22" s="71" t="s">
        <v>309</v>
      </c>
      <c r="E22" s="71" t="s">
        <v>1215</v>
      </c>
      <c r="F22" s="71" t="s">
        <v>1346</v>
      </c>
    </row>
    <row r="23" spans="1:6" x14ac:dyDescent="0.3">
      <c r="A23" s="69">
        <v>340</v>
      </c>
      <c r="B23" s="70" t="s">
        <v>714</v>
      </c>
      <c r="C23" s="70" t="s">
        <v>715</v>
      </c>
      <c r="D23" s="70" t="s">
        <v>716</v>
      </c>
      <c r="E23" s="69" t="s">
        <v>1215</v>
      </c>
      <c r="F23" s="70" t="s">
        <v>1346</v>
      </c>
    </row>
    <row r="24" spans="1:6" x14ac:dyDescent="0.3">
      <c r="A24" s="71">
        <v>609</v>
      </c>
      <c r="B24" s="72" t="s">
        <v>1321</v>
      </c>
      <c r="C24" s="72" t="s">
        <v>1322</v>
      </c>
      <c r="D24" s="71"/>
      <c r="E24" s="71" t="s">
        <v>1215</v>
      </c>
      <c r="F24" s="71" t="s">
        <v>1346</v>
      </c>
    </row>
    <row r="25" spans="1:6" x14ac:dyDescent="0.3">
      <c r="A25" s="69">
        <v>35</v>
      </c>
      <c r="B25" s="70" t="s">
        <v>116</v>
      </c>
      <c r="C25" s="70" t="s">
        <v>117</v>
      </c>
      <c r="D25" s="70" t="s">
        <v>118</v>
      </c>
      <c r="E25" s="69" t="s">
        <v>1215</v>
      </c>
      <c r="F25" s="70" t="s">
        <v>1346</v>
      </c>
    </row>
    <row r="26" spans="1:6" x14ac:dyDescent="0.3">
      <c r="A26" s="71">
        <v>188</v>
      </c>
      <c r="B26" s="72" t="s">
        <v>394</v>
      </c>
      <c r="C26" s="72" t="s">
        <v>395</v>
      </c>
      <c r="D26" s="71" t="s">
        <v>311</v>
      </c>
      <c r="E26" s="71" t="s">
        <v>1215</v>
      </c>
      <c r="F26" s="71" t="s">
        <v>1346</v>
      </c>
    </row>
    <row r="27" spans="1:6" x14ac:dyDescent="0.3">
      <c r="A27" s="69">
        <v>329</v>
      </c>
      <c r="B27" s="70" t="s">
        <v>688</v>
      </c>
      <c r="C27" s="70" t="s">
        <v>689</v>
      </c>
      <c r="D27" s="70" t="s">
        <v>690</v>
      </c>
      <c r="E27" s="69" t="s">
        <v>1215</v>
      </c>
      <c r="F27" s="70" t="s">
        <v>1346</v>
      </c>
    </row>
    <row r="28" spans="1:6" x14ac:dyDescent="0.3">
      <c r="A28" s="71">
        <v>478</v>
      </c>
      <c r="B28" s="72" t="s">
        <v>997</v>
      </c>
      <c r="C28" s="72" t="s">
        <v>998</v>
      </c>
      <c r="D28" s="71"/>
      <c r="E28" s="71" t="s">
        <v>1215</v>
      </c>
      <c r="F28" s="71" t="s">
        <v>1346</v>
      </c>
    </row>
    <row r="29" spans="1:6" x14ac:dyDescent="0.3">
      <c r="A29" s="69">
        <v>136</v>
      </c>
      <c r="B29" s="70" t="s">
        <v>298</v>
      </c>
      <c r="C29" s="70" t="s">
        <v>299</v>
      </c>
      <c r="D29" s="70" t="s">
        <v>208</v>
      </c>
      <c r="E29" s="69" t="s">
        <v>1215</v>
      </c>
      <c r="F29" s="70" t="s">
        <v>1346</v>
      </c>
    </row>
    <row r="30" spans="1:6" x14ac:dyDescent="0.3">
      <c r="A30" s="71">
        <v>84</v>
      </c>
      <c r="B30" s="72" t="s">
        <v>211</v>
      </c>
      <c r="C30" s="72" t="s">
        <v>212</v>
      </c>
      <c r="D30" s="71" t="s">
        <v>213</v>
      </c>
      <c r="E30" s="71" t="s">
        <v>1215</v>
      </c>
      <c r="F30" s="71" t="s">
        <v>1346</v>
      </c>
    </row>
    <row r="31" spans="1:6" x14ac:dyDescent="0.3">
      <c r="A31" s="69">
        <v>614</v>
      </c>
      <c r="B31" s="70" t="s">
        <v>1335</v>
      </c>
      <c r="C31" s="70" t="s">
        <v>1336</v>
      </c>
      <c r="D31" s="70"/>
      <c r="E31" s="69" t="s">
        <v>1215</v>
      </c>
      <c r="F31" s="70" t="s">
        <v>1346</v>
      </c>
    </row>
    <row r="32" spans="1:6" x14ac:dyDescent="0.3">
      <c r="A32" s="71">
        <v>48</v>
      </c>
      <c r="B32" s="72" t="s">
        <v>145</v>
      </c>
      <c r="C32" s="72" t="s">
        <v>146</v>
      </c>
      <c r="D32" s="71" t="s">
        <v>147</v>
      </c>
      <c r="E32" s="71" t="s">
        <v>1215</v>
      </c>
      <c r="F32" s="71" t="s">
        <v>1346</v>
      </c>
    </row>
    <row r="33" spans="1:6" x14ac:dyDescent="0.3">
      <c r="A33" s="69">
        <v>420</v>
      </c>
      <c r="B33" s="70" t="s">
        <v>891</v>
      </c>
      <c r="C33" s="70" t="s">
        <v>892</v>
      </c>
      <c r="D33" s="70" t="s">
        <v>893</v>
      </c>
      <c r="E33" s="69" t="s">
        <v>1215</v>
      </c>
      <c r="F33" s="70" t="s">
        <v>1346</v>
      </c>
    </row>
    <row r="34" spans="1:6" x14ac:dyDescent="0.3">
      <c r="A34" s="71">
        <v>113</v>
      </c>
      <c r="B34" s="72" t="s">
        <v>255</v>
      </c>
      <c r="C34" s="72" t="s">
        <v>256</v>
      </c>
      <c r="D34" s="71"/>
      <c r="E34" s="71" t="s">
        <v>1215</v>
      </c>
      <c r="F34" s="71" t="s">
        <v>1346</v>
      </c>
    </row>
    <row r="35" spans="1:6" x14ac:dyDescent="0.3">
      <c r="A35" s="69">
        <v>228</v>
      </c>
      <c r="B35" s="70" t="s">
        <v>474</v>
      </c>
      <c r="C35" s="70" t="s">
        <v>475</v>
      </c>
      <c r="D35" s="70" t="s">
        <v>476</v>
      </c>
      <c r="E35" s="69" t="s">
        <v>1215</v>
      </c>
      <c r="F35" s="70" t="s">
        <v>1346</v>
      </c>
    </row>
    <row r="36" spans="1:6" x14ac:dyDescent="0.3">
      <c r="A36" s="71">
        <v>105</v>
      </c>
      <c r="B36" s="72" t="s">
        <v>242</v>
      </c>
      <c r="C36" s="72"/>
      <c r="D36" s="71"/>
      <c r="E36" s="71" t="s">
        <v>1215</v>
      </c>
      <c r="F36" s="71" t="s">
        <v>1346</v>
      </c>
    </row>
    <row r="37" spans="1:6" x14ac:dyDescent="0.3">
      <c r="A37" s="69">
        <v>222</v>
      </c>
      <c r="B37" s="70" t="s">
        <v>463</v>
      </c>
      <c r="C37" s="70" t="s">
        <v>464</v>
      </c>
      <c r="D37" s="70" t="s">
        <v>262</v>
      </c>
      <c r="E37" s="69" t="s">
        <v>1215</v>
      </c>
      <c r="F37" s="70" t="s">
        <v>1346</v>
      </c>
    </row>
    <row r="38" spans="1:6" x14ac:dyDescent="0.3">
      <c r="A38" s="71">
        <v>232</v>
      </c>
      <c r="B38" s="72" t="s">
        <v>484</v>
      </c>
      <c r="C38" s="72"/>
      <c r="D38" s="71" t="s">
        <v>485</v>
      </c>
      <c r="E38" s="71" t="s">
        <v>1215</v>
      </c>
      <c r="F38" s="71" t="s">
        <v>1346</v>
      </c>
    </row>
    <row r="39" spans="1:6" x14ac:dyDescent="0.3">
      <c r="A39" s="69">
        <v>44</v>
      </c>
      <c r="B39" s="70" t="s">
        <v>135</v>
      </c>
      <c r="C39" s="70"/>
      <c r="D39" s="70" t="s">
        <v>136</v>
      </c>
      <c r="E39" s="69" t="s">
        <v>1215</v>
      </c>
      <c r="F39" s="70" t="s">
        <v>1346</v>
      </c>
    </row>
    <row r="40" spans="1:6" x14ac:dyDescent="0.3">
      <c r="A40" s="71">
        <v>220</v>
      </c>
      <c r="B40" s="72" t="s">
        <v>458</v>
      </c>
      <c r="C40" s="72" t="s">
        <v>459</v>
      </c>
      <c r="D40" s="71" t="s">
        <v>460</v>
      </c>
      <c r="E40" s="71" t="s">
        <v>1215</v>
      </c>
      <c r="F40" s="71" t="s">
        <v>1346</v>
      </c>
    </row>
    <row r="41" spans="1:6" x14ac:dyDescent="0.3">
      <c r="A41" s="69">
        <v>36</v>
      </c>
      <c r="B41" s="70" t="s">
        <v>119</v>
      </c>
      <c r="C41" s="70"/>
      <c r="D41" s="70" t="s">
        <v>48</v>
      </c>
      <c r="E41" s="69" t="s">
        <v>1215</v>
      </c>
      <c r="F41" s="70" t="s">
        <v>1346</v>
      </c>
    </row>
    <row r="42" spans="1:6" x14ac:dyDescent="0.3">
      <c r="A42" s="71">
        <v>566</v>
      </c>
      <c r="B42" s="72" t="s">
        <v>1154</v>
      </c>
      <c r="C42" s="72" t="s">
        <v>1155</v>
      </c>
      <c r="D42" s="71"/>
      <c r="E42" s="71" t="s">
        <v>1215</v>
      </c>
      <c r="F42" s="71" t="s">
        <v>1346</v>
      </c>
    </row>
    <row r="43" spans="1:6" x14ac:dyDescent="0.3">
      <c r="A43" s="69">
        <v>506</v>
      </c>
      <c r="B43" s="70" t="s">
        <v>1048</v>
      </c>
      <c r="C43" s="70" t="s">
        <v>1049</v>
      </c>
      <c r="D43" s="70"/>
      <c r="E43" s="69" t="s">
        <v>1215</v>
      </c>
      <c r="F43" s="70" t="s">
        <v>1346</v>
      </c>
    </row>
    <row r="44" spans="1:6" x14ac:dyDescent="0.3">
      <c r="A44" s="71">
        <v>270</v>
      </c>
      <c r="B44" s="72" t="s">
        <v>562</v>
      </c>
      <c r="C44" s="72" t="s">
        <v>563</v>
      </c>
      <c r="D44" s="71" t="s">
        <v>564</v>
      </c>
      <c r="E44" s="71" t="s">
        <v>1215</v>
      </c>
      <c r="F44" s="71" t="s">
        <v>1346</v>
      </c>
    </row>
    <row r="45" spans="1:6" x14ac:dyDescent="0.3">
      <c r="A45" s="69">
        <v>5</v>
      </c>
      <c r="B45" s="70" t="s">
        <v>46</v>
      </c>
      <c r="C45" s="70" t="s">
        <v>47</v>
      </c>
      <c r="D45" s="70" t="s">
        <v>48</v>
      </c>
      <c r="E45" s="69" t="s">
        <v>1215</v>
      </c>
      <c r="F45" s="70" t="s">
        <v>1346</v>
      </c>
    </row>
    <row r="46" spans="1:6" x14ac:dyDescent="0.3">
      <c r="A46" s="71">
        <v>353</v>
      </c>
      <c r="B46" s="72" t="s">
        <v>748</v>
      </c>
      <c r="C46" s="72"/>
      <c r="D46" s="71"/>
      <c r="E46" s="71" t="s">
        <v>1215</v>
      </c>
      <c r="F46" s="71" t="s">
        <v>1346</v>
      </c>
    </row>
    <row r="47" spans="1:6" x14ac:dyDescent="0.3">
      <c r="A47" s="69">
        <v>513</v>
      </c>
      <c r="B47" s="70" t="s">
        <v>1061</v>
      </c>
      <c r="C47" s="70" t="s">
        <v>1062</v>
      </c>
      <c r="D47" s="70"/>
      <c r="E47" s="69" t="s">
        <v>1215</v>
      </c>
      <c r="F47" s="70" t="s">
        <v>1346</v>
      </c>
    </row>
    <row r="48" spans="1:6" x14ac:dyDescent="0.3">
      <c r="A48" s="71">
        <v>110</v>
      </c>
      <c r="B48" s="72" t="s">
        <v>251</v>
      </c>
      <c r="C48" s="72" t="s">
        <v>252</v>
      </c>
      <c r="D48" s="71" t="s">
        <v>202</v>
      </c>
      <c r="E48" s="71" t="s">
        <v>1215</v>
      </c>
      <c r="F48" s="71" t="s">
        <v>1346</v>
      </c>
    </row>
    <row r="49" spans="1:6" x14ac:dyDescent="0.3">
      <c r="A49" s="69">
        <v>298</v>
      </c>
      <c r="B49" s="70" t="s">
        <v>619</v>
      </c>
      <c r="C49" s="70" t="s">
        <v>620</v>
      </c>
      <c r="D49" s="70"/>
      <c r="E49" s="69" t="s">
        <v>1215</v>
      </c>
      <c r="F49" s="70" t="s">
        <v>1346</v>
      </c>
    </row>
    <row r="50" spans="1:6" x14ac:dyDescent="0.3">
      <c r="A50" s="71">
        <v>355</v>
      </c>
      <c r="B50" s="72" t="s">
        <v>751</v>
      </c>
      <c r="C50" s="72" t="s">
        <v>752</v>
      </c>
      <c r="D50" s="71" t="s">
        <v>149</v>
      </c>
      <c r="E50" s="71" t="s">
        <v>1215</v>
      </c>
      <c r="F50" s="71" t="s">
        <v>1346</v>
      </c>
    </row>
    <row r="51" spans="1:6" x14ac:dyDescent="0.3">
      <c r="A51" s="69">
        <v>65</v>
      </c>
      <c r="B51" s="70" t="s">
        <v>181</v>
      </c>
      <c r="C51" s="70" t="s">
        <v>182</v>
      </c>
      <c r="D51" s="70"/>
      <c r="E51" s="69" t="s">
        <v>1215</v>
      </c>
      <c r="F51" s="70" t="s">
        <v>1346</v>
      </c>
    </row>
    <row r="52" spans="1:6" x14ac:dyDescent="0.3">
      <c r="A52" s="71">
        <v>6</v>
      </c>
      <c r="B52" s="72" t="s">
        <v>49</v>
      </c>
      <c r="C52" s="72" t="s">
        <v>50</v>
      </c>
      <c r="D52" s="71" t="s">
        <v>51</v>
      </c>
      <c r="E52" s="71" t="s">
        <v>1215</v>
      </c>
      <c r="F52" s="71" t="s">
        <v>1346</v>
      </c>
    </row>
    <row r="53" spans="1:6" x14ac:dyDescent="0.3">
      <c r="A53" s="69">
        <v>427</v>
      </c>
      <c r="B53" s="70" t="s">
        <v>906</v>
      </c>
      <c r="C53" s="70"/>
      <c r="D53" s="70"/>
      <c r="E53" s="69" t="s">
        <v>1215</v>
      </c>
      <c r="F53" s="70" t="s">
        <v>1346</v>
      </c>
    </row>
    <row r="54" spans="1:6" x14ac:dyDescent="0.3">
      <c r="A54" s="71">
        <v>190</v>
      </c>
      <c r="B54" s="72" t="s">
        <v>398</v>
      </c>
      <c r="C54" s="72" t="s">
        <v>399</v>
      </c>
      <c r="D54" s="71" t="s">
        <v>400</v>
      </c>
      <c r="E54" s="71" t="s">
        <v>1215</v>
      </c>
      <c r="F54" s="71" t="s">
        <v>1346</v>
      </c>
    </row>
    <row r="55" spans="1:6" x14ac:dyDescent="0.3">
      <c r="A55" s="69">
        <v>89</v>
      </c>
      <c r="B55" s="70" t="s">
        <v>218</v>
      </c>
      <c r="C55" s="70"/>
      <c r="D55" s="70"/>
      <c r="E55" s="69" t="s">
        <v>1215</v>
      </c>
      <c r="F55" s="70" t="s">
        <v>1346</v>
      </c>
    </row>
    <row r="56" spans="1:6" x14ac:dyDescent="0.3">
      <c r="A56" s="71">
        <v>119</v>
      </c>
      <c r="B56" s="72" t="s">
        <v>268</v>
      </c>
      <c r="C56" s="72"/>
      <c r="D56" s="71"/>
      <c r="E56" s="71" t="s">
        <v>1215</v>
      </c>
      <c r="F56" s="71" t="s">
        <v>1346</v>
      </c>
    </row>
    <row r="57" spans="1:6" x14ac:dyDescent="0.3">
      <c r="A57" s="69">
        <v>260</v>
      </c>
      <c r="B57" s="70" t="s">
        <v>536</v>
      </c>
      <c r="C57" s="70" t="s">
        <v>537</v>
      </c>
      <c r="D57" s="70" t="s">
        <v>309</v>
      </c>
      <c r="E57" s="69" t="s">
        <v>1215</v>
      </c>
      <c r="F57" s="70" t="s">
        <v>1346</v>
      </c>
    </row>
    <row r="58" spans="1:6" x14ac:dyDescent="0.3">
      <c r="A58" s="71">
        <v>161</v>
      </c>
      <c r="B58" s="72" t="s">
        <v>345</v>
      </c>
      <c r="C58" s="72" t="s">
        <v>346</v>
      </c>
      <c r="D58" s="71" t="s">
        <v>85</v>
      </c>
      <c r="E58" s="71" t="s">
        <v>1215</v>
      </c>
      <c r="F58" s="71" t="s">
        <v>1346</v>
      </c>
    </row>
    <row r="59" spans="1:6" x14ac:dyDescent="0.3">
      <c r="A59" s="69">
        <v>371</v>
      </c>
      <c r="B59" s="70" t="s">
        <v>788</v>
      </c>
      <c r="C59" s="70" t="s">
        <v>789</v>
      </c>
      <c r="D59" s="70" t="s">
        <v>790</v>
      </c>
      <c r="E59" s="69" t="s">
        <v>1215</v>
      </c>
      <c r="F59" s="70" t="s">
        <v>1346</v>
      </c>
    </row>
    <row r="60" spans="1:6" x14ac:dyDescent="0.3">
      <c r="A60" s="71">
        <v>125</v>
      </c>
      <c r="B60" s="72" t="s">
        <v>279</v>
      </c>
      <c r="C60" s="72"/>
      <c r="D60" s="71"/>
      <c r="E60" s="71" t="s">
        <v>1215</v>
      </c>
      <c r="F60" s="71" t="s">
        <v>1346</v>
      </c>
    </row>
    <row r="61" spans="1:6" x14ac:dyDescent="0.3">
      <c r="A61" s="69">
        <v>289</v>
      </c>
      <c r="B61" s="70" t="s">
        <v>601</v>
      </c>
      <c r="C61" s="70" t="s">
        <v>602</v>
      </c>
      <c r="D61" s="70" t="s">
        <v>603</v>
      </c>
      <c r="E61" s="69" t="s">
        <v>1215</v>
      </c>
      <c r="F61" s="70" t="s">
        <v>1346</v>
      </c>
    </row>
    <row r="62" spans="1:6" x14ac:dyDescent="0.3">
      <c r="A62" s="71">
        <v>38</v>
      </c>
      <c r="B62" s="72" t="s">
        <v>121</v>
      </c>
      <c r="C62" s="72"/>
      <c r="D62" s="71" t="s">
        <v>1297</v>
      </c>
      <c r="E62" s="71" t="s">
        <v>1215</v>
      </c>
      <c r="F62" s="71" t="s">
        <v>1346</v>
      </c>
    </row>
    <row r="63" spans="1:6" x14ac:dyDescent="0.3">
      <c r="A63" s="69">
        <v>7</v>
      </c>
      <c r="B63" s="70" t="s">
        <v>52</v>
      </c>
      <c r="C63" s="70"/>
      <c r="D63" s="70" t="s">
        <v>48</v>
      </c>
      <c r="E63" s="69" t="s">
        <v>1215</v>
      </c>
      <c r="F63" s="70" t="s">
        <v>1346</v>
      </c>
    </row>
    <row r="64" spans="1:6" x14ac:dyDescent="0.3">
      <c r="A64" s="71">
        <v>174</v>
      </c>
      <c r="B64" s="72" t="s">
        <v>372</v>
      </c>
      <c r="C64" s="72" t="s">
        <v>373</v>
      </c>
      <c r="D64" s="71" t="s">
        <v>48</v>
      </c>
      <c r="E64" s="71" t="s">
        <v>1215</v>
      </c>
      <c r="F64" s="71" t="s">
        <v>1346</v>
      </c>
    </row>
    <row r="65" spans="1:6" x14ac:dyDescent="0.3">
      <c r="A65" s="69">
        <v>229</v>
      </c>
      <c r="B65" s="70" t="s">
        <v>477</v>
      </c>
      <c r="C65" s="70" t="s">
        <v>478</v>
      </c>
      <c r="D65" s="70" t="s">
        <v>479</v>
      </c>
      <c r="E65" s="69" t="s">
        <v>1215</v>
      </c>
      <c r="F65" s="70" t="s">
        <v>1346</v>
      </c>
    </row>
    <row r="66" spans="1:6" x14ac:dyDescent="0.3">
      <c r="A66" s="71">
        <v>567</v>
      </c>
      <c r="B66" s="72" t="s">
        <v>1156</v>
      </c>
      <c r="C66" s="72" t="s">
        <v>1157</v>
      </c>
      <c r="D66" s="71"/>
      <c r="E66" s="71" t="s">
        <v>1215</v>
      </c>
      <c r="F66" s="71" t="s">
        <v>1346</v>
      </c>
    </row>
    <row r="67" spans="1:6" x14ac:dyDescent="0.3">
      <c r="A67" s="69">
        <v>443</v>
      </c>
      <c r="B67" s="70" t="s">
        <v>935</v>
      </c>
      <c r="C67" s="70" t="s">
        <v>936</v>
      </c>
      <c r="D67" s="70"/>
      <c r="E67" s="69" t="s">
        <v>1215</v>
      </c>
      <c r="F67" s="70" t="s">
        <v>1346</v>
      </c>
    </row>
    <row r="68" spans="1:6" x14ac:dyDescent="0.3">
      <c r="A68" s="71">
        <v>227</v>
      </c>
      <c r="B68" s="72" t="s">
        <v>472</v>
      </c>
      <c r="C68" s="72" t="s">
        <v>473</v>
      </c>
      <c r="D68" s="71" t="s">
        <v>335</v>
      </c>
      <c r="E68" s="71" t="s">
        <v>1215</v>
      </c>
      <c r="F68" s="71" t="s">
        <v>1346</v>
      </c>
    </row>
    <row r="69" spans="1:6" x14ac:dyDescent="0.3">
      <c r="A69" s="69">
        <v>507</v>
      </c>
      <c r="B69" s="70" t="s">
        <v>1050</v>
      </c>
      <c r="C69" s="70" t="s">
        <v>1051</v>
      </c>
      <c r="D69" s="70"/>
      <c r="E69" s="69" t="s">
        <v>1215</v>
      </c>
      <c r="F69" s="70" t="s">
        <v>1346</v>
      </c>
    </row>
    <row r="70" spans="1:6" x14ac:dyDescent="0.3">
      <c r="A70" s="71">
        <v>578</v>
      </c>
      <c r="B70" s="72" t="s">
        <v>1173</v>
      </c>
      <c r="C70" s="72" t="s">
        <v>1174</v>
      </c>
      <c r="D70" s="71"/>
      <c r="E70" s="71" t="s">
        <v>1215</v>
      </c>
      <c r="F70" s="71" t="s">
        <v>1346</v>
      </c>
    </row>
    <row r="71" spans="1:6" x14ac:dyDescent="0.3">
      <c r="A71" s="69">
        <v>235</v>
      </c>
      <c r="B71" s="70" t="s">
        <v>488</v>
      </c>
      <c r="C71" s="70" t="s">
        <v>489</v>
      </c>
      <c r="D71" s="70" t="s">
        <v>213</v>
      </c>
      <c r="E71" s="69" t="s">
        <v>1215</v>
      </c>
      <c r="F71" s="70" t="s">
        <v>1346</v>
      </c>
    </row>
    <row r="72" spans="1:6" x14ac:dyDescent="0.3">
      <c r="A72" s="71">
        <v>463</v>
      </c>
      <c r="B72" s="72" t="s">
        <v>972</v>
      </c>
      <c r="C72" s="72" t="s">
        <v>973</v>
      </c>
      <c r="D72" s="71"/>
      <c r="E72" s="71" t="s">
        <v>1215</v>
      </c>
      <c r="F72" s="71" t="s">
        <v>1346</v>
      </c>
    </row>
    <row r="73" spans="1:6" x14ac:dyDescent="0.3">
      <c r="A73" s="69">
        <v>68</v>
      </c>
      <c r="B73" s="70" t="s">
        <v>186</v>
      </c>
      <c r="C73" s="70" t="s">
        <v>187</v>
      </c>
      <c r="D73" s="70" t="s">
        <v>188</v>
      </c>
      <c r="E73" s="69" t="s">
        <v>1215</v>
      </c>
      <c r="F73" s="70" t="s">
        <v>1346</v>
      </c>
    </row>
    <row r="74" spans="1:6" x14ac:dyDescent="0.3">
      <c r="A74" s="71">
        <v>325</v>
      </c>
      <c r="B74" s="72" t="s">
        <v>678</v>
      </c>
      <c r="C74" s="72" t="s">
        <v>679</v>
      </c>
      <c r="D74" s="71" t="s">
        <v>525</v>
      </c>
      <c r="E74" s="71" t="s">
        <v>1215</v>
      </c>
      <c r="F74" s="71" t="s">
        <v>1346</v>
      </c>
    </row>
    <row r="75" spans="1:6" x14ac:dyDescent="0.3">
      <c r="A75" s="69">
        <v>458</v>
      </c>
      <c r="B75" s="70" t="s">
        <v>963</v>
      </c>
      <c r="C75" s="70"/>
      <c r="D75" s="70"/>
      <c r="E75" s="69" t="s">
        <v>1215</v>
      </c>
      <c r="F75" s="70" t="s">
        <v>1346</v>
      </c>
    </row>
    <row r="76" spans="1:6" x14ac:dyDescent="0.3">
      <c r="A76" s="71">
        <v>8</v>
      </c>
      <c r="B76" s="72" t="s">
        <v>53</v>
      </c>
      <c r="C76" s="72" t="s">
        <v>54</v>
      </c>
      <c r="D76" s="71"/>
      <c r="E76" s="71" t="s">
        <v>1215</v>
      </c>
      <c r="F76" s="71" t="s">
        <v>1346</v>
      </c>
    </row>
    <row r="77" spans="1:6" x14ac:dyDescent="0.3">
      <c r="A77" s="69">
        <v>479</v>
      </c>
      <c r="B77" s="70" t="s">
        <v>999</v>
      </c>
      <c r="C77" s="70"/>
      <c r="D77" s="70"/>
      <c r="E77" s="69" t="s">
        <v>1215</v>
      </c>
      <c r="F77" s="70" t="s">
        <v>1346</v>
      </c>
    </row>
    <row r="78" spans="1:6" x14ac:dyDescent="0.3">
      <c r="A78" s="71">
        <v>72</v>
      </c>
      <c r="B78" s="72" t="s">
        <v>192</v>
      </c>
      <c r="C78" s="72"/>
      <c r="D78" s="71"/>
      <c r="E78" s="71" t="s">
        <v>1215</v>
      </c>
      <c r="F78" s="71" t="s">
        <v>1346</v>
      </c>
    </row>
    <row r="79" spans="1:6" x14ac:dyDescent="0.3">
      <c r="A79" s="69">
        <v>471</v>
      </c>
      <c r="B79" s="70" t="s">
        <v>988</v>
      </c>
      <c r="C79" s="70" t="s">
        <v>989</v>
      </c>
      <c r="D79" s="70"/>
      <c r="E79" s="69" t="s">
        <v>1215</v>
      </c>
      <c r="F79" s="70" t="s">
        <v>1346</v>
      </c>
    </row>
    <row r="80" spans="1:6" x14ac:dyDescent="0.3">
      <c r="A80" s="71">
        <v>596</v>
      </c>
      <c r="B80" s="72" t="s">
        <v>1202</v>
      </c>
      <c r="C80" s="72" t="s">
        <v>1203</v>
      </c>
      <c r="D80" s="71"/>
      <c r="E80" s="71" t="s">
        <v>1215</v>
      </c>
      <c r="F80" s="71" t="s">
        <v>1346</v>
      </c>
    </row>
    <row r="81" spans="1:6" x14ac:dyDescent="0.3">
      <c r="A81" s="69">
        <v>102</v>
      </c>
      <c r="B81" s="70" t="s">
        <v>238</v>
      </c>
      <c r="C81" s="70"/>
      <c r="D81" s="70"/>
      <c r="E81" s="69" t="s">
        <v>1215</v>
      </c>
      <c r="F81" s="70" t="s">
        <v>1346</v>
      </c>
    </row>
    <row r="82" spans="1:6" x14ac:dyDescent="0.3">
      <c r="A82" s="71">
        <v>351</v>
      </c>
      <c r="B82" s="72" t="s">
        <v>742</v>
      </c>
      <c r="C82" s="72" t="s">
        <v>743</v>
      </c>
      <c r="D82" s="71" t="s">
        <v>744</v>
      </c>
      <c r="E82" s="71" t="s">
        <v>1215</v>
      </c>
      <c r="F82" s="71" t="s">
        <v>1346</v>
      </c>
    </row>
    <row r="83" spans="1:6" x14ac:dyDescent="0.3">
      <c r="A83" s="69">
        <v>146</v>
      </c>
      <c r="B83" s="70" t="s">
        <v>317</v>
      </c>
      <c r="C83" s="70"/>
      <c r="D83" s="70"/>
      <c r="E83" s="69" t="s">
        <v>1215</v>
      </c>
      <c r="F83" s="70" t="s">
        <v>1346</v>
      </c>
    </row>
    <row r="84" spans="1:6" x14ac:dyDescent="0.3">
      <c r="A84" s="71">
        <v>93</v>
      </c>
      <c r="B84" s="72" t="s">
        <v>225</v>
      </c>
      <c r="C84" s="72"/>
      <c r="D84" s="71"/>
      <c r="E84" s="71" t="s">
        <v>1215</v>
      </c>
      <c r="F84" s="71" t="s">
        <v>1346</v>
      </c>
    </row>
    <row r="85" spans="1:6" x14ac:dyDescent="0.3">
      <c r="A85" s="69">
        <v>384</v>
      </c>
      <c r="B85" s="70" t="s">
        <v>819</v>
      </c>
      <c r="C85" s="70" t="s">
        <v>820</v>
      </c>
      <c r="D85" s="70" t="s">
        <v>821</v>
      </c>
      <c r="E85" s="69" t="s">
        <v>1215</v>
      </c>
      <c r="F85" s="70" t="s">
        <v>1346</v>
      </c>
    </row>
    <row r="86" spans="1:6" x14ac:dyDescent="0.3">
      <c r="A86" s="71">
        <v>433</v>
      </c>
      <c r="B86" s="72" t="s">
        <v>916</v>
      </c>
      <c r="C86" s="72" t="s">
        <v>917</v>
      </c>
      <c r="D86" s="71"/>
      <c r="E86" s="71" t="s">
        <v>1215</v>
      </c>
      <c r="F86" s="71" t="s">
        <v>1346</v>
      </c>
    </row>
    <row r="87" spans="1:6" x14ac:dyDescent="0.3">
      <c r="A87" s="69">
        <v>470</v>
      </c>
      <c r="B87" s="70" t="s">
        <v>986</v>
      </c>
      <c r="C87" s="70" t="s">
        <v>987</v>
      </c>
      <c r="D87" s="70"/>
      <c r="E87" s="69" t="s">
        <v>1215</v>
      </c>
      <c r="F87" s="70" t="s">
        <v>1346</v>
      </c>
    </row>
    <row r="88" spans="1:6" x14ac:dyDescent="0.3">
      <c r="A88" s="71">
        <v>581</v>
      </c>
      <c r="B88" s="72" t="s">
        <v>1179</v>
      </c>
      <c r="C88" s="72" t="s">
        <v>1180</v>
      </c>
      <c r="D88" s="71"/>
      <c r="E88" s="71" t="s">
        <v>1215</v>
      </c>
      <c r="F88" s="71" t="s">
        <v>1346</v>
      </c>
    </row>
    <row r="89" spans="1:6" x14ac:dyDescent="0.3">
      <c r="A89" s="69">
        <v>549</v>
      </c>
      <c r="B89" s="70" t="s">
        <v>1123</v>
      </c>
      <c r="C89" s="70" t="s">
        <v>1124</v>
      </c>
      <c r="D89" s="70"/>
      <c r="E89" s="69" t="s">
        <v>1215</v>
      </c>
      <c r="F89" s="70" t="s">
        <v>1346</v>
      </c>
    </row>
    <row r="90" spans="1:6" x14ac:dyDescent="0.3">
      <c r="A90" s="71">
        <v>9</v>
      </c>
      <c r="B90" s="72" t="s">
        <v>55</v>
      </c>
      <c r="C90" s="72"/>
      <c r="D90" s="71"/>
      <c r="E90" s="71" t="s">
        <v>1215</v>
      </c>
      <c r="F90" s="71" t="s">
        <v>1346</v>
      </c>
    </row>
    <row r="91" spans="1:6" x14ac:dyDescent="0.3">
      <c r="A91" s="69">
        <v>61</v>
      </c>
      <c r="B91" s="70" t="s">
        <v>172</v>
      </c>
      <c r="C91" s="70" t="s">
        <v>173</v>
      </c>
      <c r="D91" s="70" t="s">
        <v>174</v>
      </c>
      <c r="E91" s="69" t="s">
        <v>1215</v>
      </c>
      <c r="F91" s="70" t="s">
        <v>1346</v>
      </c>
    </row>
    <row r="92" spans="1:6" x14ac:dyDescent="0.3">
      <c r="A92" s="71">
        <v>380</v>
      </c>
      <c r="B92" s="72" t="s">
        <v>811</v>
      </c>
      <c r="C92" s="72" t="s">
        <v>812</v>
      </c>
      <c r="D92" s="71"/>
      <c r="E92" s="71" t="s">
        <v>1215</v>
      </c>
      <c r="F92" s="71" t="s">
        <v>1346</v>
      </c>
    </row>
    <row r="93" spans="1:6" x14ac:dyDescent="0.3">
      <c r="A93" s="69">
        <v>294</v>
      </c>
      <c r="B93" s="70" t="s">
        <v>613</v>
      </c>
      <c r="C93" s="70" t="s">
        <v>614</v>
      </c>
      <c r="D93" s="70" t="s">
        <v>615</v>
      </c>
      <c r="E93" s="69" t="s">
        <v>1215</v>
      </c>
      <c r="F93" s="70" t="s">
        <v>1346</v>
      </c>
    </row>
    <row r="94" spans="1:6" x14ac:dyDescent="0.3">
      <c r="A94" s="71">
        <v>265</v>
      </c>
      <c r="B94" s="72" t="s">
        <v>547</v>
      </c>
      <c r="C94" s="72" t="s">
        <v>548</v>
      </c>
      <c r="D94" s="71" t="s">
        <v>549</v>
      </c>
      <c r="E94" s="71" t="s">
        <v>1215</v>
      </c>
      <c r="F94" s="71" t="s">
        <v>1346</v>
      </c>
    </row>
    <row r="95" spans="1:6" x14ac:dyDescent="0.3">
      <c r="A95" s="69">
        <v>206</v>
      </c>
      <c r="B95" s="70" t="s">
        <v>433</v>
      </c>
      <c r="C95" s="70" t="s">
        <v>434</v>
      </c>
      <c r="D95" s="70" t="s">
        <v>417</v>
      </c>
      <c r="E95" s="69" t="s">
        <v>1215</v>
      </c>
      <c r="F95" s="70" t="s">
        <v>1346</v>
      </c>
    </row>
    <row r="96" spans="1:6" x14ac:dyDescent="0.3">
      <c r="A96" s="71">
        <v>288</v>
      </c>
      <c r="B96" s="72" t="s">
        <v>600</v>
      </c>
      <c r="C96" s="72"/>
      <c r="D96" s="71"/>
      <c r="E96" s="71" t="s">
        <v>1215</v>
      </c>
      <c r="F96" s="71" t="s">
        <v>1346</v>
      </c>
    </row>
    <row r="97" spans="1:6" x14ac:dyDescent="0.3">
      <c r="A97" s="69">
        <v>452</v>
      </c>
      <c r="B97" s="70" t="s">
        <v>952</v>
      </c>
      <c r="C97" s="70" t="s">
        <v>953</v>
      </c>
      <c r="D97" s="70"/>
      <c r="E97" s="69" t="s">
        <v>1215</v>
      </c>
      <c r="F97" s="70" t="s">
        <v>1346</v>
      </c>
    </row>
    <row r="98" spans="1:6" x14ac:dyDescent="0.3">
      <c r="A98" s="71">
        <v>137</v>
      </c>
      <c r="B98" s="72" t="s">
        <v>300</v>
      </c>
      <c r="C98" s="72" t="s">
        <v>301</v>
      </c>
      <c r="D98" s="71" t="s">
        <v>302</v>
      </c>
      <c r="E98" s="71" t="s">
        <v>1215</v>
      </c>
      <c r="F98" s="71" t="s">
        <v>1346</v>
      </c>
    </row>
    <row r="99" spans="1:6" x14ac:dyDescent="0.3">
      <c r="A99" s="69">
        <v>104</v>
      </c>
      <c r="B99" s="70" t="s">
        <v>239</v>
      </c>
      <c r="C99" s="70" t="s">
        <v>240</v>
      </c>
      <c r="D99" s="70" t="s">
        <v>241</v>
      </c>
      <c r="E99" s="69" t="s">
        <v>1215</v>
      </c>
      <c r="F99" s="70" t="s">
        <v>1346</v>
      </c>
    </row>
    <row r="100" spans="1:6" x14ac:dyDescent="0.3">
      <c r="A100" s="71">
        <v>191</v>
      </c>
      <c r="B100" s="72" t="s">
        <v>401</v>
      </c>
      <c r="C100" s="72" t="s">
        <v>402</v>
      </c>
      <c r="D100" s="71" t="s">
        <v>403</v>
      </c>
      <c r="E100" s="71" t="s">
        <v>1215</v>
      </c>
      <c r="F100" s="71" t="s">
        <v>1346</v>
      </c>
    </row>
    <row r="101" spans="1:6" x14ac:dyDescent="0.3">
      <c r="A101" s="69">
        <v>339</v>
      </c>
      <c r="B101" s="70" t="s">
        <v>711</v>
      </c>
      <c r="C101" s="70" t="s">
        <v>712</v>
      </c>
      <c r="D101" s="70" t="s">
        <v>713</v>
      </c>
      <c r="E101" s="69" t="s">
        <v>1215</v>
      </c>
      <c r="F101" s="70" t="s">
        <v>1346</v>
      </c>
    </row>
    <row r="102" spans="1:6" x14ac:dyDescent="0.3">
      <c r="A102" s="71">
        <v>165</v>
      </c>
      <c r="B102" s="72" t="s">
        <v>353</v>
      </c>
      <c r="C102" s="72" t="s">
        <v>354</v>
      </c>
      <c r="D102" s="71" t="s">
        <v>355</v>
      </c>
      <c r="E102" s="71" t="s">
        <v>1215</v>
      </c>
      <c r="F102" s="71" t="s">
        <v>1346</v>
      </c>
    </row>
    <row r="103" spans="1:6" x14ac:dyDescent="0.3">
      <c r="A103" s="69">
        <v>209</v>
      </c>
      <c r="B103" s="70" t="s">
        <v>439</v>
      </c>
      <c r="C103" s="70" t="s">
        <v>440</v>
      </c>
      <c r="D103" s="70" t="s">
        <v>275</v>
      </c>
      <c r="E103" s="69" t="s">
        <v>1215</v>
      </c>
      <c r="F103" s="70" t="s">
        <v>1346</v>
      </c>
    </row>
    <row r="104" spans="1:6" x14ac:dyDescent="0.3">
      <c r="A104" s="71">
        <v>10</v>
      </c>
      <c r="B104" s="72" t="s">
        <v>56</v>
      </c>
      <c r="C104" s="72" t="s">
        <v>57</v>
      </c>
      <c r="D104" s="71" t="s">
        <v>58</v>
      </c>
      <c r="E104" s="71" t="s">
        <v>1215</v>
      </c>
      <c r="F104" s="71" t="s">
        <v>1346</v>
      </c>
    </row>
    <row r="105" spans="1:6" x14ac:dyDescent="0.3">
      <c r="A105" s="69">
        <v>368</v>
      </c>
      <c r="B105" s="70" t="s">
        <v>780</v>
      </c>
      <c r="C105" s="70" t="s">
        <v>781</v>
      </c>
      <c r="D105" s="70" t="s">
        <v>51</v>
      </c>
      <c r="E105" s="69" t="s">
        <v>1215</v>
      </c>
      <c r="F105" s="70" t="s">
        <v>1346</v>
      </c>
    </row>
    <row r="106" spans="1:6" x14ac:dyDescent="0.3">
      <c r="A106" s="71">
        <v>301</v>
      </c>
      <c r="B106" s="72" t="s">
        <v>625</v>
      </c>
      <c r="C106" s="72" t="s">
        <v>626</v>
      </c>
      <c r="D106" s="71" t="s">
        <v>48</v>
      </c>
      <c r="E106" s="71" t="s">
        <v>1215</v>
      </c>
      <c r="F106" s="71" t="s">
        <v>1346</v>
      </c>
    </row>
    <row r="107" spans="1:6" x14ac:dyDescent="0.3">
      <c r="A107" s="69">
        <v>342</v>
      </c>
      <c r="B107" s="70" t="s">
        <v>719</v>
      </c>
      <c r="C107" s="70" t="s">
        <v>720</v>
      </c>
      <c r="D107" s="70" t="s">
        <v>721</v>
      </c>
      <c r="E107" s="69" t="s">
        <v>1215</v>
      </c>
      <c r="F107" s="70" t="s">
        <v>1346</v>
      </c>
    </row>
    <row r="108" spans="1:6" x14ac:dyDescent="0.3">
      <c r="A108" s="71">
        <v>556</v>
      </c>
      <c r="B108" s="72" t="s">
        <v>1137</v>
      </c>
      <c r="C108" s="72" t="s">
        <v>1138</v>
      </c>
      <c r="D108" s="71"/>
      <c r="E108" s="71" t="s">
        <v>1215</v>
      </c>
      <c r="F108" s="71" t="s">
        <v>1346</v>
      </c>
    </row>
    <row r="109" spans="1:6" x14ac:dyDescent="0.3">
      <c r="A109" s="69">
        <v>283</v>
      </c>
      <c r="B109" s="70" t="s">
        <v>590</v>
      </c>
      <c r="C109" s="70" t="s">
        <v>591</v>
      </c>
      <c r="D109" s="70" t="s">
        <v>592</v>
      </c>
      <c r="E109" s="69" t="s">
        <v>1215</v>
      </c>
      <c r="F109" s="70" t="s">
        <v>1346</v>
      </c>
    </row>
    <row r="110" spans="1:6" x14ac:dyDescent="0.3">
      <c r="A110" s="71">
        <v>109</v>
      </c>
      <c r="B110" s="72" t="s">
        <v>248</v>
      </c>
      <c r="C110" s="72" t="s">
        <v>249</v>
      </c>
      <c r="D110" s="71" t="s">
        <v>250</v>
      </c>
      <c r="E110" s="71" t="s">
        <v>1215</v>
      </c>
      <c r="F110" s="71" t="s">
        <v>1346</v>
      </c>
    </row>
    <row r="111" spans="1:6" x14ac:dyDescent="0.3">
      <c r="A111" s="69">
        <v>115</v>
      </c>
      <c r="B111" s="70" t="s">
        <v>260</v>
      </c>
      <c r="C111" s="70" t="s">
        <v>261</v>
      </c>
      <c r="D111" s="70" t="s">
        <v>262</v>
      </c>
      <c r="E111" s="69" t="s">
        <v>1215</v>
      </c>
      <c r="F111" s="70" t="s">
        <v>1346</v>
      </c>
    </row>
    <row r="112" spans="1:6" x14ac:dyDescent="0.3">
      <c r="A112" s="71">
        <v>348</v>
      </c>
      <c r="B112" s="72" t="s">
        <v>736</v>
      </c>
      <c r="C112" s="72" t="s">
        <v>737</v>
      </c>
      <c r="D112" s="71"/>
      <c r="E112" s="71" t="s">
        <v>1215</v>
      </c>
      <c r="F112" s="71" t="s">
        <v>1346</v>
      </c>
    </row>
    <row r="113" spans="1:6" x14ac:dyDescent="0.3">
      <c r="A113" s="69">
        <v>47</v>
      </c>
      <c r="B113" s="70" t="s">
        <v>142</v>
      </c>
      <c r="C113" s="70" t="s">
        <v>143</v>
      </c>
      <c r="D113" s="70" t="s">
        <v>144</v>
      </c>
      <c r="E113" s="69" t="s">
        <v>1215</v>
      </c>
      <c r="F113" s="70" t="s">
        <v>1346</v>
      </c>
    </row>
    <row r="114" spans="1:6" x14ac:dyDescent="0.3">
      <c r="A114" s="71">
        <v>406</v>
      </c>
      <c r="B114" s="72" t="s">
        <v>861</v>
      </c>
      <c r="C114" s="72" t="s">
        <v>862</v>
      </c>
      <c r="D114" s="71" t="s">
        <v>48</v>
      </c>
      <c r="E114" s="71" t="s">
        <v>1215</v>
      </c>
      <c r="F114" s="71" t="s">
        <v>1346</v>
      </c>
    </row>
    <row r="115" spans="1:6" x14ac:dyDescent="0.3">
      <c r="A115" s="69">
        <v>499</v>
      </c>
      <c r="B115" s="70" t="s">
        <v>1035</v>
      </c>
      <c r="C115" s="70" t="s">
        <v>1036</v>
      </c>
      <c r="D115" s="70"/>
      <c r="E115" s="69" t="s">
        <v>1215</v>
      </c>
      <c r="F115" s="70" t="s">
        <v>1346</v>
      </c>
    </row>
    <row r="116" spans="1:6" x14ac:dyDescent="0.3">
      <c r="A116" s="71">
        <v>495</v>
      </c>
      <c r="B116" s="72" t="s">
        <v>1027</v>
      </c>
      <c r="C116" s="72" t="s">
        <v>1028</v>
      </c>
      <c r="D116" s="71"/>
      <c r="E116" s="71" t="s">
        <v>1215</v>
      </c>
      <c r="F116" s="71" t="s">
        <v>1346</v>
      </c>
    </row>
    <row r="117" spans="1:6" x14ac:dyDescent="0.3">
      <c r="A117" s="69">
        <v>500</v>
      </c>
      <c r="B117" s="70" t="s">
        <v>1037</v>
      </c>
      <c r="C117" s="70" t="s">
        <v>1038</v>
      </c>
      <c r="D117" s="70"/>
      <c r="E117" s="69" t="s">
        <v>1215</v>
      </c>
      <c r="F117" s="70" t="s">
        <v>1346</v>
      </c>
    </row>
    <row r="118" spans="1:6" x14ac:dyDescent="0.3">
      <c r="A118" s="71">
        <v>577</v>
      </c>
      <c r="B118" s="72" t="s">
        <v>1171</v>
      </c>
      <c r="C118" s="72" t="s">
        <v>1172</v>
      </c>
      <c r="D118" s="71"/>
      <c r="E118" s="71" t="s">
        <v>1215</v>
      </c>
      <c r="F118" s="71" t="s">
        <v>1346</v>
      </c>
    </row>
    <row r="119" spans="1:6" x14ac:dyDescent="0.3">
      <c r="A119" s="69">
        <v>484</v>
      </c>
      <c r="B119" s="70" t="s">
        <v>1007</v>
      </c>
      <c r="C119" s="70" t="s">
        <v>1008</v>
      </c>
      <c r="D119" s="70"/>
      <c r="E119" s="69" t="s">
        <v>1215</v>
      </c>
      <c r="F119" s="70" t="s">
        <v>1346</v>
      </c>
    </row>
    <row r="120" spans="1:6" x14ac:dyDescent="0.3">
      <c r="A120" s="71">
        <v>493</v>
      </c>
      <c r="B120" s="72" t="s">
        <v>1023</v>
      </c>
      <c r="C120" s="72" t="s">
        <v>1024</v>
      </c>
      <c r="D120" s="71"/>
      <c r="E120" s="71" t="s">
        <v>1215</v>
      </c>
      <c r="F120" s="71" t="s">
        <v>1346</v>
      </c>
    </row>
    <row r="121" spans="1:6" x14ac:dyDescent="0.3">
      <c r="A121" s="69">
        <v>159</v>
      </c>
      <c r="B121" s="70" t="s">
        <v>342</v>
      </c>
      <c r="C121" s="70"/>
      <c r="D121" s="70"/>
      <c r="E121" s="69" t="s">
        <v>1215</v>
      </c>
      <c r="F121" s="70" t="s">
        <v>1346</v>
      </c>
    </row>
    <row r="122" spans="1:6" x14ac:dyDescent="0.3">
      <c r="A122" s="71">
        <v>421</v>
      </c>
      <c r="B122" s="72" t="s">
        <v>894</v>
      </c>
      <c r="C122" s="72"/>
      <c r="D122" s="71"/>
      <c r="E122" s="71" t="s">
        <v>1215</v>
      </c>
      <c r="F122" s="71" t="s">
        <v>1346</v>
      </c>
    </row>
    <row r="123" spans="1:6" x14ac:dyDescent="0.3">
      <c r="A123" s="69">
        <v>88</v>
      </c>
      <c r="B123" s="70" t="s">
        <v>217</v>
      </c>
      <c r="C123" s="70"/>
      <c r="D123" s="70"/>
      <c r="E123" s="69" t="s">
        <v>1215</v>
      </c>
      <c r="F123" s="70" t="s">
        <v>1346</v>
      </c>
    </row>
    <row r="124" spans="1:6" x14ac:dyDescent="0.3">
      <c r="A124" s="71">
        <v>321</v>
      </c>
      <c r="B124" s="72" t="s">
        <v>669</v>
      </c>
      <c r="C124" s="72" t="s">
        <v>670</v>
      </c>
      <c r="D124" s="71" t="s">
        <v>671</v>
      </c>
      <c r="E124" s="71" t="s">
        <v>1215</v>
      </c>
      <c r="F124" s="71" t="s">
        <v>1346</v>
      </c>
    </row>
    <row r="125" spans="1:6" x14ac:dyDescent="0.3">
      <c r="A125" s="69">
        <v>530</v>
      </c>
      <c r="B125" s="70" t="s">
        <v>1089</v>
      </c>
      <c r="C125" s="70" t="s">
        <v>1090</v>
      </c>
      <c r="D125" s="70"/>
      <c r="E125" s="69" t="s">
        <v>1215</v>
      </c>
      <c r="F125" s="70" t="s">
        <v>1346</v>
      </c>
    </row>
    <row r="126" spans="1:6" x14ac:dyDescent="0.3">
      <c r="A126" s="71">
        <v>618</v>
      </c>
      <c r="B126" s="72" t="s">
        <v>1338</v>
      </c>
      <c r="C126" s="72" t="s">
        <v>1339</v>
      </c>
      <c r="D126" s="71"/>
      <c r="E126" s="71" t="s">
        <v>1215</v>
      </c>
      <c r="F126" s="71" t="s">
        <v>1346</v>
      </c>
    </row>
    <row r="127" spans="1:6" x14ac:dyDescent="0.3">
      <c r="A127" s="69">
        <v>372</v>
      </c>
      <c r="B127" s="70" t="s">
        <v>791</v>
      </c>
      <c r="C127" s="70" t="s">
        <v>792</v>
      </c>
      <c r="D127" s="70" t="s">
        <v>793</v>
      </c>
      <c r="E127" s="69" t="s">
        <v>1215</v>
      </c>
      <c r="F127" s="70" t="s">
        <v>1346</v>
      </c>
    </row>
    <row r="128" spans="1:6" x14ac:dyDescent="0.3">
      <c r="A128" s="71">
        <v>541</v>
      </c>
      <c r="B128" s="72" t="s">
        <v>1107</v>
      </c>
      <c r="C128" s="72" t="s">
        <v>1108</v>
      </c>
      <c r="D128" s="71"/>
      <c r="E128" s="71" t="s">
        <v>1215</v>
      </c>
      <c r="F128" s="71" t="s">
        <v>1346</v>
      </c>
    </row>
    <row r="129" spans="1:6" x14ac:dyDescent="0.3">
      <c r="A129" s="69">
        <v>501</v>
      </c>
      <c r="B129" s="70" t="s">
        <v>1039</v>
      </c>
      <c r="C129" s="70" t="s">
        <v>1040</v>
      </c>
      <c r="D129" s="70"/>
      <c r="E129" s="69" t="s">
        <v>1215</v>
      </c>
      <c r="F129" s="70" t="s">
        <v>1346</v>
      </c>
    </row>
    <row r="130" spans="1:6" x14ac:dyDescent="0.3">
      <c r="A130" s="71">
        <v>423</v>
      </c>
      <c r="B130" s="72" t="s">
        <v>898</v>
      </c>
      <c r="C130" s="72" t="s">
        <v>899</v>
      </c>
      <c r="D130" s="71"/>
      <c r="E130" s="71" t="s">
        <v>1215</v>
      </c>
      <c r="F130" s="71" t="s">
        <v>1346</v>
      </c>
    </row>
    <row r="131" spans="1:6" x14ac:dyDescent="0.3">
      <c r="A131" s="69">
        <v>442</v>
      </c>
      <c r="B131" s="70" t="s">
        <v>933</v>
      </c>
      <c r="C131" s="70" t="s">
        <v>934</v>
      </c>
      <c r="D131" s="70"/>
      <c r="E131" s="69" t="s">
        <v>1215</v>
      </c>
      <c r="F131" s="70" t="s">
        <v>1346</v>
      </c>
    </row>
    <row r="132" spans="1:6" x14ac:dyDescent="0.3">
      <c r="A132" s="71">
        <v>221</v>
      </c>
      <c r="B132" s="72" t="s">
        <v>461</v>
      </c>
      <c r="C132" s="72"/>
      <c r="D132" s="71" t="s">
        <v>462</v>
      </c>
      <c r="E132" s="71" t="s">
        <v>1215</v>
      </c>
      <c r="F132" s="71" t="s">
        <v>1346</v>
      </c>
    </row>
    <row r="133" spans="1:6" x14ac:dyDescent="0.3">
      <c r="A133" s="69">
        <v>143</v>
      </c>
      <c r="B133" s="70" t="s">
        <v>312</v>
      </c>
      <c r="C133" s="70"/>
      <c r="D133" s="70"/>
      <c r="E133" s="69" t="s">
        <v>1215</v>
      </c>
      <c r="F133" s="70" t="s">
        <v>1346</v>
      </c>
    </row>
    <row r="134" spans="1:6" x14ac:dyDescent="0.3">
      <c r="A134" s="71">
        <v>272</v>
      </c>
      <c r="B134" s="72" t="s">
        <v>567</v>
      </c>
      <c r="C134" s="72" t="s">
        <v>568</v>
      </c>
      <c r="D134" s="71" t="s">
        <v>403</v>
      </c>
      <c r="E134" s="71" t="s">
        <v>1215</v>
      </c>
      <c r="F134" s="71" t="s">
        <v>1346</v>
      </c>
    </row>
    <row r="135" spans="1:6" x14ac:dyDescent="0.3">
      <c r="A135" s="69">
        <v>122</v>
      </c>
      <c r="B135" s="70" t="s">
        <v>273</v>
      </c>
      <c r="C135" s="70" t="s">
        <v>274</v>
      </c>
      <c r="D135" s="70" t="s">
        <v>275</v>
      </c>
      <c r="E135" s="69" t="s">
        <v>1215</v>
      </c>
      <c r="F135" s="70" t="s">
        <v>1346</v>
      </c>
    </row>
    <row r="136" spans="1:6" x14ac:dyDescent="0.3">
      <c r="A136" s="71">
        <v>130</v>
      </c>
      <c r="B136" s="72" t="s">
        <v>288</v>
      </c>
      <c r="C136" s="72" t="s">
        <v>289</v>
      </c>
      <c r="D136" s="71"/>
      <c r="E136" s="71" t="s">
        <v>1215</v>
      </c>
      <c r="F136" s="71" t="s">
        <v>1346</v>
      </c>
    </row>
    <row r="137" spans="1:6" x14ac:dyDescent="0.3">
      <c r="A137" s="69">
        <v>285</v>
      </c>
      <c r="B137" s="70" t="s">
        <v>593</v>
      </c>
      <c r="C137" s="70" t="s">
        <v>594</v>
      </c>
      <c r="D137" s="70" t="s">
        <v>309</v>
      </c>
      <c r="E137" s="69" t="s">
        <v>1215</v>
      </c>
      <c r="F137" s="70" t="s">
        <v>1346</v>
      </c>
    </row>
    <row r="138" spans="1:6" x14ac:dyDescent="0.3">
      <c r="A138" s="71">
        <v>145</v>
      </c>
      <c r="B138" s="72" t="s">
        <v>315</v>
      </c>
      <c r="C138" s="72" t="s">
        <v>316</v>
      </c>
      <c r="D138" s="71" t="s">
        <v>92</v>
      </c>
      <c r="E138" s="71" t="s">
        <v>1215</v>
      </c>
      <c r="F138" s="71" t="s">
        <v>1346</v>
      </c>
    </row>
    <row r="139" spans="1:6" x14ac:dyDescent="0.3">
      <c r="A139" s="69">
        <v>124</v>
      </c>
      <c r="B139" s="70" t="s">
        <v>278</v>
      </c>
      <c r="C139" s="70"/>
      <c r="D139" s="70"/>
      <c r="E139" s="69" t="s">
        <v>1215</v>
      </c>
      <c r="F139" s="70" t="s">
        <v>1346</v>
      </c>
    </row>
    <row r="140" spans="1:6" x14ac:dyDescent="0.3">
      <c r="A140" s="71">
        <v>440</v>
      </c>
      <c r="B140" s="72" t="s">
        <v>929</v>
      </c>
      <c r="C140" s="72" t="s">
        <v>930</v>
      </c>
      <c r="D140" s="71"/>
      <c r="E140" s="71" t="s">
        <v>1215</v>
      </c>
      <c r="F140" s="71" t="s">
        <v>1346</v>
      </c>
    </row>
    <row r="141" spans="1:6" x14ac:dyDescent="0.3">
      <c r="A141" s="69">
        <v>514</v>
      </c>
      <c r="B141" s="70" t="s">
        <v>1063</v>
      </c>
      <c r="C141" s="70" t="s">
        <v>1064</v>
      </c>
      <c r="D141" s="70"/>
      <c r="E141" s="69" t="s">
        <v>1215</v>
      </c>
      <c r="F141" s="70" t="s">
        <v>1346</v>
      </c>
    </row>
    <row r="142" spans="1:6" x14ac:dyDescent="0.3">
      <c r="A142" s="71">
        <v>192</v>
      </c>
      <c r="B142" s="72" t="s">
        <v>404</v>
      </c>
      <c r="C142" s="72" t="s">
        <v>405</v>
      </c>
      <c r="D142" s="71" t="s">
        <v>406</v>
      </c>
      <c r="E142" s="71" t="s">
        <v>1215</v>
      </c>
      <c r="F142" s="71" t="s">
        <v>1346</v>
      </c>
    </row>
    <row r="143" spans="1:6" x14ac:dyDescent="0.3">
      <c r="A143" s="69">
        <v>296</v>
      </c>
      <c r="B143" s="70" t="s">
        <v>616</v>
      </c>
      <c r="C143" s="70"/>
      <c r="D143" s="70" t="s">
        <v>417</v>
      </c>
      <c r="E143" s="69" t="s">
        <v>1215</v>
      </c>
      <c r="F143" s="70" t="s">
        <v>1346</v>
      </c>
    </row>
    <row r="144" spans="1:6" x14ac:dyDescent="0.3">
      <c r="A144" s="71">
        <v>319</v>
      </c>
      <c r="B144" s="72" t="s">
        <v>663</v>
      </c>
      <c r="C144" s="72" t="s">
        <v>664</v>
      </c>
      <c r="D144" s="71" t="s">
        <v>665</v>
      </c>
      <c r="E144" s="71" t="s">
        <v>1215</v>
      </c>
      <c r="F144" s="71" t="s">
        <v>1346</v>
      </c>
    </row>
    <row r="145" spans="1:6" x14ac:dyDescent="0.3">
      <c r="A145" s="69">
        <v>595</v>
      </c>
      <c r="B145" s="70" t="s">
        <v>1200</v>
      </c>
      <c r="C145" s="70" t="s">
        <v>1201</v>
      </c>
      <c r="D145" s="70"/>
      <c r="E145" s="69" t="s">
        <v>1215</v>
      </c>
      <c r="F145" s="70" t="s">
        <v>1346</v>
      </c>
    </row>
    <row r="146" spans="1:6" x14ac:dyDescent="0.3">
      <c r="A146" s="71">
        <v>575</v>
      </c>
      <c r="B146" s="72" t="s">
        <v>1167</v>
      </c>
      <c r="C146" s="72" t="s">
        <v>1168</v>
      </c>
      <c r="D146" s="71"/>
      <c r="E146" s="71" t="s">
        <v>1215</v>
      </c>
      <c r="F146" s="71" t="s">
        <v>1346</v>
      </c>
    </row>
    <row r="147" spans="1:6" x14ac:dyDescent="0.3">
      <c r="A147" s="69">
        <v>570</v>
      </c>
      <c r="B147" s="70" t="s">
        <v>1161</v>
      </c>
      <c r="C147" s="70" t="s">
        <v>1162</v>
      </c>
      <c r="D147" s="70"/>
      <c r="E147" s="69" t="s">
        <v>1215</v>
      </c>
      <c r="F147" s="70" t="s">
        <v>1346</v>
      </c>
    </row>
    <row r="148" spans="1:6" x14ac:dyDescent="0.3">
      <c r="A148" s="71">
        <v>147</v>
      </c>
      <c r="B148" s="72" t="s">
        <v>318</v>
      </c>
      <c r="C148" s="72" t="s">
        <v>319</v>
      </c>
      <c r="D148" s="71" t="s">
        <v>85</v>
      </c>
      <c r="E148" s="71" t="s">
        <v>1215</v>
      </c>
      <c r="F148" s="71" t="s">
        <v>1346</v>
      </c>
    </row>
    <row r="149" spans="1:6" x14ac:dyDescent="0.3">
      <c r="A149" s="69">
        <v>208</v>
      </c>
      <c r="B149" s="70" t="s">
        <v>437</v>
      </c>
      <c r="C149" s="70" t="s">
        <v>438</v>
      </c>
      <c r="D149" s="70" t="s">
        <v>202</v>
      </c>
      <c r="E149" s="69" t="s">
        <v>1215</v>
      </c>
      <c r="F149" s="70" t="s">
        <v>1346</v>
      </c>
    </row>
    <row r="150" spans="1:6" x14ac:dyDescent="0.3">
      <c r="A150" s="71">
        <v>11</v>
      </c>
      <c r="B150" s="72" t="s">
        <v>59</v>
      </c>
      <c r="C150" s="72" t="s">
        <v>60</v>
      </c>
      <c r="D150" s="71" t="s">
        <v>61</v>
      </c>
      <c r="E150" s="71" t="s">
        <v>1215</v>
      </c>
      <c r="F150" s="71" t="s">
        <v>1346</v>
      </c>
    </row>
    <row r="151" spans="1:6" x14ac:dyDescent="0.3">
      <c r="A151" s="69">
        <v>434</v>
      </c>
      <c r="B151" s="70" t="s">
        <v>918</v>
      </c>
      <c r="C151" s="70" t="s">
        <v>919</v>
      </c>
      <c r="D151" s="70"/>
      <c r="E151" s="69" t="s">
        <v>1215</v>
      </c>
      <c r="F151" s="70" t="s">
        <v>1346</v>
      </c>
    </row>
    <row r="152" spans="1:6" x14ac:dyDescent="0.3">
      <c r="A152" s="71">
        <v>620</v>
      </c>
      <c r="B152" s="72" t="s">
        <v>1332</v>
      </c>
      <c r="C152" s="72" t="s">
        <v>1333</v>
      </c>
      <c r="D152" s="71"/>
      <c r="E152" s="71" t="s">
        <v>1215</v>
      </c>
      <c r="F152" s="71" t="s">
        <v>1346</v>
      </c>
    </row>
    <row r="153" spans="1:6" x14ac:dyDescent="0.3">
      <c r="A153" s="69">
        <v>92</v>
      </c>
      <c r="B153" s="70" t="s">
        <v>223</v>
      </c>
      <c r="C153" s="70" t="s">
        <v>224</v>
      </c>
      <c r="D153" s="70" t="s">
        <v>61</v>
      </c>
      <c r="E153" s="69" t="s">
        <v>1215</v>
      </c>
      <c r="F153" s="70" t="s">
        <v>1346</v>
      </c>
    </row>
    <row r="154" spans="1:6" x14ac:dyDescent="0.3">
      <c r="A154" s="71">
        <v>357</v>
      </c>
      <c r="B154" s="72" t="s">
        <v>756</v>
      </c>
      <c r="C154" s="72"/>
      <c r="D154" s="71"/>
      <c r="E154" s="71" t="s">
        <v>1215</v>
      </c>
      <c r="F154" s="71" t="s">
        <v>1346</v>
      </c>
    </row>
    <row r="155" spans="1:6" x14ac:dyDescent="0.3">
      <c r="A155" s="69">
        <v>236</v>
      </c>
      <c r="B155" s="70" t="s">
        <v>490</v>
      </c>
      <c r="C155" s="70"/>
      <c r="D155" s="70"/>
      <c r="E155" s="69" t="s">
        <v>1215</v>
      </c>
      <c r="F155" s="70" t="s">
        <v>1346</v>
      </c>
    </row>
    <row r="156" spans="1:6" x14ac:dyDescent="0.3">
      <c r="A156" s="71">
        <v>608</v>
      </c>
      <c r="B156" s="72" t="s">
        <v>1319</v>
      </c>
      <c r="C156" s="72" t="s">
        <v>1320</v>
      </c>
      <c r="D156" s="71"/>
      <c r="E156" s="71" t="s">
        <v>1215</v>
      </c>
      <c r="F156" s="71" t="s">
        <v>1346</v>
      </c>
    </row>
    <row r="157" spans="1:6" x14ac:dyDescent="0.3">
      <c r="A157" s="69">
        <v>352</v>
      </c>
      <c r="B157" s="70" t="s">
        <v>745</v>
      </c>
      <c r="C157" s="70" t="s">
        <v>746</v>
      </c>
      <c r="D157" s="70" t="s">
        <v>747</v>
      </c>
      <c r="E157" s="69" t="s">
        <v>1215</v>
      </c>
      <c r="F157" s="70" t="s">
        <v>1346</v>
      </c>
    </row>
    <row r="158" spans="1:6" x14ac:dyDescent="0.3">
      <c r="A158" s="71">
        <v>251</v>
      </c>
      <c r="B158" s="72" t="s">
        <v>517</v>
      </c>
      <c r="C158" s="72" t="s">
        <v>518</v>
      </c>
      <c r="D158" s="71"/>
      <c r="E158" s="71" t="s">
        <v>1215</v>
      </c>
      <c r="F158" s="71" t="s">
        <v>1346</v>
      </c>
    </row>
    <row r="159" spans="1:6" x14ac:dyDescent="0.3">
      <c r="A159" s="69">
        <v>51</v>
      </c>
      <c r="B159" s="70" t="s">
        <v>153</v>
      </c>
      <c r="C159" s="70" t="s">
        <v>154</v>
      </c>
      <c r="D159" s="70" t="s">
        <v>61</v>
      </c>
      <c r="E159" s="69" t="s">
        <v>1215</v>
      </c>
      <c r="F159" s="70" t="s">
        <v>1346</v>
      </c>
    </row>
    <row r="160" spans="1:6" x14ac:dyDescent="0.3">
      <c r="A160" s="71">
        <v>387</v>
      </c>
      <c r="B160" s="72" t="s">
        <v>826</v>
      </c>
      <c r="C160" s="72" t="s">
        <v>827</v>
      </c>
      <c r="D160" s="71" t="s">
        <v>309</v>
      </c>
      <c r="E160" s="71" t="s">
        <v>1215</v>
      </c>
      <c r="F160" s="71" t="s">
        <v>1346</v>
      </c>
    </row>
    <row r="161" spans="1:6" x14ac:dyDescent="0.3">
      <c r="A161" s="69">
        <v>307</v>
      </c>
      <c r="B161" s="70" t="s">
        <v>639</v>
      </c>
      <c r="C161" s="70" t="s">
        <v>640</v>
      </c>
      <c r="D161" s="70" t="s">
        <v>309</v>
      </c>
      <c r="E161" s="69" t="s">
        <v>1215</v>
      </c>
      <c r="F161" s="70" t="s">
        <v>1346</v>
      </c>
    </row>
    <row r="162" spans="1:6" x14ac:dyDescent="0.3">
      <c r="A162" s="71">
        <v>521</v>
      </c>
      <c r="B162" s="72" t="s">
        <v>1075</v>
      </c>
      <c r="C162" s="72"/>
      <c r="D162" s="71"/>
      <c r="E162" s="71" t="s">
        <v>1215</v>
      </c>
      <c r="F162" s="71" t="s">
        <v>1346</v>
      </c>
    </row>
    <row r="163" spans="1:6" x14ac:dyDescent="0.3">
      <c r="A163" s="69">
        <v>510</v>
      </c>
      <c r="B163" s="70" t="s">
        <v>1055</v>
      </c>
      <c r="C163" s="70" t="s">
        <v>1056</v>
      </c>
      <c r="D163" s="70"/>
      <c r="E163" s="69" t="s">
        <v>1215</v>
      </c>
      <c r="F163" s="70" t="s">
        <v>1346</v>
      </c>
    </row>
    <row r="164" spans="1:6" x14ac:dyDescent="0.3">
      <c r="A164" s="71">
        <v>252</v>
      </c>
      <c r="B164" s="72" t="s">
        <v>519</v>
      </c>
      <c r="C164" s="72" t="s">
        <v>520</v>
      </c>
      <c r="D164" s="71"/>
      <c r="E164" s="71" t="s">
        <v>1215</v>
      </c>
      <c r="F164" s="71" t="s">
        <v>1346</v>
      </c>
    </row>
    <row r="165" spans="1:6" x14ac:dyDescent="0.3">
      <c r="A165" s="69">
        <v>588</v>
      </c>
      <c r="B165" s="70" t="s">
        <v>1191</v>
      </c>
      <c r="C165" s="70" t="s">
        <v>1192</v>
      </c>
      <c r="D165" s="70"/>
      <c r="E165" s="69" t="s">
        <v>1215</v>
      </c>
      <c r="F165" s="70" t="s">
        <v>1346</v>
      </c>
    </row>
    <row r="166" spans="1:6" x14ac:dyDescent="0.3">
      <c r="A166" s="71">
        <v>410</v>
      </c>
      <c r="B166" s="72" t="s">
        <v>869</v>
      </c>
      <c r="C166" s="72" t="s">
        <v>870</v>
      </c>
      <c r="D166" s="71" t="s">
        <v>174</v>
      </c>
      <c r="E166" s="71" t="s">
        <v>1215</v>
      </c>
      <c r="F166" s="71" t="s">
        <v>1346</v>
      </c>
    </row>
    <row r="167" spans="1:6" x14ac:dyDescent="0.3">
      <c r="A167" s="69">
        <v>293</v>
      </c>
      <c r="B167" s="70" t="s">
        <v>611</v>
      </c>
      <c r="C167" s="70" t="s">
        <v>612</v>
      </c>
      <c r="D167" s="70" t="s">
        <v>149</v>
      </c>
      <c r="E167" s="69" t="s">
        <v>1215</v>
      </c>
      <c r="F167" s="70" t="s">
        <v>1346</v>
      </c>
    </row>
    <row r="168" spans="1:6" x14ac:dyDescent="0.3">
      <c r="A168" s="71">
        <v>356</v>
      </c>
      <c r="B168" s="72" t="s">
        <v>753</v>
      </c>
      <c r="C168" s="72" t="s">
        <v>754</v>
      </c>
      <c r="D168" s="71" t="s">
        <v>755</v>
      </c>
      <c r="E168" s="71" t="s">
        <v>1215</v>
      </c>
      <c r="F168" s="71" t="s">
        <v>1346</v>
      </c>
    </row>
    <row r="169" spans="1:6" x14ac:dyDescent="0.3">
      <c r="A169" s="69">
        <v>366</v>
      </c>
      <c r="B169" s="70" t="s">
        <v>774</v>
      </c>
      <c r="C169" s="70" t="s">
        <v>775</v>
      </c>
      <c r="D169" s="70" t="s">
        <v>776</v>
      </c>
      <c r="E169" s="69" t="s">
        <v>1215</v>
      </c>
      <c r="F169" s="70" t="s">
        <v>1346</v>
      </c>
    </row>
    <row r="170" spans="1:6" x14ac:dyDescent="0.3">
      <c r="A170" s="71">
        <v>141</v>
      </c>
      <c r="B170" s="72" t="s">
        <v>308</v>
      </c>
      <c r="C170" s="72"/>
      <c r="D170" s="71" t="s">
        <v>309</v>
      </c>
      <c r="E170" s="71" t="s">
        <v>1215</v>
      </c>
      <c r="F170" s="71" t="s">
        <v>1346</v>
      </c>
    </row>
    <row r="171" spans="1:6" x14ac:dyDescent="0.3">
      <c r="A171" s="69">
        <v>77</v>
      </c>
      <c r="B171" s="70" t="s">
        <v>200</v>
      </c>
      <c r="C171" s="70" t="s">
        <v>201</v>
      </c>
      <c r="D171" s="70" t="s">
        <v>202</v>
      </c>
      <c r="E171" s="69" t="s">
        <v>1215</v>
      </c>
      <c r="F171" s="70" t="s">
        <v>1346</v>
      </c>
    </row>
    <row r="172" spans="1:6" x14ac:dyDescent="0.3">
      <c r="A172" s="71">
        <v>436</v>
      </c>
      <c r="B172" s="72" t="s">
        <v>921</v>
      </c>
      <c r="C172" s="72" t="s">
        <v>922</v>
      </c>
      <c r="D172" s="71"/>
      <c r="E172" s="71" t="s">
        <v>1215</v>
      </c>
      <c r="F172" s="71" t="s">
        <v>1346</v>
      </c>
    </row>
    <row r="173" spans="1:6" x14ac:dyDescent="0.3">
      <c r="A173" s="69">
        <v>425</v>
      </c>
      <c r="B173" s="70" t="s">
        <v>902</v>
      </c>
      <c r="C173" s="70" t="s">
        <v>903</v>
      </c>
      <c r="D173" s="70"/>
      <c r="E173" s="69" t="s">
        <v>1215</v>
      </c>
      <c r="F173" s="70" t="s">
        <v>1346</v>
      </c>
    </row>
    <row r="174" spans="1:6" x14ac:dyDescent="0.3">
      <c r="A174" s="71">
        <v>464</v>
      </c>
      <c r="B174" s="72" t="s">
        <v>974</v>
      </c>
      <c r="C174" s="72" t="s">
        <v>975</v>
      </c>
      <c r="D174" s="71"/>
      <c r="E174" s="71" t="s">
        <v>1215</v>
      </c>
      <c r="F174" s="71" t="s">
        <v>1346</v>
      </c>
    </row>
    <row r="175" spans="1:6" x14ac:dyDescent="0.3">
      <c r="A175" s="69">
        <v>600</v>
      </c>
      <c r="B175" s="70" t="s">
        <v>1209</v>
      </c>
      <c r="C175" s="70" t="s">
        <v>1210</v>
      </c>
      <c r="D175" s="70"/>
      <c r="E175" s="69" t="s">
        <v>1215</v>
      </c>
      <c r="F175" s="70" t="s">
        <v>1346</v>
      </c>
    </row>
    <row r="176" spans="1:6" x14ac:dyDescent="0.3">
      <c r="A176" s="71">
        <v>317</v>
      </c>
      <c r="B176" s="72" t="s">
        <v>658</v>
      </c>
      <c r="C176" s="72" t="s">
        <v>659</v>
      </c>
      <c r="D176" s="71" t="s">
        <v>660</v>
      </c>
      <c r="E176" s="71" t="s">
        <v>1215</v>
      </c>
      <c r="F176" s="71" t="s">
        <v>1346</v>
      </c>
    </row>
    <row r="177" spans="1:6" x14ac:dyDescent="0.3">
      <c r="A177" s="69">
        <v>52</v>
      </c>
      <c r="B177" s="70" t="s">
        <v>155</v>
      </c>
      <c r="C177" s="70" t="s">
        <v>156</v>
      </c>
      <c r="D177" s="70" t="s">
        <v>157</v>
      </c>
      <c r="E177" s="69" t="s">
        <v>1215</v>
      </c>
      <c r="F177" s="70" t="s">
        <v>1346</v>
      </c>
    </row>
    <row r="178" spans="1:6" x14ac:dyDescent="0.3">
      <c r="A178" s="71">
        <v>496</v>
      </c>
      <c r="B178" s="72" t="s">
        <v>1029</v>
      </c>
      <c r="C178" s="72" t="s">
        <v>1030</v>
      </c>
      <c r="D178" s="71"/>
      <c r="E178" s="71" t="s">
        <v>1215</v>
      </c>
      <c r="F178" s="71" t="s">
        <v>1346</v>
      </c>
    </row>
    <row r="179" spans="1:6" x14ac:dyDescent="0.3">
      <c r="A179" s="69">
        <v>535</v>
      </c>
      <c r="B179" s="70" t="s">
        <v>1097</v>
      </c>
      <c r="C179" s="70"/>
      <c r="D179" s="70"/>
      <c r="E179" s="69" t="s">
        <v>1215</v>
      </c>
      <c r="F179" s="70" t="s">
        <v>1346</v>
      </c>
    </row>
    <row r="180" spans="1:6" x14ac:dyDescent="0.3">
      <c r="A180" s="71">
        <v>279</v>
      </c>
      <c r="B180" s="72" t="s">
        <v>582</v>
      </c>
      <c r="C180" s="72" t="s">
        <v>583</v>
      </c>
      <c r="D180" s="71" t="s">
        <v>403</v>
      </c>
      <c r="E180" s="71" t="s">
        <v>1215</v>
      </c>
      <c r="F180" s="71" t="s">
        <v>1346</v>
      </c>
    </row>
    <row r="181" spans="1:6" x14ac:dyDescent="0.3">
      <c r="A181" s="69">
        <v>187</v>
      </c>
      <c r="B181" s="70" t="s">
        <v>392</v>
      </c>
      <c r="C181" s="70" t="s">
        <v>393</v>
      </c>
      <c r="D181" s="70" t="s">
        <v>188</v>
      </c>
      <c r="E181" s="69" t="s">
        <v>1215</v>
      </c>
      <c r="F181" s="70" t="s">
        <v>1346</v>
      </c>
    </row>
    <row r="182" spans="1:6" x14ac:dyDescent="0.3">
      <c r="A182" s="71">
        <v>466</v>
      </c>
      <c r="B182" s="72" t="s">
        <v>978</v>
      </c>
      <c r="C182" s="72" t="s">
        <v>979</v>
      </c>
      <c r="D182" s="71"/>
      <c r="E182" s="71" t="s">
        <v>1215</v>
      </c>
      <c r="F182" s="71" t="s">
        <v>1346</v>
      </c>
    </row>
    <row r="183" spans="1:6" x14ac:dyDescent="0.3">
      <c r="A183" s="69">
        <v>391</v>
      </c>
      <c r="B183" s="70" t="s">
        <v>833</v>
      </c>
      <c r="C183" s="70" t="s">
        <v>834</v>
      </c>
      <c r="D183" s="70" t="s">
        <v>309</v>
      </c>
      <c r="E183" s="69" t="s">
        <v>1215</v>
      </c>
      <c r="F183" s="70" t="s">
        <v>1346</v>
      </c>
    </row>
    <row r="184" spans="1:6" x14ac:dyDescent="0.3">
      <c r="A184" s="71">
        <v>382</v>
      </c>
      <c r="B184" s="72" t="s">
        <v>815</v>
      </c>
      <c r="C184" s="72" t="s">
        <v>816</v>
      </c>
      <c r="D184" s="71"/>
      <c r="E184" s="71" t="s">
        <v>1215</v>
      </c>
      <c r="F184" s="71" t="s">
        <v>1346</v>
      </c>
    </row>
    <row r="185" spans="1:6" x14ac:dyDescent="0.3">
      <c r="A185" s="69">
        <v>199</v>
      </c>
      <c r="B185" s="70" t="s">
        <v>421</v>
      </c>
      <c r="C185" s="70" t="s">
        <v>422</v>
      </c>
      <c r="D185" s="70" t="s">
        <v>1303</v>
      </c>
      <c r="E185" s="69" t="s">
        <v>1215</v>
      </c>
      <c r="F185" s="70" t="s">
        <v>1346</v>
      </c>
    </row>
    <row r="186" spans="1:6" x14ac:dyDescent="0.3">
      <c r="A186" s="71">
        <v>601</v>
      </c>
      <c r="B186" s="72" t="s">
        <v>1299</v>
      </c>
      <c r="C186" s="72" t="s">
        <v>1300</v>
      </c>
      <c r="D186" s="71"/>
      <c r="E186" s="71" t="s">
        <v>1215</v>
      </c>
      <c r="F186" s="71" t="s">
        <v>1346</v>
      </c>
    </row>
    <row r="187" spans="1:6" x14ac:dyDescent="0.3">
      <c r="A187" s="69">
        <v>238</v>
      </c>
      <c r="B187" s="70" t="s">
        <v>493</v>
      </c>
      <c r="C187" s="70" t="s">
        <v>494</v>
      </c>
      <c r="D187" s="70" t="s">
        <v>103</v>
      </c>
      <c r="E187" s="69" t="s">
        <v>1215</v>
      </c>
      <c r="F187" s="70" t="s">
        <v>1346</v>
      </c>
    </row>
    <row r="188" spans="1:6" x14ac:dyDescent="0.3">
      <c r="A188" s="71">
        <v>394</v>
      </c>
      <c r="B188" s="72" t="s">
        <v>838</v>
      </c>
      <c r="C188" s="72" t="s">
        <v>839</v>
      </c>
      <c r="D188" s="71" t="s">
        <v>779</v>
      </c>
      <c r="E188" s="71" t="s">
        <v>1215</v>
      </c>
      <c r="F188" s="71" t="s">
        <v>1346</v>
      </c>
    </row>
    <row r="189" spans="1:6" x14ac:dyDescent="0.3">
      <c r="A189" s="69">
        <v>12</v>
      </c>
      <c r="B189" s="70" t="s">
        <v>62</v>
      </c>
      <c r="C189" s="70" t="s">
        <v>63</v>
      </c>
      <c r="D189" s="70" t="s">
        <v>64</v>
      </c>
      <c r="E189" s="69" t="s">
        <v>1215</v>
      </c>
      <c r="F189" s="70" t="s">
        <v>1346</v>
      </c>
    </row>
    <row r="190" spans="1:6" x14ac:dyDescent="0.3">
      <c r="A190" s="71">
        <v>213</v>
      </c>
      <c r="B190" s="72" t="s">
        <v>446</v>
      </c>
      <c r="C190" s="72" t="s">
        <v>447</v>
      </c>
      <c r="D190" s="71" t="s">
        <v>149</v>
      </c>
      <c r="E190" s="71" t="s">
        <v>1215</v>
      </c>
      <c r="F190" s="71" t="s">
        <v>1346</v>
      </c>
    </row>
    <row r="191" spans="1:6" x14ac:dyDescent="0.3">
      <c r="A191" s="69">
        <v>175</v>
      </c>
      <c r="B191" s="70" t="s">
        <v>374</v>
      </c>
      <c r="C191" s="70"/>
      <c r="D191" s="70"/>
      <c r="E191" s="69" t="s">
        <v>1215</v>
      </c>
      <c r="F191" s="70" t="s">
        <v>1346</v>
      </c>
    </row>
    <row r="192" spans="1:6" x14ac:dyDescent="0.3">
      <c r="A192" s="71">
        <v>459</v>
      </c>
      <c r="B192" s="72" t="s">
        <v>964</v>
      </c>
      <c r="C192" s="72" t="s">
        <v>965</v>
      </c>
      <c r="D192" s="71"/>
      <c r="E192" s="71" t="s">
        <v>1215</v>
      </c>
      <c r="F192" s="71" t="s">
        <v>1346</v>
      </c>
    </row>
    <row r="193" spans="1:6" x14ac:dyDescent="0.3">
      <c r="A193" s="69">
        <v>226</v>
      </c>
      <c r="B193" s="70" t="s">
        <v>471</v>
      </c>
      <c r="C193" s="70"/>
      <c r="D193" s="70"/>
      <c r="E193" s="69" t="s">
        <v>1215</v>
      </c>
      <c r="F193" s="70" t="s">
        <v>1346</v>
      </c>
    </row>
    <row r="194" spans="1:6" x14ac:dyDescent="0.3">
      <c r="A194" s="71">
        <v>75</v>
      </c>
      <c r="B194" s="72" t="s">
        <v>196</v>
      </c>
      <c r="C194" s="72" t="s">
        <v>197</v>
      </c>
      <c r="D194" s="71" t="s">
        <v>85</v>
      </c>
      <c r="E194" s="71" t="s">
        <v>1215</v>
      </c>
      <c r="F194" s="71" t="s">
        <v>1346</v>
      </c>
    </row>
    <row r="195" spans="1:6" x14ac:dyDescent="0.3">
      <c r="A195" s="69">
        <v>27</v>
      </c>
      <c r="B195" s="70" t="s">
        <v>101</v>
      </c>
      <c r="C195" s="70" t="s">
        <v>102</v>
      </c>
      <c r="D195" s="70" t="s">
        <v>103</v>
      </c>
      <c r="E195" s="69" t="s">
        <v>1215</v>
      </c>
      <c r="F195" s="70" t="s">
        <v>1346</v>
      </c>
    </row>
    <row r="196" spans="1:6" x14ac:dyDescent="0.3">
      <c r="A196" s="71">
        <v>318</v>
      </c>
      <c r="B196" s="72" t="s">
        <v>661</v>
      </c>
      <c r="C196" s="72" t="s">
        <v>662</v>
      </c>
      <c r="D196" s="71" t="s">
        <v>335</v>
      </c>
      <c r="E196" s="71" t="s">
        <v>1215</v>
      </c>
      <c r="F196" s="71" t="s">
        <v>1346</v>
      </c>
    </row>
    <row r="197" spans="1:6" x14ac:dyDescent="0.3">
      <c r="A197" s="69">
        <v>551</v>
      </c>
      <c r="B197" s="70" t="s">
        <v>1127</v>
      </c>
      <c r="C197" s="70" t="s">
        <v>1128</v>
      </c>
      <c r="D197" s="70"/>
      <c r="E197" s="69" t="s">
        <v>1215</v>
      </c>
      <c r="F197" s="70" t="s">
        <v>1346</v>
      </c>
    </row>
    <row r="198" spans="1:6" x14ac:dyDescent="0.3">
      <c r="A198" s="71">
        <v>80</v>
      </c>
      <c r="B198" s="72" t="s">
        <v>206</v>
      </c>
      <c r="C198" s="72"/>
      <c r="D198" s="71"/>
      <c r="E198" s="71" t="s">
        <v>1215</v>
      </c>
      <c r="F198" s="71" t="s">
        <v>1346</v>
      </c>
    </row>
    <row r="199" spans="1:6" x14ac:dyDescent="0.3">
      <c r="A199" s="69">
        <v>78</v>
      </c>
      <c r="B199" s="70" t="s">
        <v>203</v>
      </c>
      <c r="C199" s="70" t="s">
        <v>204</v>
      </c>
      <c r="D199" s="70" t="s">
        <v>188</v>
      </c>
      <c r="E199" s="69" t="s">
        <v>1215</v>
      </c>
      <c r="F199" s="70" t="s">
        <v>1346</v>
      </c>
    </row>
    <row r="200" spans="1:6" x14ac:dyDescent="0.3">
      <c r="A200" s="71">
        <v>422</v>
      </c>
      <c r="B200" s="72" t="s">
        <v>895</v>
      </c>
      <c r="C200" s="72" t="s">
        <v>896</v>
      </c>
      <c r="D200" s="71" t="s">
        <v>897</v>
      </c>
      <c r="E200" s="71" t="s">
        <v>1215</v>
      </c>
      <c r="F200" s="71" t="s">
        <v>1346</v>
      </c>
    </row>
    <row r="201" spans="1:6" x14ac:dyDescent="0.3">
      <c r="A201" s="69">
        <v>529</v>
      </c>
      <c r="B201" s="70" t="s">
        <v>1087</v>
      </c>
      <c r="C201" s="70" t="s">
        <v>1088</v>
      </c>
      <c r="D201" s="70"/>
      <c r="E201" s="69" t="s">
        <v>1215</v>
      </c>
      <c r="F201" s="70" t="s">
        <v>1346</v>
      </c>
    </row>
    <row r="202" spans="1:6" x14ac:dyDescent="0.3">
      <c r="A202" s="71">
        <v>167</v>
      </c>
      <c r="B202" s="72" t="s">
        <v>358</v>
      </c>
      <c r="C202" s="72" t="s">
        <v>359</v>
      </c>
      <c r="D202" s="71" t="s">
        <v>355</v>
      </c>
      <c r="E202" s="71" t="s">
        <v>1215</v>
      </c>
      <c r="F202" s="71" t="s">
        <v>1346</v>
      </c>
    </row>
    <row r="203" spans="1:6" x14ac:dyDescent="0.3">
      <c r="A203" s="69">
        <v>168</v>
      </c>
      <c r="B203" s="70" t="s">
        <v>360</v>
      </c>
      <c r="C203" s="70"/>
      <c r="D203" s="70"/>
      <c r="E203" s="69" t="s">
        <v>1215</v>
      </c>
      <c r="F203" s="70" t="s">
        <v>1346</v>
      </c>
    </row>
    <row r="204" spans="1:6" x14ac:dyDescent="0.3">
      <c r="A204" s="71">
        <v>129</v>
      </c>
      <c r="B204" s="72" t="s">
        <v>287</v>
      </c>
      <c r="C204" s="72"/>
      <c r="D204" s="71"/>
      <c r="E204" s="71" t="s">
        <v>1215</v>
      </c>
      <c r="F204" s="71" t="s">
        <v>1346</v>
      </c>
    </row>
    <row r="205" spans="1:6" x14ac:dyDescent="0.3">
      <c r="A205" s="69">
        <v>154</v>
      </c>
      <c r="B205" s="70" t="s">
        <v>331</v>
      </c>
      <c r="C205" s="70" t="s">
        <v>332</v>
      </c>
      <c r="D205" s="70" t="s">
        <v>188</v>
      </c>
      <c r="E205" s="69" t="s">
        <v>1215</v>
      </c>
      <c r="F205" s="70" t="s">
        <v>1346</v>
      </c>
    </row>
    <row r="206" spans="1:6" x14ac:dyDescent="0.3">
      <c r="A206" s="71">
        <v>469</v>
      </c>
      <c r="B206" s="72" t="s">
        <v>984</v>
      </c>
      <c r="C206" s="72" t="s">
        <v>985</v>
      </c>
      <c r="D206" s="71"/>
      <c r="E206" s="71" t="s">
        <v>1215</v>
      </c>
      <c r="F206" s="71" t="s">
        <v>1346</v>
      </c>
    </row>
    <row r="207" spans="1:6" x14ac:dyDescent="0.3">
      <c r="A207" s="69">
        <v>302</v>
      </c>
      <c r="B207" s="70" t="s">
        <v>627</v>
      </c>
      <c r="C207" s="70" t="s">
        <v>628</v>
      </c>
      <c r="D207" s="70" t="s">
        <v>309</v>
      </c>
      <c r="E207" s="69" t="s">
        <v>1215</v>
      </c>
      <c r="F207" s="70" t="s">
        <v>1346</v>
      </c>
    </row>
    <row r="208" spans="1:6" x14ac:dyDescent="0.3">
      <c r="A208" s="71">
        <v>558</v>
      </c>
      <c r="B208" s="72" t="s">
        <v>1140</v>
      </c>
      <c r="C208" s="72"/>
      <c r="D208" s="71"/>
      <c r="E208" s="71" t="s">
        <v>1215</v>
      </c>
      <c r="F208" s="71" t="s">
        <v>1346</v>
      </c>
    </row>
    <row r="209" spans="1:6" x14ac:dyDescent="0.3">
      <c r="A209" s="69">
        <v>552</v>
      </c>
      <c r="B209" s="70" t="s">
        <v>1129</v>
      </c>
      <c r="C209" s="70" t="s">
        <v>1130</v>
      </c>
      <c r="D209" s="70"/>
      <c r="E209" s="69" t="s">
        <v>1215</v>
      </c>
      <c r="F209" s="70" t="s">
        <v>1346</v>
      </c>
    </row>
    <row r="210" spans="1:6" x14ac:dyDescent="0.3">
      <c r="A210" s="71">
        <v>525</v>
      </c>
      <c r="B210" s="72" t="s">
        <v>1080</v>
      </c>
      <c r="C210" s="72" t="s">
        <v>1081</v>
      </c>
      <c r="D210" s="71"/>
      <c r="E210" s="71" t="s">
        <v>1215</v>
      </c>
      <c r="F210" s="71" t="s">
        <v>1346</v>
      </c>
    </row>
    <row r="211" spans="1:6" x14ac:dyDescent="0.3">
      <c r="A211" s="69">
        <v>553</v>
      </c>
      <c r="B211" s="70" t="s">
        <v>1131</v>
      </c>
      <c r="C211" s="70" t="s">
        <v>1132</v>
      </c>
      <c r="D211" s="70"/>
      <c r="E211" s="69" t="s">
        <v>1215</v>
      </c>
      <c r="F211" s="70" t="s">
        <v>1346</v>
      </c>
    </row>
    <row r="212" spans="1:6" x14ac:dyDescent="0.3">
      <c r="A212" s="71">
        <v>148</v>
      </c>
      <c r="B212" s="72" t="s">
        <v>320</v>
      </c>
      <c r="C212" s="72" t="s">
        <v>1298</v>
      </c>
      <c r="D212" s="71" t="s">
        <v>309</v>
      </c>
      <c r="E212" s="71" t="s">
        <v>1215</v>
      </c>
      <c r="F212" s="71" t="s">
        <v>1346</v>
      </c>
    </row>
    <row r="213" spans="1:6" x14ac:dyDescent="0.3">
      <c r="A213" s="69">
        <v>79</v>
      </c>
      <c r="B213" s="70" t="s">
        <v>205</v>
      </c>
      <c r="C213" s="70"/>
      <c r="D213" s="70" t="s">
        <v>85</v>
      </c>
      <c r="E213" s="69" t="s">
        <v>1215</v>
      </c>
      <c r="F213" s="70" t="s">
        <v>1346</v>
      </c>
    </row>
    <row r="214" spans="1:6" x14ac:dyDescent="0.3">
      <c r="A214" s="71">
        <v>150</v>
      </c>
      <c r="B214" s="72" t="s">
        <v>322</v>
      </c>
      <c r="C214" s="72" t="s">
        <v>323</v>
      </c>
      <c r="D214" s="71" t="s">
        <v>324</v>
      </c>
      <c r="E214" s="71" t="s">
        <v>1215</v>
      </c>
      <c r="F214" s="71" t="s">
        <v>1346</v>
      </c>
    </row>
    <row r="215" spans="1:6" x14ac:dyDescent="0.3">
      <c r="A215" s="69">
        <v>377</v>
      </c>
      <c r="B215" s="70" t="s">
        <v>803</v>
      </c>
      <c r="C215" s="70" t="s">
        <v>804</v>
      </c>
      <c r="D215" s="70"/>
      <c r="E215" s="69" t="s">
        <v>1215</v>
      </c>
      <c r="F215" s="70" t="s">
        <v>1346</v>
      </c>
    </row>
    <row r="216" spans="1:6" x14ac:dyDescent="0.3">
      <c r="A216" s="71">
        <v>281</v>
      </c>
      <c r="B216" s="72" t="s">
        <v>587</v>
      </c>
      <c r="C216" s="72" t="s">
        <v>588</v>
      </c>
      <c r="D216" s="71"/>
      <c r="E216" s="71" t="s">
        <v>1215</v>
      </c>
      <c r="F216" s="71" t="s">
        <v>1346</v>
      </c>
    </row>
    <row r="217" spans="1:6" x14ac:dyDescent="0.3">
      <c r="A217" s="69">
        <v>172</v>
      </c>
      <c r="B217" s="70" t="s">
        <v>367</v>
      </c>
      <c r="C217" s="70" t="s">
        <v>368</v>
      </c>
      <c r="D217" s="70" t="s">
        <v>149</v>
      </c>
      <c r="E217" s="69" t="s">
        <v>1215</v>
      </c>
      <c r="F217" s="70" t="s">
        <v>1346</v>
      </c>
    </row>
    <row r="218" spans="1:6" x14ac:dyDescent="0.3">
      <c r="A218" s="71">
        <v>128</v>
      </c>
      <c r="B218" s="72" t="s">
        <v>285</v>
      </c>
      <c r="C218" s="72" t="s">
        <v>286</v>
      </c>
      <c r="D218" s="71"/>
      <c r="E218" s="71" t="s">
        <v>1215</v>
      </c>
      <c r="F218" s="71" t="s">
        <v>1346</v>
      </c>
    </row>
    <row r="219" spans="1:6" x14ac:dyDescent="0.3">
      <c r="A219" s="69">
        <v>498</v>
      </c>
      <c r="B219" s="70" t="s">
        <v>1033</v>
      </c>
      <c r="C219" s="70" t="s">
        <v>1034</v>
      </c>
      <c r="D219" s="70"/>
      <c r="E219" s="69" t="s">
        <v>1215</v>
      </c>
      <c r="F219" s="70" t="s">
        <v>1346</v>
      </c>
    </row>
    <row r="220" spans="1:6" x14ac:dyDescent="0.3">
      <c r="A220" s="71">
        <v>198</v>
      </c>
      <c r="B220" s="72" t="s">
        <v>418</v>
      </c>
      <c r="C220" s="72" t="s">
        <v>419</v>
      </c>
      <c r="D220" s="71" t="s">
        <v>420</v>
      </c>
      <c r="E220" s="71" t="s">
        <v>1215</v>
      </c>
      <c r="F220" s="71" t="s">
        <v>1346</v>
      </c>
    </row>
    <row r="221" spans="1:6" x14ac:dyDescent="0.3">
      <c r="A221" s="69">
        <v>313</v>
      </c>
      <c r="B221" s="70" t="s">
        <v>649</v>
      </c>
      <c r="C221" s="70"/>
      <c r="D221" s="70"/>
      <c r="E221" s="69" t="s">
        <v>1215</v>
      </c>
      <c r="F221" s="70" t="s">
        <v>1346</v>
      </c>
    </row>
    <row r="222" spans="1:6" x14ac:dyDescent="0.3">
      <c r="A222" s="71">
        <v>590</v>
      </c>
      <c r="B222" s="72" t="s">
        <v>1194</v>
      </c>
      <c r="C222" s="72"/>
      <c r="D222" s="71"/>
      <c r="E222" s="71" t="s">
        <v>1215</v>
      </c>
      <c r="F222" s="71" t="s">
        <v>1346</v>
      </c>
    </row>
    <row r="223" spans="1:6" x14ac:dyDescent="0.3">
      <c r="A223" s="69">
        <v>491</v>
      </c>
      <c r="B223" s="70" t="s">
        <v>1019</v>
      </c>
      <c r="C223" s="70" t="s">
        <v>1020</v>
      </c>
      <c r="D223" s="70"/>
      <c r="E223" s="69" t="s">
        <v>1215</v>
      </c>
      <c r="F223" s="70" t="s">
        <v>1346</v>
      </c>
    </row>
    <row r="224" spans="1:6" x14ac:dyDescent="0.3">
      <c r="A224" s="71">
        <v>201</v>
      </c>
      <c r="B224" s="72" t="s">
        <v>424</v>
      </c>
      <c r="C224" s="72" t="s">
        <v>425</v>
      </c>
      <c r="D224" s="71" t="s">
        <v>426</v>
      </c>
      <c r="E224" s="71" t="s">
        <v>1215</v>
      </c>
      <c r="F224" s="71" t="s">
        <v>1346</v>
      </c>
    </row>
    <row r="225" spans="1:6" x14ac:dyDescent="0.3">
      <c r="A225" s="69">
        <v>559</v>
      </c>
      <c r="B225" s="70" t="s">
        <v>1141</v>
      </c>
      <c r="C225" s="70" t="s">
        <v>1142</v>
      </c>
      <c r="D225" s="70"/>
      <c r="E225" s="69" t="s">
        <v>1215</v>
      </c>
      <c r="F225" s="70" t="s">
        <v>1346</v>
      </c>
    </row>
    <row r="226" spans="1:6" x14ac:dyDescent="0.3">
      <c r="A226" s="71">
        <v>615</v>
      </c>
      <c r="B226" s="72" t="s">
        <v>1328</v>
      </c>
      <c r="C226" s="72" t="s">
        <v>1329</v>
      </c>
      <c r="D226" s="71"/>
      <c r="E226" s="71" t="s">
        <v>1215</v>
      </c>
      <c r="F226" s="71" t="s">
        <v>1346</v>
      </c>
    </row>
    <row r="227" spans="1:6" x14ac:dyDescent="0.3">
      <c r="A227" s="69">
        <v>57</v>
      </c>
      <c r="B227" s="70" t="s">
        <v>166</v>
      </c>
      <c r="C227" s="70" t="s">
        <v>167</v>
      </c>
      <c r="D227" s="70"/>
      <c r="E227" s="69" t="s">
        <v>1215</v>
      </c>
      <c r="F227" s="70" t="s">
        <v>1346</v>
      </c>
    </row>
    <row r="228" spans="1:6" x14ac:dyDescent="0.3">
      <c r="A228" s="71">
        <v>13</v>
      </c>
      <c r="B228" s="72" t="s">
        <v>65</v>
      </c>
      <c r="C228" s="72" t="s">
        <v>66</v>
      </c>
      <c r="D228" s="71"/>
      <c r="E228" s="71" t="s">
        <v>1215</v>
      </c>
      <c r="F228" s="71" t="s">
        <v>1346</v>
      </c>
    </row>
    <row r="229" spans="1:6" x14ac:dyDescent="0.3">
      <c r="A229" s="69">
        <v>448</v>
      </c>
      <c r="B229" s="70" t="s">
        <v>945</v>
      </c>
      <c r="C229" s="70"/>
      <c r="D229" s="70"/>
      <c r="E229" s="69" t="s">
        <v>1215</v>
      </c>
      <c r="F229" s="70" t="s">
        <v>1346</v>
      </c>
    </row>
    <row r="230" spans="1:6" x14ac:dyDescent="0.3">
      <c r="A230" s="71">
        <v>523</v>
      </c>
      <c r="B230" s="72" t="s">
        <v>1078</v>
      </c>
      <c r="C230" s="72"/>
      <c r="D230" s="71"/>
      <c r="E230" s="71" t="s">
        <v>1215</v>
      </c>
      <c r="F230" s="71" t="s">
        <v>1346</v>
      </c>
    </row>
    <row r="231" spans="1:6" x14ac:dyDescent="0.3">
      <c r="A231" s="69">
        <v>207</v>
      </c>
      <c r="B231" s="70" t="s">
        <v>435</v>
      </c>
      <c r="C231" s="70" t="s">
        <v>436</v>
      </c>
      <c r="D231" s="70"/>
      <c r="E231" s="69" t="s">
        <v>1215</v>
      </c>
      <c r="F231" s="70" t="s">
        <v>1346</v>
      </c>
    </row>
    <row r="232" spans="1:6" x14ac:dyDescent="0.3">
      <c r="A232" s="71">
        <v>613</v>
      </c>
      <c r="B232" s="72" t="s">
        <v>1334</v>
      </c>
      <c r="C232" s="72"/>
      <c r="D232" s="71"/>
      <c r="E232" s="71" t="s">
        <v>1215</v>
      </c>
      <c r="F232" s="71" t="s">
        <v>1346</v>
      </c>
    </row>
    <row r="233" spans="1:6" x14ac:dyDescent="0.3">
      <c r="A233" s="69">
        <v>171</v>
      </c>
      <c r="B233" s="70" t="s">
        <v>365</v>
      </c>
      <c r="C233" s="70" t="s">
        <v>366</v>
      </c>
      <c r="D233" s="70" t="s">
        <v>149</v>
      </c>
      <c r="E233" s="69" t="s">
        <v>1215</v>
      </c>
      <c r="F233" s="70" t="s">
        <v>1346</v>
      </c>
    </row>
    <row r="234" spans="1:6" x14ac:dyDescent="0.3">
      <c r="A234" s="71">
        <v>511</v>
      </c>
      <c r="B234" s="72" t="s">
        <v>1057</v>
      </c>
      <c r="C234" s="72" t="s">
        <v>1058</v>
      </c>
      <c r="D234" s="71"/>
      <c r="E234" s="71" t="s">
        <v>1215</v>
      </c>
      <c r="F234" s="71" t="s">
        <v>1346</v>
      </c>
    </row>
    <row r="235" spans="1:6" x14ac:dyDescent="0.3">
      <c r="A235" s="69">
        <v>333</v>
      </c>
      <c r="B235" s="70" t="s">
        <v>698</v>
      </c>
      <c r="C235" s="70" t="s">
        <v>699</v>
      </c>
      <c r="D235" s="70" t="s">
        <v>700</v>
      </c>
      <c r="E235" s="69" t="s">
        <v>1215</v>
      </c>
      <c r="F235" s="70" t="s">
        <v>1346</v>
      </c>
    </row>
    <row r="236" spans="1:6" x14ac:dyDescent="0.3">
      <c r="A236" s="71">
        <v>561</v>
      </c>
      <c r="B236" s="72" t="s">
        <v>1145</v>
      </c>
      <c r="C236" s="72" t="s">
        <v>1146</v>
      </c>
      <c r="D236" s="71"/>
      <c r="E236" s="71" t="s">
        <v>1215</v>
      </c>
      <c r="F236" s="71" t="s">
        <v>1346</v>
      </c>
    </row>
    <row r="237" spans="1:6" x14ac:dyDescent="0.3">
      <c r="A237" s="69">
        <v>277</v>
      </c>
      <c r="B237" s="70" t="s">
        <v>578</v>
      </c>
      <c r="C237" s="70" t="s">
        <v>579</v>
      </c>
      <c r="D237" s="70"/>
      <c r="E237" s="69" t="s">
        <v>1215</v>
      </c>
      <c r="F237" s="70" t="s">
        <v>1346</v>
      </c>
    </row>
    <row r="238" spans="1:6" x14ac:dyDescent="0.3">
      <c r="A238" s="71">
        <v>494</v>
      </c>
      <c r="B238" s="72" t="s">
        <v>1025</v>
      </c>
      <c r="C238" s="72" t="s">
        <v>1026</v>
      </c>
      <c r="D238" s="71"/>
      <c r="E238" s="71" t="s">
        <v>1215</v>
      </c>
      <c r="F238" s="71" t="s">
        <v>1346</v>
      </c>
    </row>
    <row r="239" spans="1:6" x14ac:dyDescent="0.3">
      <c r="A239" s="69">
        <v>454</v>
      </c>
      <c r="B239" s="70" t="s">
        <v>956</v>
      </c>
      <c r="C239" s="70" t="s">
        <v>957</v>
      </c>
      <c r="D239" s="70"/>
      <c r="E239" s="69" t="s">
        <v>1215</v>
      </c>
      <c r="F239" s="70" t="s">
        <v>1346</v>
      </c>
    </row>
    <row r="240" spans="1:6" x14ac:dyDescent="0.3">
      <c r="A240" s="71">
        <v>358</v>
      </c>
      <c r="B240" s="72" t="s">
        <v>757</v>
      </c>
      <c r="C240" s="72" t="s">
        <v>758</v>
      </c>
      <c r="D240" s="71"/>
      <c r="E240" s="71" t="s">
        <v>1215</v>
      </c>
      <c r="F240" s="71" t="s">
        <v>1346</v>
      </c>
    </row>
    <row r="241" spans="1:6" x14ac:dyDescent="0.3">
      <c r="A241" s="69">
        <v>111</v>
      </c>
      <c r="B241" s="70" t="s">
        <v>253</v>
      </c>
      <c r="C241" s="70"/>
      <c r="D241" s="70"/>
      <c r="E241" s="69" t="s">
        <v>1215</v>
      </c>
      <c r="F241" s="70" t="s">
        <v>1346</v>
      </c>
    </row>
    <row r="242" spans="1:6" x14ac:dyDescent="0.3">
      <c r="A242" s="71">
        <v>278</v>
      </c>
      <c r="B242" s="72" t="s">
        <v>580</v>
      </c>
      <c r="C242" s="72" t="s">
        <v>581</v>
      </c>
      <c r="D242" s="71"/>
      <c r="E242" s="71" t="s">
        <v>1215</v>
      </c>
      <c r="F242" s="71" t="s">
        <v>1346</v>
      </c>
    </row>
    <row r="243" spans="1:6" x14ac:dyDescent="0.3">
      <c r="A243" s="69">
        <v>347</v>
      </c>
      <c r="B243" s="70" t="s">
        <v>733</v>
      </c>
      <c r="C243" s="70" t="s">
        <v>734</v>
      </c>
      <c r="D243" s="70" t="s">
        <v>735</v>
      </c>
      <c r="E243" s="69" t="s">
        <v>1215</v>
      </c>
      <c r="F243" s="70" t="s">
        <v>1346</v>
      </c>
    </row>
    <row r="244" spans="1:6" x14ac:dyDescent="0.3">
      <c r="A244" s="71">
        <v>338</v>
      </c>
      <c r="B244" s="72" t="s">
        <v>708</v>
      </c>
      <c r="C244" s="72" t="s">
        <v>709</v>
      </c>
      <c r="D244" s="71" t="s">
        <v>710</v>
      </c>
      <c r="E244" s="71" t="s">
        <v>1215</v>
      </c>
      <c r="F244" s="71" t="s">
        <v>1346</v>
      </c>
    </row>
    <row r="245" spans="1:6" x14ac:dyDescent="0.3">
      <c r="A245" s="69">
        <v>300</v>
      </c>
      <c r="B245" s="70" t="s">
        <v>623</v>
      </c>
      <c r="C245" s="70" t="s">
        <v>624</v>
      </c>
      <c r="D245" s="70" t="s">
        <v>48</v>
      </c>
      <c r="E245" s="69" t="s">
        <v>1215</v>
      </c>
      <c r="F245" s="70" t="s">
        <v>1346</v>
      </c>
    </row>
    <row r="246" spans="1:6" x14ac:dyDescent="0.3">
      <c r="A246" s="71">
        <v>297</v>
      </c>
      <c r="B246" s="72" t="s">
        <v>617</v>
      </c>
      <c r="C246" s="72" t="s">
        <v>618</v>
      </c>
      <c r="D246" s="71"/>
      <c r="E246" s="71" t="s">
        <v>1215</v>
      </c>
      <c r="F246" s="71" t="s">
        <v>1346</v>
      </c>
    </row>
    <row r="247" spans="1:6" x14ac:dyDescent="0.3">
      <c r="A247" s="69">
        <v>465</v>
      </c>
      <c r="B247" s="70" t="s">
        <v>976</v>
      </c>
      <c r="C247" s="70" t="s">
        <v>977</v>
      </c>
      <c r="D247" s="70"/>
      <c r="E247" s="69" t="s">
        <v>1215</v>
      </c>
      <c r="F247" s="70" t="s">
        <v>1346</v>
      </c>
    </row>
    <row r="248" spans="1:6" x14ac:dyDescent="0.3">
      <c r="A248" s="71">
        <v>401</v>
      </c>
      <c r="B248" s="72" t="s">
        <v>852</v>
      </c>
      <c r="C248" s="72"/>
      <c r="D248" s="71" t="s">
        <v>853</v>
      </c>
      <c r="E248" s="71" t="s">
        <v>1215</v>
      </c>
      <c r="F248" s="71" t="s">
        <v>1346</v>
      </c>
    </row>
    <row r="249" spans="1:6" x14ac:dyDescent="0.3">
      <c r="A249" s="69">
        <v>142</v>
      </c>
      <c r="B249" s="70" t="s">
        <v>310</v>
      </c>
      <c r="C249" s="70"/>
      <c r="D249" s="70" t="s">
        <v>311</v>
      </c>
      <c r="E249" s="69" t="s">
        <v>1215</v>
      </c>
      <c r="F249" s="70" t="s">
        <v>1346</v>
      </c>
    </row>
    <row r="250" spans="1:6" x14ac:dyDescent="0.3">
      <c r="A250" s="71">
        <v>291</v>
      </c>
      <c r="B250" s="72" t="s">
        <v>607</v>
      </c>
      <c r="C250" s="72"/>
      <c r="D250" s="71" t="s">
        <v>555</v>
      </c>
      <c r="E250" s="71" t="s">
        <v>1215</v>
      </c>
      <c r="F250" s="71" t="s">
        <v>1346</v>
      </c>
    </row>
    <row r="251" spans="1:6" x14ac:dyDescent="0.3">
      <c r="A251" s="69">
        <v>532</v>
      </c>
      <c r="B251" s="70" t="s">
        <v>1093</v>
      </c>
      <c r="C251" s="70"/>
      <c r="D251" s="70"/>
      <c r="E251" s="69" t="s">
        <v>1215</v>
      </c>
      <c r="F251" s="70" t="s">
        <v>1346</v>
      </c>
    </row>
    <row r="252" spans="1:6" x14ac:dyDescent="0.3">
      <c r="A252" s="71">
        <v>200</v>
      </c>
      <c r="B252" s="72" t="s">
        <v>423</v>
      </c>
      <c r="C252" s="72"/>
      <c r="D252" s="71" t="s">
        <v>79</v>
      </c>
      <c r="E252" s="71" t="s">
        <v>1215</v>
      </c>
      <c r="F252" s="71" t="s">
        <v>1346</v>
      </c>
    </row>
    <row r="253" spans="1:6" x14ac:dyDescent="0.3">
      <c r="A253" s="69">
        <v>432</v>
      </c>
      <c r="B253" s="70" t="s">
        <v>914</v>
      </c>
      <c r="C253" s="70" t="s">
        <v>915</v>
      </c>
      <c r="D253" s="70"/>
      <c r="E253" s="69" t="s">
        <v>1215</v>
      </c>
      <c r="F253" s="70" t="s">
        <v>1346</v>
      </c>
    </row>
    <row r="254" spans="1:6" x14ac:dyDescent="0.3">
      <c r="A254" s="71">
        <v>177</v>
      </c>
      <c r="B254" s="72" t="s">
        <v>378</v>
      </c>
      <c r="C254" s="72" t="s">
        <v>379</v>
      </c>
      <c r="D254" s="71" t="s">
        <v>309</v>
      </c>
      <c r="E254" s="71" t="s">
        <v>1215</v>
      </c>
      <c r="F254" s="71" t="s">
        <v>1346</v>
      </c>
    </row>
    <row r="255" spans="1:6" x14ac:dyDescent="0.3">
      <c r="A255" s="69">
        <v>316</v>
      </c>
      <c r="B255" s="70" t="s">
        <v>656</v>
      </c>
      <c r="C255" s="70" t="s">
        <v>657</v>
      </c>
      <c r="D255" s="70" t="s">
        <v>309</v>
      </c>
      <c r="E255" s="69" t="s">
        <v>1215</v>
      </c>
      <c r="F255" s="70" t="s">
        <v>1346</v>
      </c>
    </row>
    <row r="256" spans="1:6" x14ac:dyDescent="0.3">
      <c r="A256" s="71">
        <v>306</v>
      </c>
      <c r="B256" s="72" t="s">
        <v>637</v>
      </c>
      <c r="C256" s="72" t="s">
        <v>638</v>
      </c>
      <c r="D256" s="71" t="s">
        <v>309</v>
      </c>
      <c r="E256" s="71" t="s">
        <v>1215</v>
      </c>
      <c r="F256" s="71" t="s">
        <v>1346</v>
      </c>
    </row>
    <row r="257" spans="1:6" x14ac:dyDescent="0.3">
      <c r="A257" s="69">
        <v>453</v>
      </c>
      <c r="B257" s="70" t="s">
        <v>954</v>
      </c>
      <c r="C257" s="70" t="s">
        <v>955</v>
      </c>
      <c r="D257" s="70"/>
      <c r="E257" s="69" t="s">
        <v>1215</v>
      </c>
      <c r="F257" s="70" t="s">
        <v>1346</v>
      </c>
    </row>
    <row r="258" spans="1:6" x14ac:dyDescent="0.3">
      <c r="A258" s="71">
        <v>276</v>
      </c>
      <c r="B258" s="72" t="s">
        <v>576</v>
      </c>
      <c r="C258" s="72" t="s">
        <v>577</v>
      </c>
      <c r="D258" s="71" t="s">
        <v>403</v>
      </c>
      <c r="E258" s="71" t="s">
        <v>1215</v>
      </c>
      <c r="F258" s="71" t="s">
        <v>1346</v>
      </c>
    </row>
    <row r="259" spans="1:6" x14ac:dyDescent="0.3">
      <c r="A259" s="69">
        <v>85</v>
      </c>
      <c r="B259" s="70" t="s">
        <v>214</v>
      </c>
      <c r="C259" s="70"/>
      <c r="D259" s="70"/>
      <c r="E259" s="69" t="s">
        <v>1215</v>
      </c>
      <c r="F259" s="70" t="s">
        <v>1346</v>
      </c>
    </row>
    <row r="260" spans="1:6" x14ac:dyDescent="0.3">
      <c r="A260" s="71">
        <v>184</v>
      </c>
      <c r="B260" s="72" t="s">
        <v>385</v>
      </c>
      <c r="C260" s="72" t="s">
        <v>386</v>
      </c>
      <c r="D260" s="71"/>
      <c r="E260" s="71" t="s">
        <v>1215</v>
      </c>
      <c r="F260" s="71" t="s">
        <v>1346</v>
      </c>
    </row>
    <row r="261" spans="1:6" x14ac:dyDescent="0.3">
      <c r="A261" s="69">
        <v>538</v>
      </c>
      <c r="B261" s="70" t="s">
        <v>1101</v>
      </c>
      <c r="C261" s="70" t="s">
        <v>1102</v>
      </c>
      <c r="D261" s="70"/>
      <c r="E261" s="69" t="s">
        <v>1215</v>
      </c>
      <c r="F261" s="70" t="s">
        <v>1346</v>
      </c>
    </row>
    <row r="262" spans="1:6" x14ac:dyDescent="0.3">
      <c r="A262" s="71">
        <v>489</v>
      </c>
      <c r="B262" s="72" t="s">
        <v>1015</v>
      </c>
      <c r="C262" s="72" t="s">
        <v>1016</v>
      </c>
      <c r="D262" s="71"/>
      <c r="E262" s="71" t="s">
        <v>1215</v>
      </c>
      <c r="F262" s="71" t="s">
        <v>1346</v>
      </c>
    </row>
    <row r="263" spans="1:6" x14ac:dyDescent="0.3">
      <c r="A263" s="69">
        <v>462</v>
      </c>
      <c r="B263" s="70" t="s">
        <v>970</v>
      </c>
      <c r="C263" s="70" t="s">
        <v>971</v>
      </c>
      <c r="D263" s="70"/>
      <c r="E263" s="69" t="s">
        <v>1215</v>
      </c>
      <c r="F263" s="70" t="s">
        <v>1346</v>
      </c>
    </row>
    <row r="264" spans="1:6" x14ac:dyDescent="0.3">
      <c r="A264" s="71">
        <v>502</v>
      </c>
      <c r="B264" s="72" t="s">
        <v>1041</v>
      </c>
      <c r="C264" s="72" t="s">
        <v>1042</v>
      </c>
      <c r="D264" s="71"/>
      <c r="E264" s="71" t="s">
        <v>1215</v>
      </c>
      <c r="F264" s="71" t="s">
        <v>1346</v>
      </c>
    </row>
    <row r="265" spans="1:6" x14ac:dyDescent="0.3">
      <c r="A265" s="69">
        <v>589</v>
      </c>
      <c r="B265" s="70" t="s">
        <v>1193</v>
      </c>
      <c r="C265" s="70"/>
      <c r="D265" s="70"/>
      <c r="E265" s="69" t="s">
        <v>1215</v>
      </c>
      <c r="F265" s="70" t="s">
        <v>1346</v>
      </c>
    </row>
    <row r="266" spans="1:6" x14ac:dyDescent="0.3">
      <c r="A266" s="71">
        <v>536</v>
      </c>
      <c r="B266" s="72" t="s">
        <v>1098</v>
      </c>
      <c r="C266" s="72"/>
      <c r="D266" s="71"/>
      <c r="E266" s="71" t="s">
        <v>1215</v>
      </c>
      <c r="F266" s="71" t="s">
        <v>1346</v>
      </c>
    </row>
    <row r="267" spans="1:6" x14ac:dyDescent="0.3">
      <c r="A267" s="69">
        <v>378</v>
      </c>
      <c r="B267" s="70" t="s">
        <v>805</v>
      </c>
      <c r="C267" s="70" t="s">
        <v>806</v>
      </c>
      <c r="D267" s="70" t="s">
        <v>807</v>
      </c>
      <c r="E267" s="69" t="s">
        <v>1215</v>
      </c>
      <c r="F267" s="70" t="s">
        <v>1346</v>
      </c>
    </row>
    <row r="268" spans="1:6" x14ac:dyDescent="0.3">
      <c r="A268" s="71">
        <v>379</v>
      </c>
      <c r="B268" s="72" t="s">
        <v>808</v>
      </c>
      <c r="C268" s="72" t="s">
        <v>809</v>
      </c>
      <c r="D268" s="71" t="s">
        <v>810</v>
      </c>
      <c r="E268" s="71" t="s">
        <v>1215</v>
      </c>
      <c r="F268" s="71" t="s">
        <v>1346</v>
      </c>
    </row>
    <row r="269" spans="1:6" x14ac:dyDescent="0.3">
      <c r="A269" s="69">
        <v>617</v>
      </c>
      <c r="B269" s="70" t="s">
        <v>1337</v>
      </c>
      <c r="C269" s="70"/>
      <c r="D269" s="70"/>
      <c r="E269" s="69" t="s">
        <v>1215</v>
      </c>
      <c r="F269" s="70" t="s">
        <v>1346</v>
      </c>
    </row>
    <row r="270" spans="1:6" x14ac:dyDescent="0.3">
      <c r="A270" s="71">
        <v>562</v>
      </c>
      <c r="B270" s="72" t="s">
        <v>1147</v>
      </c>
      <c r="C270" s="72" t="s">
        <v>1148</v>
      </c>
      <c r="D270" s="71"/>
      <c r="E270" s="71" t="s">
        <v>1215</v>
      </c>
      <c r="F270" s="71" t="s">
        <v>1346</v>
      </c>
    </row>
    <row r="271" spans="1:6" x14ac:dyDescent="0.3">
      <c r="A271" s="69">
        <v>157</v>
      </c>
      <c r="B271" s="70" t="s">
        <v>338</v>
      </c>
      <c r="C271" s="70" t="s">
        <v>339</v>
      </c>
      <c r="D271" s="70"/>
      <c r="E271" s="69" t="s">
        <v>1215</v>
      </c>
      <c r="F271" s="70" t="s">
        <v>1346</v>
      </c>
    </row>
    <row r="272" spans="1:6" x14ac:dyDescent="0.3">
      <c r="A272" s="71">
        <v>531</v>
      </c>
      <c r="B272" s="72" t="s">
        <v>1091</v>
      </c>
      <c r="C272" s="72" t="s">
        <v>1092</v>
      </c>
      <c r="D272" s="71"/>
      <c r="E272" s="71" t="s">
        <v>1215</v>
      </c>
      <c r="F272" s="71" t="s">
        <v>1346</v>
      </c>
    </row>
    <row r="273" spans="1:6" x14ac:dyDescent="0.3">
      <c r="A273" s="69">
        <v>50</v>
      </c>
      <c r="B273" s="70" t="s">
        <v>150</v>
      </c>
      <c r="C273" s="70" t="s">
        <v>151</v>
      </c>
      <c r="D273" s="70" t="s">
        <v>152</v>
      </c>
      <c r="E273" s="69" t="s">
        <v>1215</v>
      </c>
      <c r="F273" s="70" t="s">
        <v>1346</v>
      </c>
    </row>
    <row r="274" spans="1:6" x14ac:dyDescent="0.3">
      <c r="A274" s="71">
        <v>587</v>
      </c>
      <c r="B274" s="72" t="s">
        <v>1189</v>
      </c>
      <c r="C274" s="72" t="s">
        <v>1190</v>
      </c>
      <c r="D274" s="71"/>
      <c r="E274" s="71" t="s">
        <v>1215</v>
      </c>
      <c r="F274" s="71" t="s">
        <v>1346</v>
      </c>
    </row>
    <row r="275" spans="1:6" x14ac:dyDescent="0.3">
      <c r="A275" s="69">
        <v>327</v>
      </c>
      <c r="B275" s="70" t="s">
        <v>682</v>
      </c>
      <c r="C275" s="70" t="s">
        <v>683</v>
      </c>
      <c r="D275" s="70" t="s">
        <v>684</v>
      </c>
      <c r="E275" s="69" t="s">
        <v>1215</v>
      </c>
      <c r="F275" s="70" t="s">
        <v>1346</v>
      </c>
    </row>
    <row r="276" spans="1:6" x14ac:dyDescent="0.3">
      <c r="A276" s="71">
        <v>30</v>
      </c>
      <c r="B276" s="72" t="s">
        <v>107</v>
      </c>
      <c r="C276" s="72"/>
      <c r="D276" s="71" t="s">
        <v>108</v>
      </c>
      <c r="E276" s="71" t="s">
        <v>1215</v>
      </c>
      <c r="F276" s="71" t="s">
        <v>1346</v>
      </c>
    </row>
    <row r="277" spans="1:6" x14ac:dyDescent="0.3">
      <c r="A277" s="69">
        <v>212</v>
      </c>
      <c r="B277" s="70" t="s">
        <v>445</v>
      </c>
      <c r="C277" s="70"/>
      <c r="D277" s="70"/>
      <c r="E277" s="69" t="s">
        <v>1215</v>
      </c>
      <c r="F277" s="70" t="s">
        <v>1346</v>
      </c>
    </row>
    <row r="278" spans="1:6" x14ac:dyDescent="0.3">
      <c r="A278" s="71">
        <v>399</v>
      </c>
      <c r="B278" s="72" t="s">
        <v>849</v>
      </c>
      <c r="C278" s="72"/>
      <c r="D278" s="71"/>
      <c r="E278" s="71" t="s">
        <v>1215</v>
      </c>
      <c r="F278" s="71" t="s">
        <v>1346</v>
      </c>
    </row>
    <row r="279" spans="1:6" x14ac:dyDescent="0.3">
      <c r="A279" s="69">
        <v>170</v>
      </c>
      <c r="B279" s="70" t="s">
        <v>363</v>
      </c>
      <c r="C279" s="70" t="s">
        <v>364</v>
      </c>
      <c r="D279" s="70" t="s">
        <v>144</v>
      </c>
      <c r="E279" s="69" t="s">
        <v>1215</v>
      </c>
      <c r="F279" s="70" t="s">
        <v>1346</v>
      </c>
    </row>
    <row r="280" spans="1:6" x14ac:dyDescent="0.3">
      <c r="A280" s="71">
        <v>14</v>
      </c>
      <c r="B280" s="72" t="s">
        <v>67</v>
      </c>
      <c r="C280" s="72" t="s">
        <v>68</v>
      </c>
      <c r="D280" s="71" t="s">
        <v>69</v>
      </c>
      <c r="E280" s="71" t="s">
        <v>1215</v>
      </c>
      <c r="F280" s="71" t="s">
        <v>1346</v>
      </c>
    </row>
    <row r="281" spans="1:6" x14ac:dyDescent="0.3">
      <c r="A281" s="69">
        <v>365</v>
      </c>
      <c r="B281" s="70" t="s">
        <v>773</v>
      </c>
      <c r="C281" s="70"/>
      <c r="D281" s="70"/>
      <c r="E281" s="69" t="s">
        <v>1215</v>
      </c>
      <c r="F281" s="70" t="s">
        <v>1346</v>
      </c>
    </row>
    <row r="282" spans="1:6" x14ac:dyDescent="0.3">
      <c r="A282" s="71">
        <v>223</v>
      </c>
      <c r="B282" s="72" t="s">
        <v>465</v>
      </c>
      <c r="C282" s="72" t="s">
        <v>466</v>
      </c>
      <c r="D282" s="71" t="s">
        <v>467</v>
      </c>
      <c r="E282" s="71" t="s">
        <v>1215</v>
      </c>
      <c r="F282" s="71" t="s">
        <v>1346</v>
      </c>
    </row>
    <row r="283" spans="1:6" x14ac:dyDescent="0.3">
      <c r="A283" s="69">
        <v>610</v>
      </c>
      <c r="B283" s="70" t="s">
        <v>1323</v>
      </c>
      <c r="C283" s="70" t="s">
        <v>1324</v>
      </c>
      <c r="D283" s="70"/>
      <c r="E283" s="69" t="s">
        <v>1215</v>
      </c>
      <c r="F283" s="70" t="s">
        <v>1346</v>
      </c>
    </row>
    <row r="284" spans="1:6" x14ac:dyDescent="0.3">
      <c r="A284" s="71">
        <v>81</v>
      </c>
      <c r="B284" s="72" t="s">
        <v>207</v>
      </c>
      <c r="C284" s="72"/>
      <c r="D284" s="71" t="s">
        <v>208</v>
      </c>
      <c r="E284" s="71" t="s">
        <v>1215</v>
      </c>
      <c r="F284" s="71" t="s">
        <v>1346</v>
      </c>
    </row>
    <row r="285" spans="1:6" x14ac:dyDescent="0.3">
      <c r="A285" s="69">
        <v>537</v>
      </c>
      <c r="B285" s="70" t="s">
        <v>1099</v>
      </c>
      <c r="C285" s="70" t="s">
        <v>1100</v>
      </c>
      <c r="D285" s="70"/>
      <c r="E285" s="69" t="s">
        <v>1215</v>
      </c>
      <c r="F285" s="70" t="s">
        <v>1346</v>
      </c>
    </row>
    <row r="286" spans="1:6" x14ac:dyDescent="0.3">
      <c r="A286" s="71">
        <v>364</v>
      </c>
      <c r="B286" s="72" t="s">
        <v>770</v>
      </c>
      <c r="C286" s="72" t="s">
        <v>771</v>
      </c>
      <c r="D286" s="71" t="s">
        <v>772</v>
      </c>
      <c r="E286" s="71" t="s">
        <v>1215</v>
      </c>
      <c r="F286" s="71" t="s">
        <v>1346</v>
      </c>
    </row>
    <row r="287" spans="1:6" x14ac:dyDescent="0.3">
      <c r="A287" s="69">
        <v>476</v>
      </c>
      <c r="B287" s="70" t="s">
        <v>995</v>
      </c>
      <c r="C287" s="70" t="s">
        <v>996</v>
      </c>
      <c r="D287" s="70"/>
      <c r="E287" s="69" t="s">
        <v>1215</v>
      </c>
      <c r="F287" s="70" t="s">
        <v>1346</v>
      </c>
    </row>
    <row r="288" spans="1:6" x14ac:dyDescent="0.3">
      <c r="A288" s="71">
        <v>163</v>
      </c>
      <c r="B288" s="72" t="s">
        <v>349</v>
      </c>
      <c r="C288" s="72" t="s">
        <v>350</v>
      </c>
      <c r="D288" s="71"/>
      <c r="E288" s="71" t="s">
        <v>1215</v>
      </c>
      <c r="F288" s="71" t="s">
        <v>1346</v>
      </c>
    </row>
    <row r="289" spans="1:6" x14ac:dyDescent="0.3">
      <c r="A289" s="69">
        <v>376</v>
      </c>
      <c r="B289" s="70" t="s">
        <v>801</v>
      </c>
      <c r="C289" s="70" t="s">
        <v>802</v>
      </c>
      <c r="D289" s="70" t="s">
        <v>335</v>
      </c>
      <c r="E289" s="69" t="s">
        <v>1215</v>
      </c>
      <c r="F289" s="70" t="s">
        <v>1346</v>
      </c>
    </row>
    <row r="290" spans="1:6" x14ac:dyDescent="0.3">
      <c r="A290" s="71">
        <v>87</v>
      </c>
      <c r="B290" s="72" t="s">
        <v>216</v>
      </c>
      <c r="C290" s="72"/>
      <c r="D290" s="71"/>
      <c r="E290" s="71" t="s">
        <v>1215</v>
      </c>
      <c r="F290" s="71" t="s">
        <v>1346</v>
      </c>
    </row>
    <row r="291" spans="1:6" x14ac:dyDescent="0.3">
      <c r="A291" s="69">
        <v>95</v>
      </c>
      <c r="B291" s="70" t="s">
        <v>227</v>
      </c>
      <c r="C291" s="70"/>
      <c r="D291" s="70"/>
      <c r="E291" s="69" t="s">
        <v>1215</v>
      </c>
      <c r="F291" s="70" t="s">
        <v>1346</v>
      </c>
    </row>
    <row r="292" spans="1:6" x14ac:dyDescent="0.3">
      <c r="A292" s="71">
        <v>315</v>
      </c>
      <c r="B292" s="72" t="s">
        <v>653</v>
      </c>
      <c r="C292" s="72" t="s">
        <v>654</v>
      </c>
      <c r="D292" s="71" t="s">
        <v>655</v>
      </c>
      <c r="E292" s="71" t="s">
        <v>1215</v>
      </c>
      <c r="F292" s="71" t="s">
        <v>1346</v>
      </c>
    </row>
    <row r="293" spans="1:6" x14ac:dyDescent="0.3">
      <c r="A293" s="69">
        <v>362</v>
      </c>
      <c r="B293" s="70" t="s">
        <v>766</v>
      </c>
      <c r="C293" s="70" t="s">
        <v>767</v>
      </c>
      <c r="D293" s="70" t="s">
        <v>615</v>
      </c>
      <c r="E293" s="69" t="s">
        <v>1215</v>
      </c>
      <c r="F293" s="70" t="s">
        <v>1346</v>
      </c>
    </row>
    <row r="294" spans="1:6" x14ac:dyDescent="0.3">
      <c r="A294" s="71">
        <v>29</v>
      </c>
      <c r="B294" s="72" t="s">
        <v>105</v>
      </c>
      <c r="C294" s="72" t="s">
        <v>106</v>
      </c>
      <c r="D294" s="71" t="s">
        <v>79</v>
      </c>
      <c r="E294" s="71" t="s">
        <v>1215</v>
      </c>
      <c r="F294" s="71" t="s">
        <v>1346</v>
      </c>
    </row>
    <row r="295" spans="1:6" x14ac:dyDescent="0.3">
      <c r="A295" s="69">
        <v>312</v>
      </c>
      <c r="B295" s="70" t="s">
        <v>647</v>
      </c>
      <c r="C295" s="70" t="s">
        <v>648</v>
      </c>
      <c r="D295" s="70"/>
      <c r="E295" s="69" t="s">
        <v>1215</v>
      </c>
      <c r="F295" s="70" t="s">
        <v>1346</v>
      </c>
    </row>
    <row r="296" spans="1:6" x14ac:dyDescent="0.3">
      <c r="A296" s="71">
        <v>275</v>
      </c>
      <c r="B296" s="72" t="s">
        <v>574</v>
      </c>
      <c r="C296" s="72" t="s">
        <v>575</v>
      </c>
      <c r="D296" s="71"/>
      <c r="E296" s="71" t="s">
        <v>1215</v>
      </c>
      <c r="F296" s="71" t="s">
        <v>1346</v>
      </c>
    </row>
    <row r="297" spans="1:6" x14ac:dyDescent="0.3">
      <c r="A297" s="69">
        <v>59</v>
      </c>
      <c r="B297" s="70" t="s">
        <v>169</v>
      </c>
      <c r="C297" s="70" t="s">
        <v>170</v>
      </c>
      <c r="D297" s="70" t="s">
        <v>92</v>
      </c>
      <c r="E297" s="69" t="s">
        <v>1215</v>
      </c>
      <c r="F297" s="70" t="s">
        <v>1346</v>
      </c>
    </row>
    <row r="298" spans="1:6" x14ac:dyDescent="0.3">
      <c r="A298" s="71">
        <v>43</v>
      </c>
      <c r="B298" s="72" t="s">
        <v>132</v>
      </c>
      <c r="C298" s="72" t="s">
        <v>133</v>
      </c>
      <c r="D298" s="71" t="s">
        <v>134</v>
      </c>
      <c r="E298" s="71" t="s">
        <v>1215</v>
      </c>
      <c r="F298" s="71" t="s">
        <v>1346</v>
      </c>
    </row>
    <row r="299" spans="1:6" x14ac:dyDescent="0.3">
      <c r="A299" s="69">
        <v>473</v>
      </c>
      <c r="B299" s="70" t="s">
        <v>992</v>
      </c>
      <c r="C299" s="70" t="s">
        <v>993</v>
      </c>
      <c r="D299" s="70"/>
      <c r="E299" s="69" t="s">
        <v>1215</v>
      </c>
      <c r="F299" s="70" t="s">
        <v>1346</v>
      </c>
    </row>
    <row r="300" spans="1:6" x14ac:dyDescent="0.3">
      <c r="A300" s="71">
        <v>445</v>
      </c>
      <c r="B300" s="72" t="s">
        <v>939</v>
      </c>
      <c r="C300" s="72" t="s">
        <v>940</v>
      </c>
      <c r="D300" s="71"/>
      <c r="E300" s="71" t="s">
        <v>1215</v>
      </c>
      <c r="F300" s="71" t="s">
        <v>1346</v>
      </c>
    </row>
    <row r="301" spans="1:6" x14ac:dyDescent="0.3">
      <c r="A301" s="69">
        <v>15</v>
      </c>
      <c r="B301" s="70" t="s">
        <v>70</v>
      </c>
      <c r="C301" s="70" t="s">
        <v>71</v>
      </c>
      <c r="D301" s="70" t="s">
        <v>72</v>
      </c>
      <c r="E301" s="69" t="s">
        <v>1215</v>
      </c>
      <c r="F301" s="70" t="s">
        <v>1346</v>
      </c>
    </row>
    <row r="302" spans="1:6" x14ac:dyDescent="0.3">
      <c r="A302" s="71">
        <v>385</v>
      </c>
      <c r="B302" s="72" t="s">
        <v>822</v>
      </c>
      <c r="C302" s="72" t="s">
        <v>823</v>
      </c>
      <c r="D302" s="71"/>
      <c r="E302" s="71" t="s">
        <v>1215</v>
      </c>
      <c r="F302" s="71" t="s">
        <v>1346</v>
      </c>
    </row>
    <row r="303" spans="1:6" x14ac:dyDescent="0.3">
      <c r="A303" s="69">
        <v>28</v>
      </c>
      <c r="B303" s="70" t="s">
        <v>104</v>
      </c>
      <c r="C303" s="70"/>
      <c r="D303" s="70" t="s">
        <v>79</v>
      </c>
      <c r="E303" s="69" t="s">
        <v>1215</v>
      </c>
      <c r="F303" s="70" t="s">
        <v>1346</v>
      </c>
    </row>
    <row r="304" spans="1:6" x14ac:dyDescent="0.3">
      <c r="A304" s="71">
        <v>487</v>
      </c>
      <c r="B304" s="72" t="s">
        <v>1012</v>
      </c>
      <c r="C304" s="72"/>
      <c r="D304" s="71"/>
      <c r="E304" s="71" t="s">
        <v>1215</v>
      </c>
      <c r="F304" s="71" t="s">
        <v>1346</v>
      </c>
    </row>
    <row r="305" spans="1:6" x14ac:dyDescent="0.3">
      <c r="A305" s="69">
        <v>457</v>
      </c>
      <c r="B305" s="70" t="s">
        <v>961</v>
      </c>
      <c r="C305" s="70" t="s">
        <v>962</v>
      </c>
      <c r="D305" s="70"/>
      <c r="E305" s="69" t="s">
        <v>1215</v>
      </c>
      <c r="F305" s="70" t="s">
        <v>1346</v>
      </c>
    </row>
    <row r="306" spans="1:6" x14ac:dyDescent="0.3">
      <c r="A306" s="71">
        <v>46</v>
      </c>
      <c r="B306" s="72" t="s">
        <v>139</v>
      </c>
      <c r="C306" s="72" t="s">
        <v>140</v>
      </c>
      <c r="D306" s="71" t="s">
        <v>141</v>
      </c>
      <c r="E306" s="71" t="s">
        <v>1215</v>
      </c>
      <c r="F306" s="71" t="s">
        <v>1346</v>
      </c>
    </row>
    <row r="307" spans="1:6" x14ac:dyDescent="0.3">
      <c r="A307" s="69">
        <v>411</v>
      </c>
      <c r="B307" s="70" t="s">
        <v>871</v>
      </c>
      <c r="C307" s="70"/>
      <c r="D307" s="70" t="s">
        <v>872</v>
      </c>
      <c r="E307" s="69" t="s">
        <v>1215</v>
      </c>
      <c r="F307" s="70" t="s">
        <v>1346</v>
      </c>
    </row>
    <row r="308" spans="1:6" x14ac:dyDescent="0.3">
      <c r="A308" s="71">
        <v>138</v>
      </c>
      <c r="B308" s="72" t="s">
        <v>303</v>
      </c>
      <c r="C308" s="72"/>
      <c r="D308" s="71"/>
      <c r="E308" s="71" t="s">
        <v>1215</v>
      </c>
      <c r="F308" s="71" t="s">
        <v>1346</v>
      </c>
    </row>
    <row r="309" spans="1:6" x14ac:dyDescent="0.3">
      <c r="A309" s="69">
        <v>367</v>
      </c>
      <c r="B309" s="70" t="s">
        <v>777</v>
      </c>
      <c r="C309" s="70" t="s">
        <v>778</v>
      </c>
      <c r="D309" s="70" t="s">
        <v>779</v>
      </c>
      <c r="E309" s="69" t="s">
        <v>1215</v>
      </c>
      <c r="F309" s="70" t="s">
        <v>1346</v>
      </c>
    </row>
    <row r="310" spans="1:6" x14ac:dyDescent="0.3">
      <c r="A310" s="71">
        <v>603</v>
      </c>
      <c r="B310" s="72" t="s">
        <v>1311</v>
      </c>
      <c r="C310" s="72" t="s">
        <v>1312</v>
      </c>
      <c r="D310" s="71"/>
      <c r="E310" s="71" t="s">
        <v>1215</v>
      </c>
      <c r="F310" s="71" t="s">
        <v>1346</v>
      </c>
    </row>
    <row r="311" spans="1:6" x14ac:dyDescent="0.3">
      <c r="A311" s="69">
        <v>86</v>
      </c>
      <c r="B311" s="70" t="s">
        <v>215</v>
      </c>
      <c r="C311" s="70"/>
      <c r="D311" s="70"/>
      <c r="E311" s="69" t="s">
        <v>1215</v>
      </c>
      <c r="F311" s="70" t="s">
        <v>1346</v>
      </c>
    </row>
    <row r="312" spans="1:6" x14ac:dyDescent="0.3">
      <c r="A312" s="71">
        <v>231</v>
      </c>
      <c r="B312" s="72" t="s">
        <v>483</v>
      </c>
      <c r="C312" s="72"/>
      <c r="D312" s="71"/>
      <c r="E312" s="71" t="s">
        <v>1215</v>
      </c>
      <c r="F312" s="71" t="s">
        <v>1346</v>
      </c>
    </row>
    <row r="313" spans="1:6" x14ac:dyDescent="0.3">
      <c r="A313" s="69">
        <v>114</v>
      </c>
      <c r="B313" s="70" t="s">
        <v>257</v>
      </c>
      <c r="C313" s="70" t="s">
        <v>258</v>
      </c>
      <c r="D313" s="70" t="s">
        <v>259</v>
      </c>
      <c r="E313" s="69" t="s">
        <v>1215</v>
      </c>
      <c r="F313" s="70" t="s">
        <v>1346</v>
      </c>
    </row>
    <row r="314" spans="1:6" x14ac:dyDescent="0.3">
      <c r="A314" s="71">
        <v>547</v>
      </c>
      <c r="B314" s="72" t="s">
        <v>1119</v>
      </c>
      <c r="C314" s="72" t="s">
        <v>1120</v>
      </c>
      <c r="D314" s="71"/>
      <c r="E314" s="71" t="s">
        <v>1215</v>
      </c>
      <c r="F314" s="71" t="s">
        <v>1346</v>
      </c>
    </row>
    <row r="315" spans="1:6" x14ac:dyDescent="0.3">
      <c r="A315" s="69">
        <v>126</v>
      </c>
      <c r="B315" s="70" t="s">
        <v>280</v>
      </c>
      <c r="C315" s="70" t="s">
        <v>281</v>
      </c>
      <c r="D315" s="70" t="s">
        <v>282</v>
      </c>
      <c r="E315" s="69" t="s">
        <v>1215</v>
      </c>
      <c r="F315" s="70" t="s">
        <v>1346</v>
      </c>
    </row>
    <row r="316" spans="1:6" x14ac:dyDescent="0.3">
      <c r="A316" s="71">
        <v>97</v>
      </c>
      <c r="B316" s="72" t="s">
        <v>230</v>
      </c>
      <c r="C316" s="72" t="s">
        <v>231</v>
      </c>
      <c r="D316" s="71" t="s">
        <v>232</v>
      </c>
      <c r="E316" s="71" t="s">
        <v>1215</v>
      </c>
      <c r="F316" s="71" t="s">
        <v>1346</v>
      </c>
    </row>
    <row r="317" spans="1:6" x14ac:dyDescent="0.3">
      <c r="A317" s="69">
        <v>572</v>
      </c>
      <c r="B317" s="70" t="s">
        <v>1310</v>
      </c>
      <c r="C317" s="70" t="s">
        <v>1164</v>
      </c>
      <c r="D317" s="70"/>
      <c r="E317" s="69" t="s">
        <v>1215</v>
      </c>
      <c r="F317" s="70" t="s">
        <v>1346</v>
      </c>
    </row>
    <row r="318" spans="1:6" x14ac:dyDescent="0.3">
      <c r="A318" s="71">
        <v>381</v>
      </c>
      <c r="B318" s="72" t="s">
        <v>813</v>
      </c>
      <c r="C318" s="72" t="s">
        <v>814</v>
      </c>
      <c r="D318" s="71" t="s">
        <v>309</v>
      </c>
      <c r="E318" s="71" t="s">
        <v>1215</v>
      </c>
      <c r="F318" s="71" t="s">
        <v>1346</v>
      </c>
    </row>
    <row r="319" spans="1:6" x14ac:dyDescent="0.3">
      <c r="A319" s="69">
        <v>534</v>
      </c>
      <c r="B319" s="70" t="s">
        <v>1095</v>
      </c>
      <c r="C319" s="70" t="s">
        <v>1096</v>
      </c>
      <c r="D319" s="70"/>
      <c r="E319" s="69" t="s">
        <v>1215</v>
      </c>
      <c r="F319" s="70" t="s">
        <v>1346</v>
      </c>
    </row>
    <row r="320" spans="1:6" x14ac:dyDescent="0.3">
      <c r="A320" s="71">
        <v>196</v>
      </c>
      <c r="B320" s="72" t="s">
        <v>413</v>
      </c>
      <c r="C320" s="72" t="s">
        <v>414</v>
      </c>
      <c r="D320" s="71" t="s">
        <v>309</v>
      </c>
      <c r="E320" s="71" t="s">
        <v>1215</v>
      </c>
      <c r="F320" s="71" t="s">
        <v>1346</v>
      </c>
    </row>
    <row r="321" spans="1:6" x14ac:dyDescent="0.3">
      <c r="A321" s="69">
        <v>444</v>
      </c>
      <c r="B321" s="70" t="s">
        <v>937</v>
      </c>
      <c r="C321" s="70" t="s">
        <v>938</v>
      </c>
      <c r="D321" s="70"/>
      <c r="E321" s="69" t="s">
        <v>1215</v>
      </c>
      <c r="F321" s="70" t="s">
        <v>1346</v>
      </c>
    </row>
    <row r="322" spans="1:6" x14ac:dyDescent="0.3">
      <c r="A322" s="71">
        <v>560</v>
      </c>
      <c r="B322" s="72" t="s">
        <v>1143</v>
      </c>
      <c r="C322" s="72" t="s">
        <v>1144</v>
      </c>
      <c r="D322" s="71"/>
      <c r="E322" s="71" t="s">
        <v>1215</v>
      </c>
      <c r="F322" s="71" t="s">
        <v>1346</v>
      </c>
    </row>
    <row r="323" spans="1:6" x14ac:dyDescent="0.3">
      <c r="A323" s="69">
        <v>388</v>
      </c>
      <c r="B323" s="70" t="s">
        <v>828</v>
      </c>
      <c r="C323" s="70" t="s">
        <v>829</v>
      </c>
      <c r="D323" s="70" t="s">
        <v>72</v>
      </c>
      <c r="E323" s="69" t="s">
        <v>1215</v>
      </c>
      <c r="F323" s="70" t="s">
        <v>1346</v>
      </c>
    </row>
    <row r="324" spans="1:6" x14ac:dyDescent="0.3">
      <c r="A324" s="71">
        <v>203</v>
      </c>
      <c r="B324" s="72" t="s">
        <v>428</v>
      </c>
      <c r="C324" s="72"/>
      <c r="D324" s="71" t="s">
        <v>72</v>
      </c>
      <c r="E324" s="71" t="s">
        <v>1215</v>
      </c>
      <c r="F324" s="71" t="s">
        <v>1346</v>
      </c>
    </row>
    <row r="325" spans="1:6" x14ac:dyDescent="0.3">
      <c r="A325" s="69">
        <v>271</v>
      </c>
      <c r="B325" s="70" t="s">
        <v>565</v>
      </c>
      <c r="C325" s="70" t="s">
        <v>566</v>
      </c>
      <c r="D325" s="70" t="s">
        <v>482</v>
      </c>
      <c r="E325" s="69" t="s">
        <v>1215</v>
      </c>
      <c r="F325" s="70" t="s">
        <v>1346</v>
      </c>
    </row>
    <row r="326" spans="1:6" x14ac:dyDescent="0.3">
      <c r="A326" s="71">
        <v>54</v>
      </c>
      <c r="B326" s="72" t="s">
        <v>161</v>
      </c>
      <c r="C326" s="72" t="s">
        <v>162</v>
      </c>
      <c r="D326" s="71"/>
      <c r="E326" s="71" t="s">
        <v>1215</v>
      </c>
      <c r="F326" s="71" t="s">
        <v>1346</v>
      </c>
    </row>
    <row r="327" spans="1:6" x14ac:dyDescent="0.3">
      <c r="A327" s="69">
        <v>31</v>
      </c>
      <c r="B327" s="70" t="s">
        <v>109</v>
      </c>
      <c r="C327" s="70" t="s">
        <v>110</v>
      </c>
      <c r="D327" s="70" t="s">
        <v>92</v>
      </c>
      <c r="E327" s="69" t="s">
        <v>1215</v>
      </c>
      <c r="F327" s="70" t="s">
        <v>1346</v>
      </c>
    </row>
    <row r="328" spans="1:6" x14ac:dyDescent="0.3">
      <c r="A328" s="71">
        <v>49</v>
      </c>
      <c r="B328" s="72" t="s">
        <v>148</v>
      </c>
      <c r="C328" s="72"/>
      <c r="D328" s="71" t="s">
        <v>149</v>
      </c>
      <c r="E328" s="71" t="s">
        <v>1215</v>
      </c>
      <c r="F328" s="71" t="s">
        <v>1346</v>
      </c>
    </row>
    <row r="329" spans="1:6" x14ac:dyDescent="0.3">
      <c r="A329" s="69">
        <v>217</v>
      </c>
      <c r="B329" s="70" t="s">
        <v>452</v>
      </c>
      <c r="C329" s="70" t="s">
        <v>453</v>
      </c>
      <c r="D329" s="70" t="s">
        <v>85</v>
      </c>
      <c r="E329" s="69" t="s">
        <v>1215</v>
      </c>
      <c r="F329" s="70" t="s">
        <v>1346</v>
      </c>
    </row>
    <row r="330" spans="1:6" x14ac:dyDescent="0.3">
      <c r="A330" s="71">
        <v>292</v>
      </c>
      <c r="B330" s="72" t="s">
        <v>608</v>
      </c>
      <c r="C330" s="72" t="s">
        <v>609</v>
      </c>
      <c r="D330" s="71" t="s">
        <v>610</v>
      </c>
      <c r="E330" s="71" t="s">
        <v>1215</v>
      </c>
      <c r="F330" s="71" t="s">
        <v>1346</v>
      </c>
    </row>
    <row r="331" spans="1:6" x14ac:dyDescent="0.3">
      <c r="A331" s="69">
        <v>16</v>
      </c>
      <c r="B331" s="70" t="s">
        <v>73</v>
      </c>
      <c r="C331" s="70"/>
      <c r="D331" s="70"/>
      <c r="E331" s="69" t="s">
        <v>1215</v>
      </c>
      <c r="F331" s="70" t="s">
        <v>1346</v>
      </c>
    </row>
    <row r="332" spans="1:6" x14ac:dyDescent="0.3">
      <c r="A332" s="71">
        <v>309</v>
      </c>
      <c r="B332" s="72" t="s">
        <v>642</v>
      </c>
      <c r="C332" s="72"/>
      <c r="D332" s="71"/>
      <c r="E332" s="71" t="s">
        <v>1215</v>
      </c>
      <c r="F332" s="71" t="s">
        <v>1346</v>
      </c>
    </row>
    <row r="333" spans="1:6" x14ac:dyDescent="0.3">
      <c r="A333" s="69">
        <v>189</v>
      </c>
      <c r="B333" s="70" t="s">
        <v>396</v>
      </c>
      <c r="C333" s="70" t="s">
        <v>397</v>
      </c>
      <c r="D333" s="70"/>
      <c r="E333" s="69" t="s">
        <v>1215</v>
      </c>
      <c r="F333" s="70" t="s">
        <v>1346</v>
      </c>
    </row>
    <row r="334" spans="1:6" x14ac:dyDescent="0.3">
      <c r="A334" s="71">
        <v>418</v>
      </c>
      <c r="B334" s="72" t="s">
        <v>888</v>
      </c>
      <c r="C334" s="72"/>
      <c r="D334" s="71" t="s">
        <v>555</v>
      </c>
      <c r="E334" s="71" t="s">
        <v>1215</v>
      </c>
      <c r="F334" s="71" t="s">
        <v>1346</v>
      </c>
    </row>
    <row r="335" spans="1:6" x14ac:dyDescent="0.3">
      <c r="A335" s="69">
        <v>599</v>
      </c>
      <c r="B335" s="70" t="s">
        <v>1207</v>
      </c>
      <c r="C335" s="70" t="s">
        <v>1208</v>
      </c>
      <c r="D335" s="70"/>
      <c r="E335" s="69" t="s">
        <v>1215</v>
      </c>
      <c r="F335" s="70" t="s">
        <v>1346</v>
      </c>
    </row>
    <row r="336" spans="1:6" x14ac:dyDescent="0.3">
      <c r="A336" s="71">
        <v>308</v>
      </c>
      <c r="B336" s="72" t="s">
        <v>641</v>
      </c>
      <c r="C336" s="72"/>
      <c r="D336" s="71"/>
      <c r="E336" s="71" t="s">
        <v>1215</v>
      </c>
      <c r="F336" s="71" t="s">
        <v>1346</v>
      </c>
    </row>
    <row r="337" spans="1:6" x14ac:dyDescent="0.3">
      <c r="A337" s="69">
        <v>621</v>
      </c>
      <c r="B337" s="70" t="s">
        <v>1342</v>
      </c>
      <c r="C337" s="70" t="s">
        <v>1343</v>
      </c>
      <c r="D337" s="70"/>
      <c r="E337" s="69" t="s">
        <v>1215</v>
      </c>
      <c r="F337" s="70" t="s">
        <v>1346</v>
      </c>
    </row>
    <row r="338" spans="1:6" x14ac:dyDescent="0.3">
      <c r="A338" s="71">
        <v>63</v>
      </c>
      <c r="B338" s="72" t="s">
        <v>178</v>
      </c>
      <c r="C338" s="72"/>
      <c r="D338" s="71"/>
      <c r="E338" s="71" t="s">
        <v>1215</v>
      </c>
      <c r="F338" s="71" t="s">
        <v>1346</v>
      </c>
    </row>
    <row r="339" spans="1:6" x14ac:dyDescent="0.3">
      <c r="A339" s="69">
        <v>112</v>
      </c>
      <c r="B339" s="70" t="s">
        <v>254</v>
      </c>
      <c r="C339" s="70"/>
      <c r="D339" s="70"/>
      <c r="E339" s="69" t="s">
        <v>1215</v>
      </c>
      <c r="F339" s="70" t="s">
        <v>1346</v>
      </c>
    </row>
    <row r="340" spans="1:6" x14ac:dyDescent="0.3">
      <c r="A340" s="71">
        <v>62</v>
      </c>
      <c r="B340" s="72" t="s">
        <v>175</v>
      </c>
      <c r="C340" s="72" t="s">
        <v>176</v>
      </c>
      <c r="D340" s="71" t="s">
        <v>177</v>
      </c>
      <c r="E340" s="71" t="s">
        <v>1215</v>
      </c>
      <c r="F340" s="71" t="s">
        <v>1346</v>
      </c>
    </row>
    <row r="341" spans="1:6" x14ac:dyDescent="0.3">
      <c r="A341" s="69">
        <v>345</v>
      </c>
      <c r="B341" s="70" t="s">
        <v>727</v>
      </c>
      <c r="C341" s="70" t="s">
        <v>728</v>
      </c>
      <c r="D341" s="70" t="s">
        <v>729</v>
      </c>
      <c r="E341" s="69" t="s">
        <v>1215</v>
      </c>
      <c r="F341" s="70" t="s">
        <v>1346</v>
      </c>
    </row>
    <row r="342" spans="1:6" x14ac:dyDescent="0.3">
      <c r="A342" s="71">
        <v>579</v>
      </c>
      <c r="B342" s="72" t="s">
        <v>1175</v>
      </c>
      <c r="C342" s="72" t="s">
        <v>1176</v>
      </c>
      <c r="D342" s="71"/>
      <c r="E342" s="71" t="s">
        <v>1215</v>
      </c>
      <c r="F342" s="71" t="s">
        <v>1346</v>
      </c>
    </row>
    <row r="343" spans="1:6" x14ac:dyDescent="0.3">
      <c r="A343" s="69">
        <v>415</v>
      </c>
      <c r="B343" s="70" t="s">
        <v>882</v>
      </c>
      <c r="C343" s="70" t="s">
        <v>883</v>
      </c>
      <c r="D343" s="70" t="s">
        <v>884</v>
      </c>
      <c r="E343" s="69" t="s">
        <v>1215</v>
      </c>
      <c r="F343" s="70" t="s">
        <v>1346</v>
      </c>
    </row>
    <row r="344" spans="1:6" x14ac:dyDescent="0.3">
      <c r="A344" s="71">
        <v>354</v>
      </c>
      <c r="B344" s="72" t="s">
        <v>749</v>
      </c>
      <c r="C344" s="72" t="s">
        <v>750</v>
      </c>
      <c r="D344" s="71" t="s">
        <v>149</v>
      </c>
      <c r="E344" s="71" t="s">
        <v>1215</v>
      </c>
      <c r="F344" s="71" t="s">
        <v>1346</v>
      </c>
    </row>
    <row r="345" spans="1:6" x14ac:dyDescent="0.3">
      <c r="A345" s="69">
        <v>564</v>
      </c>
      <c r="B345" s="70" t="s">
        <v>1151</v>
      </c>
      <c r="C345" s="70"/>
      <c r="D345" s="70"/>
      <c r="E345" s="69" t="s">
        <v>1215</v>
      </c>
      <c r="F345" s="70" t="s">
        <v>1346</v>
      </c>
    </row>
    <row r="346" spans="1:6" x14ac:dyDescent="0.3">
      <c r="A346" s="71">
        <v>60</v>
      </c>
      <c r="B346" s="72" t="s">
        <v>171</v>
      </c>
      <c r="C346" s="72"/>
      <c r="D346" s="71"/>
      <c r="E346" s="71" t="s">
        <v>1215</v>
      </c>
      <c r="F346" s="71" t="s">
        <v>1346</v>
      </c>
    </row>
    <row r="347" spans="1:6" x14ac:dyDescent="0.3">
      <c r="A347" s="69">
        <v>414</v>
      </c>
      <c r="B347" s="70" t="s">
        <v>879</v>
      </c>
      <c r="C347" s="70" t="s">
        <v>880</v>
      </c>
      <c r="D347" s="70" t="s">
        <v>881</v>
      </c>
      <c r="E347" s="69" t="s">
        <v>1215</v>
      </c>
      <c r="F347" s="70" t="s">
        <v>1346</v>
      </c>
    </row>
    <row r="348" spans="1:6" x14ac:dyDescent="0.3">
      <c r="A348" s="71">
        <v>151</v>
      </c>
      <c r="B348" s="72" t="s">
        <v>325</v>
      </c>
      <c r="C348" s="72" t="s">
        <v>326</v>
      </c>
      <c r="D348" s="71"/>
      <c r="E348" s="71" t="s">
        <v>1215</v>
      </c>
      <c r="F348" s="71" t="s">
        <v>1346</v>
      </c>
    </row>
    <row r="349" spans="1:6" x14ac:dyDescent="0.3">
      <c r="A349" s="69">
        <v>543</v>
      </c>
      <c r="B349" s="70" t="s">
        <v>1111</v>
      </c>
      <c r="C349" s="70" t="s">
        <v>1112</v>
      </c>
      <c r="D349" s="70"/>
      <c r="E349" s="69" t="s">
        <v>1215</v>
      </c>
      <c r="F349" s="70" t="s">
        <v>1346</v>
      </c>
    </row>
    <row r="350" spans="1:6" x14ac:dyDescent="0.3">
      <c r="A350" s="71">
        <v>426</v>
      </c>
      <c r="B350" s="72" t="s">
        <v>904</v>
      </c>
      <c r="C350" s="72" t="s">
        <v>905</v>
      </c>
      <c r="D350" s="71"/>
      <c r="E350" s="71" t="s">
        <v>1215</v>
      </c>
      <c r="F350" s="71" t="s">
        <v>1346</v>
      </c>
    </row>
    <row r="351" spans="1:6" x14ac:dyDescent="0.3">
      <c r="A351" s="69">
        <v>602</v>
      </c>
      <c r="B351" s="70" t="s">
        <v>1308</v>
      </c>
      <c r="C351" s="70" t="s">
        <v>1309</v>
      </c>
      <c r="D351" s="70"/>
      <c r="E351" s="69" t="s">
        <v>1215</v>
      </c>
      <c r="F351" s="70" t="s">
        <v>1346</v>
      </c>
    </row>
    <row r="352" spans="1:6" x14ac:dyDescent="0.3">
      <c r="A352" s="71">
        <v>121</v>
      </c>
      <c r="B352" s="72" t="s">
        <v>271</v>
      </c>
      <c r="C352" s="72" t="s">
        <v>272</v>
      </c>
      <c r="D352" s="71" t="s">
        <v>103</v>
      </c>
      <c r="E352" s="71" t="s">
        <v>1215</v>
      </c>
      <c r="F352" s="71" t="s">
        <v>1346</v>
      </c>
    </row>
    <row r="353" spans="1:6" x14ac:dyDescent="0.3">
      <c r="A353" s="69">
        <v>17</v>
      </c>
      <c r="B353" s="70" t="s">
        <v>74</v>
      </c>
      <c r="C353" s="70" t="s">
        <v>75</v>
      </c>
      <c r="D353" s="70" t="s">
        <v>76</v>
      </c>
      <c r="E353" s="69" t="s">
        <v>1215</v>
      </c>
      <c r="F353" s="70" t="s">
        <v>1346</v>
      </c>
    </row>
    <row r="354" spans="1:6" x14ac:dyDescent="0.3">
      <c r="A354" s="71">
        <v>396</v>
      </c>
      <c r="B354" s="72" t="s">
        <v>842</v>
      </c>
      <c r="C354" s="72" t="s">
        <v>843</v>
      </c>
      <c r="D354" s="71" t="s">
        <v>309</v>
      </c>
      <c r="E354" s="71" t="s">
        <v>1215</v>
      </c>
      <c r="F354" s="71" t="s">
        <v>1346</v>
      </c>
    </row>
    <row r="355" spans="1:6" x14ac:dyDescent="0.3">
      <c r="A355" s="69">
        <v>512</v>
      </c>
      <c r="B355" s="70" t="s">
        <v>1059</v>
      </c>
      <c r="C355" s="70" t="s">
        <v>1060</v>
      </c>
      <c r="D355" s="70"/>
      <c r="E355" s="69" t="s">
        <v>1215</v>
      </c>
      <c r="F355" s="70" t="s">
        <v>1346</v>
      </c>
    </row>
    <row r="356" spans="1:6" x14ac:dyDescent="0.3">
      <c r="A356" s="71">
        <v>197</v>
      </c>
      <c r="B356" s="72" t="s">
        <v>415</v>
      </c>
      <c r="C356" s="72" t="s">
        <v>416</v>
      </c>
      <c r="D356" s="71" t="s">
        <v>417</v>
      </c>
      <c r="E356" s="71" t="s">
        <v>1215</v>
      </c>
      <c r="F356" s="71" t="s">
        <v>1346</v>
      </c>
    </row>
    <row r="357" spans="1:6" x14ac:dyDescent="0.3">
      <c r="A357" s="69">
        <v>164</v>
      </c>
      <c r="B357" s="70" t="s">
        <v>351</v>
      </c>
      <c r="C357" s="70" t="s">
        <v>352</v>
      </c>
      <c r="D357" s="70" t="s">
        <v>72</v>
      </c>
      <c r="E357" s="69" t="s">
        <v>1215</v>
      </c>
      <c r="F357" s="70" t="s">
        <v>1346</v>
      </c>
    </row>
    <row r="358" spans="1:6" x14ac:dyDescent="0.3">
      <c r="A358" s="71">
        <v>424</v>
      </c>
      <c r="B358" s="72" t="s">
        <v>900</v>
      </c>
      <c r="C358" s="72" t="s">
        <v>901</v>
      </c>
      <c r="D358" s="71"/>
      <c r="E358" s="71" t="s">
        <v>1215</v>
      </c>
      <c r="F358" s="71" t="s">
        <v>1346</v>
      </c>
    </row>
    <row r="359" spans="1:6" x14ac:dyDescent="0.3">
      <c r="A359" s="69">
        <v>39</v>
      </c>
      <c r="B359" s="70" t="s">
        <v>122</v>
      </c>
      <c r="C359" s="70" t="s">
        <v>123</v>
      </c>
      <c r="D359" s="70" t="s">
        <v>124</v>
      </c>
      <c r="E359" s="69" t="s">
        <v>1215</v>
      </c>
      <c r="F359" s="70" t="s">
        <v>1346</v>
      </c>
    </row>
    <row r="360" spans="1:6" x14ac:dyDescent="0.3">
      <c r="A360" s="71">
        <v>369</v>
      </c>
      <c r="B360" s="72" t="s">
        <v>782</v>
      </c>
      <c r="C360" s="72" t="s">
        <v>783</v>
      </c>
      <c r="D360" s="71" t="s">
        <v>784</v>
      </c>
      <c r="E360" s="71" t="s">
        <v>1215</v>
      </c>
      <c r="F360" s="71" t="s">
        <v>1346</v>
      </c>
    </row>
    <row r="361" spans="1:6" x14ac:dyDescent="0.3">
      <c r="A361" s="69">
        <v>545</v>
      </c>
      <c r="B361" s="70" t="s">
        <v>1115</v>
      </c>
      <c r="C361" s="70" t="s">
        <v>1116</v>
      </c>
      <c r="D361" s="70"/>
      <c r="E361" s="69" t="s">
        <v>1215</v>
      </c>
      <c r="F361" s="70" t="s">
        <v>1346</v>
      </c>
    </row>
    <row r="362" spans="1:6" x14ac:dyDescent="0.3">
      <c r="A362" s="71">
        <v>350</v>
      </c>
      <c r="B362" s="72" t="s">
        <v>740</v>
      </c>
      <c r="C362" s="72" t="s">
        <v>741</v>
      </c>
      <c r="D362" s="71" t="s">
        <v>335</v>
      </c>
      <c r="E362" s="71" t="s">
        <v>1215</v>
      </c>
      <c r="F362" s="71" t="s">
        <v>1346</v>
      </c>
    </row>
    <row r="363" spans="1:6" x14ac:dyDescent="0.3">
      <c r="A363" s="69">
        <v>18</v>
      </c>
      <c r="B363" s="70" t="s">
        <v>77</v>
      </c>
      <c r="C363" s="70" t="s">
        <v>78</v>
      </c>
      <c r="D363" s="70" t="s">
        <v>79</v>
      </c>
      <c r="E363" s="69" t="s">
        <v>1215</v>
      </c>
      <c r="F363" s="70" t="s">
        <v>1346</v>
      </c>
    </row>
    <row r="364" spans="1:6" x14ac:dyDescent="0.3">
      <c r="A364" s="71">
        <v>262</v>
      </c>
      <c r="B364" s="72" t="s">
        <v>541</v>
      </c>
      <c r="C364" s="72" t="s">
        <v>542</v>
      </c>
      <c r="D364" s="71" t="s">
        <v>525</v>
      </c>
      <c r="E364" s="71" t="s">
        <v>1215</v>
      </c>
      <c r="F364" s="71" t="s">
        <v>1346</v>
      </c>
    </row>
    <row r="365" spans="1:6" x14ac:dyDescent="0.3">
      <c r="A365" s="69">
        <v>563</v>
      </c>
      <c r="B365" s="70" t="s">
        <v>1149</v>
      </c>
      <c r="C365" s="70" t="s">
        <v>1150</v>
      </c>
      <c r="D365" s="70"/>
      <c r="E365" s="69" t="s">
        <v>1215</v>
      </c>
      <c r="F365" s="70" t="s">
        <v>1346</v>
      </c>
    </row>
    <row r="366" spans="1:6" x14ac:dyDescent="0.3">
      <c r="A366" s="71">
        <v>405</v>
      </c>
      <c r="B366" s="72" t="s">
        <v>859</v>
      </c>
      <c r="C366" s="72"/>
      <c r="D366" s="71" t="s">
        <v>860</v>
      </c>
      <c r="E366" s="71" t="s">
        <v>1215</v>
      </c>
      <c r="F366" s="71" t="s">
        <v>1346</v>
      </c>
    </row>
    <row r="367" spans="1:6" x14ac:dyDescent="0.3">
      <c r="A367" s="69">
        <v>19</v>
      </c>
      <c r="B367" s="70" t="s">
        <v>80</v>
      </c>
      <c r="C367" s="70" t="s">
        <v>81</v>
      </c>
      <c r="D367" s="70" t="s">
        <v>82</v>
      </c>
      <c r="E367" s="69" t="s">
        <v>1215</v>
      </c>
      <c r="F367" s="70" t="s">
        <v>1346</v>
      </c>
    </row>
    <row r="368" spans="1:6" x14ac:dyDescent="0.3">
      <c r="A368" s="71">
        <v>131</v>
      </c>
      <c r="B368" s="72" t="s">
        <v>290</v>
      </c>
      <c r="C368" s="72" t="s">
        <v>291</v>
      </c>
      <c r="D368" s="71"/>
      <c r="E368" s="71" t="s">
        <v>1215</v>
      </c>
      <c r="F368" s="71" t="s">
        <v>1346</v>
      </c>
    </row>
    <row r="369" spans="1:6" x14ac:dyDescent="0.3">
      <c r="A369" s="69">
        <v>598</v>
      </c>
      <c r="B369" s="70" t="s">
        <v>1205</v>
      </c>
      <c r="C369" s="70" t="s">
        <v>1206</v>
      </c>
      <c r="D369" s="70"/>
      <c r="E369" s="69" t="s">
        <v>1215</v>
      </c>
      <c r="F369" s="70" t="s">
        <v>1346</v>
      </c>
    </row>
    <row r="370" spans="1:6" x14ac:dyDescent="0.3">
      <c r="A370" s="71">
        <v>268</v>
      </c>
      <c r="B370" s="72" t="s">
        <v>556</v>
      </c>
      <c r="C370" s="72" t="s">
        <v>557</v>
      </c>
      <c r="D370" s="71" t="s">
        <v>558</v>
      </c>
      <c r="E370" s="71" t="s">
        <v>1215</v>
      </c>
      <c r="F370" s="71" t="s">
        <v>1346</v>
      </c>
    </row>
    <row r="371" spans="1:6" x14ac:dyDescent="0.3">
      <c r="A371" s="69">
        <v>407</v>
      </c>
      <c r="B371" s="70" t="s">
        <v>863</v>
      </c>
      <c r="C371" s="70" t="s">
        <v>864</v>
      </c>
      <c r="D371" s="70" t="s">
        <v>309</v>
      </c>
      <c r="E371" s="69" t="s">
        <v>1215</v>
      </c>
      <c r="F371" s="70" t="s">
        <v>1346</v>
      </c>
    </row>
    <row r="372" spans="1:6" x14ac:dyDescent="0.3">
      <c r="A372" s="71">
        <v>580</v>
      </c>
      <c r="B372" s="72" t="s">
        <v>1177</v>
      </c>
      <c r="C372" s="72" t="s">
        <v>1178</v>
      </c>
      <c r="D372" s="71"/>
      <c r="E372" s="71" t="s">
        <v>1215</v>
      </c>
      <c r="F372" s="71" t="s">
        <v>1346</v>
      </c>
    </row>
    <row r="373" spans="1:6" x14ac:dyDescent="0.3">
      <c r="A373" s="69">
        <v>455</v>
      </c>
      <c r="B373" s="70" t="s">
        <v>958</v>
      </c>
      <c r="C373" s="70" t="s">
        <v>959</v>
      </c>
      <c r="D373" s="70"/>
      <c r="E373" s="69" t="s">
        <v>1215</v>
      </c>
      <c r="F373" s="70" t="s">
        <v>1346</v>
      </c>
    </row>
    <row r="374" spans="1:6" x14ac:dyDescent="0.3">
      <c r="A374" s="71">
        <v>450</v>
      </c>
      <c r="B374" s="72" t="s">
        <v>948</v>
      </c>
      <c r="C374" s="72" t="s">
        <v>949</v>
      </c>
      <c r="D374" s="71"/>
      <c r="E374" s="71" t="s">
        <v>1215</v>
      </c>
      <c r="F374" s="71" t="s">
        <v>1346</v>
      </c>
    </row>
    <row r="375" spans="1:6" x14ac:dyDescent="0.3">
      <c r="A375" s="69">
        <v>20</v>
      </c>
      <c r="B375" s="70" t="s">
        <v>83</v>
      </c>
      <c r="C375" s="70" t="s">
        <v>84</v>
      </c>
      <c r="D375" s="70" t="s">
        <v>85</v>
      </c>
      <c r="E375" s="69" t="s">
        <v>1215</v>
      </c>
      <c r="F375" s="70" t="s">
        <v>1346</v>
      </c>
    </row>
    <row r="376" spans="1:6" x14ac:dyDescent="0.3">
      <c r="A376" s="71">
        <v>533</v>
      </c>
      <c r="B376" s="72" t="s">
        <v>1094</v>
      </c>
      <c r="C376" s="72"/>
      <c r="D376" s="71"/>
      <c r="E376" s="71" t="s">
        <v>1215</v>
      </c>
      <c r="F376" s="71" t="s">
        <v>1346</v>
      </c>
    </row>
    <row r="377" spans="1:6" x14ac:dyDescent="0.3">
      <c r="A377" s="69">
        <v>45</v>
      </c>
      <c r="B377" s="70" t="s">
        <v>137</v>
      </c>
      <c r="C377" s="70" t="s">
        <v>138</v>
      </c>
      <c r="D377" s="70"/>
      <c r="E377" s="69" t="s">
        <v>1215</v>
      </c>
      <c r="F377" s="70" t="s">
        <v>1346</v>
      </c>
    </row>
    <row r="378" spans="1:6" x14ac:dyDescent="0.3">
      <c r="A378" s="71">
        <v>21</v>
      </c>
      <c r="B378" s="72" t="s">
        <v>86</v>
      </c>
      <c r="C378" s="72" t="s">
        <v>87</v>
      </c>
      <c r="D378" s="71" t="s">
        <v>85</v>
      </c>
      <c r="E378" s="71" t="s">
        <v>1215</v>
      </c>
      <c r="F378" s="71" t="s">
        <v>1346</v>
      </c>
    </row>
    <row r="379" spans="1:6" x14ac:dyDescent="0.3">
      <c r="A379" s="69">
        <v>435</v>
      </c>
      <c r="B379" s="70" t="s">
        <v>920</v>
      </c>
      <c r="C379" s="70"/>
      <c r="D379" s="70"/>
      <c r="E379" s="69" t="s">
        <v>1215</v>
      </c>
      <c r="F379" s="70" t="s">
        <v>1346</v>
      </c>
    </row>
    <row r="380" spans="1:6" x14ac:dyDescent="0.3">
      <c r="A380" s="71">
        <v>488</v>
      </c>
      <c r="B380" s="72" t="s">
        <v>1013</v>
      </c>
      <c r="C380" s="72" t="s">
        <v>1014</v>
      </c>
      <c r="D380" s="71"/>
      <c r="E380" s="71" t="s">
        <v>1215</v>
      </c>
      <c r="F380" s="71" t="s">
        <v>1346</v>
      </c>
    </row>
    <row r="381" spans="1:6" x14ac:dyDescent="0.3">
      <c r="A381" s="69">
        <v>239</v>
      </c>
      <c r="B381" s="70" t="s">
        <v>495</v>
      </c>
      <c r="C381" s="70" t="s">
        <v>496</v>
      </c>
      <c r="D381" s="70" t="s">
        <v>82</v>
      </c>
      <c r="E381" s="69" t="s">
        <v>1215</v>
      </c>
      <c r="F381" s="70" t="s">
        <v>1346</v>
      </c>
    </row>
    <row r="382" spans="1:6" x14ac:dyDescent="0.3">
      <c r="A382" s="71">
        <v>82</v>
      </c>
      <c r="B382" s="72" t="s">
        <v>209</v>
      </c>
      <c r="C382" s="72"/>
      <c r="D382" s="71"/>
      <c r="E382" s="71" t="s">
        <v>1215</v>
      </c>
      <c r="F382" s="71" t="s">
        <v>1346</v>
      </c>
    </row>
    <row r="383" spans="1:6" x14ac:dyDescent="0.3">
      <c r="A383" s="69">
        <v>33</v>
      </c>
      <c r="B383" s="70" t="s">
        <v>111</v>
      </c>
      <c r="C383" s="70" t="s">
        <v>112</v>
      </c>
      <c r="D383" s="70" t="s">
        <v>113</v>
      </c>
      <c r="E383" s="69" t="s">
        <v>1215</v>
      </c>
      <c r="F383" s="70" t="s">
        <v>1346</v>
      </c>
    </row>
    <row r="384" spans="1:6" x14ac:dyDescent="0.3">
      <c r="A384" s="71">
        <v>612</v>
      </c>
      <c r="B384" s="72" t="s">
        <v>1326</v>
      </c>
      <c r="C384" s="72" t="s">
        <v>1327</v>
      </c>
      <c r="D384" s="71"/>
      <c r="E384" s="71" t="s">
        <v>1215</v>
      </c>
      <c r="F384" s="71" t="s">
        <v>1346</v>
      </c>
    </row>
    <row r="385" spans="1:6" x14ac:dyDescent="0.3">
      <c r="A385" s="69">
        <v>194</v>
      </c>
      <c r="B385" s="70" t="s">
        <v>409</v>
      </c>
      <c r="C385" s="70" t="s">
        <v>410</v>
      </c>
      <c r="D385" s="70" t="s">
        <v>48</v>
      </c>
      <c r="E385" s="69" t="s">
        <v>1215</v>
      </c>
      <c r="F385" s="70" t="s">
        <v>1346</v>
      </c>
    </row>
    <row r="386" spans="1:6" x14ac:dyDescent="0.3">
      <c r="A386" s="71">
        <v>248</v>
      </c>
      <c r="B386" s="72" t="s">
        <v>514</v>
      </c>
      <c r="C386" s="72" t="s">
        <v>515</v>
      </c>
      <c r="D386" s="71" t="s">
        <v>48</v>
      </c>
      <c r="E386" s="71" t="s">
        <v>1215</v>
      </c>
      <c r="F386" s="71" t="s">
        <v>1346</v>
      </c>
    </row>
    <row r="387" spans="1:6" x14ac:dyDescent="0.3">
      <c r="A387" s="69">
        <v>571</v>
      </c>
      <c r="B387" s="70" t="s">
        <v>1304</v>
      </c>
      <c r="C387" s="70" t="s">
        <v>1163</v>
      </c>
      <c r="D387" s="70"/>
      <c r="E387" s="69" t="s">
        <v>1215</v>
      </c>
      <c r="F387" s="70" t="s">
        <v>1346</v>
      </c>
    </row>
    <row r="388" spans="1:6" x14ac:dyDescent="0.3">
      <c r="A388" s="71">
        <v>474</v>
      </c>
      <c r="B388" s="72" t="s">
        <v>994</v>
      </c>
      <c r="C388" s="72"/>
      <c r="D388" s="71"/>
      <c r="E388" s="71" t="s">
        <v>1215</v>
      </c>
      <c r="F388" s="71" t="s">
        <v>1346</v>
      </c>
    </row>
    <row r="389" spans="1:6" x14ac:dyDescent="0.3">
      <c r="A389" s="69">
        <v>116</v>
      </c>
      <c r="B389" s="70" t="s">
        <v>263</v>
      </c>
      <c r="C389" s="70" t="s">
        <v>264</v>
      </c>
      <c r="D389" s="70"/>
      <c r="E389" s="69" t="s">
        <v>1215</v>
      </c>
      <c r="F389" s="70" t="s">
        <v>1346</v>
      </c>
    </row>
    <row r="390" spans="1:6" x14ac:dyDescent="0.3">
      <c r="A390" s="71">
        <v>400</v>
      </c>
      <c r="B390" s="72" t="s">
        <v>850</v>
      </c>
      <c r="C390" s="72" t="s">
        <v>851</v>
      </c>
      <c r="D390" s="71" t="s">
        <v>309</v>
      </c>
      <c r="E390" s="71" t="s">
        <v>1215</v>
      </c>
      <c r="F390" s="71" t="s">
        <v>1346</v>
      </c>
    </row>
    <row r="391" spans="1:6" x14ac:dyDescent="0.3">
      <c r="A391" s="69">
        <v>120</v>
      </c>
      <c r="B391" s="70" t="s">
        <v>269</v>
      </c>
      <c r="C391" s="70" t="s">
        <v>270</v>
      </c>
      <c r="D391" s="70" t="s">
        <v>160</v>
      </c>
      <c r="E391" s="69" t="s">
        <v>1215</v>
      </c>
      <c r="F391" s="70" t="s">
        <v>1346</v>
      </c>
    </row>
    <row r="392" spans="1:6" x14ac:dyDescent="0.3">
      <c r="A392" s="71">
        <v>515</v>
      </c>
      <c r="B392" s="72" t="s">
        <v>1065</v>
      </c>
      <c r="C392" s="72" t="s">
        <v>1066</v>
      </c>
      <c r="D392" s="71"/>
      <c r="E392" s="71" t="s">
        <v>1215</v>
      </c>
      <c r="F392" s="71" t="s">
        <v>1346</v>
      </c>
    </row>
    <row r="393" spans="1:6" x14ac:dyDescent="0.3">
      <c r="A393" s="69">
        <v>361</v>
      </c>
      <c r="B393" s="70" t="s">
        <v>763</v>
      </c>
      <c r="C393" s="70" t="s">
        <v>764</v>
      </c>
      <c r="D393" s="70" t="s">
        <v>765</v>
      </c>
      <c r="E393" s="69" t="s">
        <v>1215</v>
      </c>
      <c r="F393" s="70" t="s">
        <v>1346</v>
      </c>
    </row>
    <row r="394" spans="1:6" x14ac:dyDescent="0.3">
      <c r="A394" s="71">
        <v>139</v>
      </c>
      <c r="B394" s="72" t="s">
        <v>304</v>
      </c>
      <c r="C394" s="72" t="s">
        <v>305</v>
      </c>
      <c r="D394" s="71" t="s">
        <v>149</v>
      </c>
      <c r="E394" s="71" t="s">
        <v>1215</v>
      </c>
      <c r="F394" s="71" t="s">
        <v>1346</v>
      </c>
    </row>
    <row r="395" spans="1:6" x14ac:dyDescent="0.3">
      <c r="A395" s="69">
        <v>480</v>
      </c>
      <c r="B395" s="70" t="s">
        <v>1000</v>
      </c>
      <c r="C395" s="70" t="s">
        <v>1001</v>
      </c>
      <c r="D395" s="70"/>
      <c r="E395" s="69" t="s">
        <v>1215</v>
      </c>
      <c r="F395" s="70" t="s">
        <v>1346</v>
      </c>
    </row>
    <row r="396" spans="1:6" x14ac:dyDescent="0.3">
      <c r="A396" s="71">
        <v>337</v>
      </c>
      <c r="B396" s="72" t="s">
        <v>707</v>
      </c>
      <c r="C396" s="72"/>
      <c r="D396" s="71"/>
      <c r="E396" s="71" t="s">
        <v>1215</v>
      </c>
      <c r="F396" s="71" t="s">
        <v>1346</v>
      </c>
    </row>
    <row r="397" spans="1:6" x14ac:dyDescent="0.3">
      <c r="A397" s="69">
        <v>98</v>
      </c>
      <c r="B397" s="70" t="s">
        <v>233</v>
      </c>
      <c r="C397" s="70" t="s">
        <v>234</v>
      </c>
      <c r="D397" s="70" t="s">
        <v>235</v>
      </c>
      <c r="E397" s="69" t="s">
        <v>1215</v>
      </c>
      <c r="F397" s="70" t="s">
        <v>1346</v>
      </c>
    </row>
    <row r="398" spans="1:6" x14ac:dyDescent="0.3">
      <c r="A398" s="71">
        <v>322</v>
      </c>
      <c r="B398" s="72" t="s">
        <v>672</v>
      </c>
      <c r="C398" s="72" t="s">
        <v>673</v>
      </c>
      <c r="D398" s="71" t="s">
        <v>674</v>
      </c>
      <c r="E398" s="71" t="s">
        <v>1215</v>
      </c>
      <c r="F398" s="71" t="s">
        <v>1346</v>
      </c>
    </row>
    <row r="399" spans="1:6" x14ac:dyDescent="0.3">
      <c r="A399" s="69">
        <v>430</v>
      </c>
      <c r="B399" s="70" t="s">
        <v>911</v>
      </c>
      <c r="C399" s="70"/>
      <c r="D399" s="70"/>
      <c r="E399" s="69" t="s">
        <v>1215</v>
      </c>
      <c r="F399" s="70" t="s">
        <v>1346</v>
      </c>
    </row>
    <row r="400" spans="1:6" x14ac:dyDescent="0.3">
      <c r="A400" s="71">
        <v>127</v>
      </c>
      <c r="B400" s="72" t="s">
        <v>283</v>
      </c>
      <c r="C400" s="72" t="s">
        <v>284</v>
      </c>
      <c r="D400" s="71" t="s">
        <v>208</v>
      </c>
      <c r="E400" s="71" t="s">
        <v>1215</v>
      </c>
      <c r="F400" s="71" t="s">
        <v>1346</v>
      </c>
    </row>
    <row r="401" spans="1:6" x14ac:dyDescent="0.3">
      <c r="A401" s="69">
        <v>548</v>
      </c>
      <c r="B401" s="70" t="s">
        <v>1121</v>
      </c>
      <c r="C401" s="70" t="s">
        <v>1122</v>
      </c>
      <c r="D401" s="70"/>
      <c r="E401" s="69" t="s">
        <v>1215</v>
      </c>
      <c r="F401" s="70" t="s">
        <v>1346</v>
      </c>
    </row>
    <row r="402" spans="1:6" x14ac:dyDescent="0.3">
      <c r="A402" s="71">
        <v>408</v>
      </c>
      <c r="B402" s="72" t="s">
        <v>865</v>
      </c>
      <c r="C402" s="72" t="s">
        <v>866</v>
      </c>
      <c r="D402" s="71" t="s">
        <v>615</v>
      </c>
      <c r="E402" s="71" t="s">
        <v>1215</v>
      </c>
      <c r="F402" s="71" t="s">
        <v>1346</v>
      </c>
    </row>
    <row r="403" spans="1:6" x14ac:dyDescent="0.3">
      <c r="A403" s="69">
        <v>616</v>
      </c>
      <c r="B403" s="70" t="s">
        <v>1330</v>
      </c>
      <c r="C403" s="70"/>
      <c r="D403" s="70" t="s">
        <v>1331</v>
      </c>
      <c r="E403" s="69" t="s">
        <v>1215</v>
      </c>
      <c r="F403" s="70" t="s">
        <v>1346</v>
      </c>
    </row>
    <row r="404" spans="1:6" x14ac:dyDescent="0.3">
      <c r="A404" s="71">
        <v>204</v>
      </c>
      <c r="B404" s="72" t="s">
        <v>429</v>
      </c>
      <c r="C404" s="72" t="s">
        <v>430</v>
      </c>
      <c r="D404" s="71"/>
      <c r="E404" s="71" t="s">
        <v>1215</v>
      </c>
      <c r="F404" s="71" t="s">
        <v>1346</v>
      </c>
    </row>
    <row r="405" spans="1:6" x14ac:dyDescent="0.3">
      <c r="A405" s="69">
        <v>481</v>
      </c>
      <c r="B405" s="70" t="s">
        <v>1002</v>
      </c>
      <c r="C405" s="70" t="s">
        <v>1003</v>
      </c>
      <c r="D405" s="70"/>
      <c r="E405" s="69" t="s">
        <v>1215</v>
      </c>
      <c r="F405" s="70" t="s">
        <v>1346</v>
      </c>
    </row>
    <row r="406" spans="1:6" x14ac:dyDescent="0.3">
      <c r="A406" s="71">
        <v>569</v>
      </c>
      <c r="B406" s="72" t="s">
        <v>1159</v>
      </c>
      <c r="C406" s="72" t="s">
        <v>1160</v>
      </c>
      <c r="D406" s="71"/>
      <c r="E406" s="71" t="s">
        <v>1215</v>
      </c>
      <c r="F406" s="71" t="s">
        <v>1346</v>
      </c>
    </row>
    <row r="407" spans="1:6" x14ac:dyDescent="0.3">
      <c r="A407" s="69">
        <v>243</v>
      </c>
      <c r="B407" s="70" t="s">
        <v>504</v>
      </c>
      <c r="C407" s="70" t="s">
        <v>496</v>
      </c>
      <c r="D407" s="70" t="s">
        <v>400</v>
      </c>
      <c r="E407" s="69" t="s">
        <v>1215</v>
      </c>
      <c r="F407" s="70" t="s">
        <v>1346</v>
      </c>
    </row>
    <row r="408" spans="1:6" x14ac:dyDescent="0.3">
      <c r="A408" s="71">
        <v>241</v>
      </c>
      <c r="B408" s="72" t="s">
        <v>499</v>
      </c>
      <c r="C408" s="72" t="s">
        <v>500</v>
      </c>
      <c r="D408" s="71" t="s">
        <v>501</v>
      </c>
      <c r="E408" s="71" t="s">
        <v>1215</v>
      </c>
      <c r="F408" s="71" t="s">
        <v>1346</v>
      </c>
    </row>
    <row r="409" spans="1:6" x14ac:dyDescent="0.3">
      <c r="A409" s="69">
        <v>101</v>
      </c>
      <c r="B409" s="70" t="s">
        <v>236</v>
      </c>
      <c r="C409" s="70" t="s">
        <v>237</v>
      </c>
      <c r="D409" s="70"/>
      <c r="E409" s="69" t="s">
        <v>1215</v>
      </c>
      <c r="F409" s="70" t="s">
        <v>1346</v>
      </c>
    </row>
    <row r="410" spans="1:6" x14ac:dyDescent="0.3">
      <c r="A410" s="71">
        <v>133</v>
      </c>
      <c r="B410" s="72" t="s">
        <v>293</v>
      </c>
      <c r="C410" s="72"/>
      <c r="D410" s="71" t="s">
        <v>188</v>
      </c>
      <c r="E410" s="71" t="s">
        <v>1215</v>
      </c>
      <c r="F410" s="71" t="s">
        <v>1346</v>
      </c>
    </row>
    <row r="411" spans="1:6" x14ac:dyDescent="0.3">
      <c r="A411" s="69">
        <v>360</v>
      </c>
      <c r="B411" s="70" t="s">
        <v>761</v>
      </c>
      <c r="C411" s="70" t="s">
        <v>762</v>
      </c>
      <c r="D411" s="70" t="s">
        <v>652</v>
      </c>
      <c r="E411" s="69" t="s">
        <v>1215</v>
      </c>
      <c r="F411" s="70" t="s">
        <v>1346</v>
      </c>
    </row>
    <row r="412" spans="1:6" x14ac:dyDescent="0.3">
      <c r="A412" s="71">
        <v>155</v>
      </c>
      <c r="B412" s="72" t="s">
        <v>333</v>
      </c>
      <c r="C412" s="72" t="s">
        <v>334</v>
      </c>
      <c r="D412" s="71" t="s">
        <v>335</v>
      </c>
      <c r="E412" s="71" t="s">
        <v>1215</v>
      </c>
      <c r="F412" s="71" t="s">
        <v>1346</v>
      </c>
    </row>
    <row r="413" spans="1:6" x14ac:dyDescent="0.3">
      <c r="A413" s="69">
        <v>335</v>
      </c>
      <c r="B413" s="70" t="s">
        <v>703</v>
      </c>
      <c r="C413" s="70" t="s">
        <v>704</v>
      </c>
      <c r="D413" s="70"/>
      <c r="E413" s="69" t="s">
        <v>1215</v>
      </c>
      <c r="F413" s="70" t="s">
        <v>1346</v>
      </c>
    </row>
    <row r="414" spans="1:6" x14ac:dyDescent="0.3">
      <c r="A414" s="71">
        <v>341</v>
      </c>
      <c r="B414" s="72" t="s">
        <v>717</v>
      </c>
      <c r="C414" s="72" t="s">
        <v>718</v>
      </c>
      <c r="D414" s="71"/>
      <c r="E414" s="71" t="s">
        <v>1215</v>
      </c>
      <c r="F414" s="71" t="s">
        <v>1346</v>
      </c>
    </row>
    <row r="415" spans="1:6" x14ac:dyDescent="0.3">
      <c r="A415" s="69">
        <v>258</v>
      </c>
      <c r="B415" s="70" t="s">
        <v>531</v>
      </c>
      <c r="C415" s="70" t="s">
        <v>532</v>
      </c>
      <c r="D415" s="70"/>
      <c r="E415" s="69" t="s">
        <v>1215</v>
      </c>
      <c r="F415" s="70" t="s">
        <v>1346</v>
      </c>
    </row>
    <row r="416" spans="1:6" x14ac:dyDescent="0.3">
      <c r="A416" s="71">
        <v>518</v>
      </c>
      <c r="B416" s="72" t="s">
        <v>1069</v>
      </c>
      <c r="C416" s="72" t="s">
        <v>1070</v>
      </c>
      <c r="D416" s="71"/>
      <c r="E416" s="71" t="s">
        <v>1215</v>
      </c>
      <c r="F416" s="71" t="s">
        <v>1346</v>
      </c>
    </row>
    <row r="417" spans="1:6" x14ac:dyDescent="0.3">
      <c r="A417" s="69">
        <v>576</v>
      </c>
      <c r="B417" s="70" t="s">
        <v>1169</v>
      </c>
      <c r="C417" s="70" t="s">
        <v>1170</v>
      </c>
      <c r="D417" s="70"/>
      <c r="E417" s="69" t="s">
        <v>1215</v>
      </c>
      <c r="F417" s="70" t="s">
        <v>1346</v>
      </c>
    </row>
    <row r="418" spans="1:6" x14ac:dyDescent="0.3">
      <c r="A418" s="71">
        <v>132</v>
      </c>
      <c r="B418" s="72" t="s">
        <v>292</v>
      </c>
      <c r="C418" s="72"/>
      <c r="D418" s="71" t="s">
        <v>79</v>
      </c>
      <c r="E418" s="71" t="s">
        <v>1215</v>
      </c>
      <c r="F418" s="71" t="s">
        <v>1346</v>
      </c>
    </row>
    <row r="419" spans="1:6" x14ac:dyDescent="0.3">
      <c r="A419" s="69">
        <v>245</v>
      </c>
      <c r="B419" s="70" t="s">
        <v>507</v>
      </c>
      <c r="C419" s="70" t="s">
        <v>508</v>
      </c>
      <c r="D419" s="70" t="s">
        <v>174</v>
      </c>
      <c r="E419" s="69" t="s">
        <v>1215</v>
      </c>
      <c r="F419" s="70" t="s">
        <v>1346</v>
      </c>
    </row>
    <row r="420" spans="1:6" x14ac:dyDescent="0.3">
      <c r="A420" s="71">
        <v>485</v>
      </c>
      <c r="B420" s="72" t="s">
        <v>1009</v>
      </c>
      <c r="C420" s="72"/>
      <c r="D420" s="71"/>
      <c r="E420" s="71" t="s">
        <v>1215</v>
      </c>
      <c r="F420" s="71" t="s">
        <v>1346</v>
      </c>
    </row>
    <row r="421" spans="1:6" x14ac:dyDescent="0.3">
      <c r="A421" s="69">
        <v>311</v>
      </c>
      <c r="B421" s="70" t="s">
        <v>645</v>
      </c>
      <c r="C421" s="70" t="s">
        <v>646</v>
      </c>
      <c r="D421" s="70"/>
      <c r="E421" s="69" t="s">
        <v>1215</v>
      </c>
      <c r="F421" s="70" t="s">
        <v>1346</v>
      </c>
    </row>
    <row r="422" spans="1:6" x14ac:dyDescent="0.3">
      <c r="A422" s="71">
        <v>144</v>
      </c>
      <c r="B422" s="72" t="s">
        <v>313</v>
      </c>
      <c r="C422" s="72" t="s">
        <v>314</v>
      </c>
      <c r="D422" s="71"/>
      <c r="E422" s="71" t="s">
        <v>1215</v>
      </c>
      <c r="F422" s="71" t="s">
        <v>1346</v>
      </c>
    </row>
    <row r="423" spans="1:6" x14ac:dyDescent="0.3">
      <c r="A423" s="69">
        <v>90</v>
      </c>
      <c r="B423" s="70" t="s">
        <v>219</v>
      </c>
      <c r="C423" s="70" t="s">
        <v>220</v>
      </c>
      <c r="D423" s="70" t="s">
        <v>124</v>
      </c>
      <c r="E423" s="69" t="s">
        <v>1215</v>
      </c>
      <c r="F423" s="70" t="s">
        <v>1346</v>
      </c>
    </row>
    <row r="424" spans="1:6" x14ac:dyDescent="0.3">
      <c r="A424" s="71">
        <v>186</v>
      </c>
      <c r="B424" s="72" t="s">
        <v>390</v>
      </c>
      <c r="C424" s="72" t="s">
        <v>391</v>
      </c>
      <c r="D424" s="71"/>
      <c r="E424" s="71" t="s">
        <v>1215</v>
      </c>
      <c r="F424" s="71" t="s">
        <v>1346</v>
      </c>
    </row>
    <row r="425" spans="1:6" x14ac:dyDescent="0.3">
      <c r="A425" s="69">
        <v>486</v>
      </c>
      <c r="B425" s="70" t="s">
        <v>1010</v>
      </c>
      <c r="C425" s="70" t="s">
        <v>1011</v>
      </c>
      <c r="D425" s="70"/>
      <c r="E425" s="69" t="s">
        <v>1215</v>
      </c>
      <c r="F425" s="70" t="s">
        <v>1346</v>
      </c>
    </row>
    <row r="426" spans="1:6" x14ac:dyDescent="0.3">
      <c r="A426" s="71">
        <v>505</v>
      </c>
      <c r="B426" s="72" t="s">
        <v>1047</v>
      </c>
      <c r="C426" s="72"/>
      <c r="D426" s="71"/>
      <c r="E426" s="71" t="s">
        <v>1215</v>
      </c>
      <c r="F426" s="71" t="s">
        <v>1346</v>
      </c>
    </row>
    <row r="427" spans="1:6" x14ac:dyDescent="0.3">
      <c r="A427" s="69">
        <v>169</v>
      </c>
      <c r="B427" s="70" t="s">
        <v>361</v>
      </c>
      <c r="C427" s="70" t="s">
        <v>362</v>
      </c>
      <c r="D427" s="70" t="s">
        <v>149</v>
      </c>
      <c r="E427" s="69" t="s">
        <v>1215</v>
      </c>
      <c r="F427" s="70" t="s">
        <v>1346</v>
      </c>
    </row>
    <row r="428" spans="1:6" x14ac:dyDescent="0.3">
      <c r="A428" s="71">
        <v>582</v>
      </c>
      <c r="B428" s="72" t="s">
        <v>1181</v>
      </c>
      <c r="C428" s="72" t="s">
        <v>1182</v>
      </c>
      <c r="D428" s="71"/>
      <c r="E428" s="71" t="s">
        <v>1215</v>
      </c>
      <c r="F428" s="71" t="s">
        <v>1346</v>
      </c>
    </row>
    <row r="429" spans="1:6" x14ac:dyDescent="0.3">
      <c r="A429" s="69">
        <v>503</v>
      </c>
      <c r="B429" s="70" t="s">
        <v>1043</v>
      </c>
      <c r="C429" s="70" t="s">
        <v>1044</v>
      </c>
      <c r="D429" s="70"/>
      <c r="E429" s="69" t="s">
        <v>1215</v>
      </c>
      <c r="F429" s="70" t="s">
        <v>1346</v>
      </c>
    </row>
    <row r="430" spans="1:6" x14ac:dyDescent="0.3">
      <c r="A430" s="71">
        <v>554</v>
      </c>
      <c r="B430" s="72" t="s">
        <v>1133</v>
      </c>
      <c r="C430" s="72" t="s">
        <v>1134</v>
      </c>
      <c r="D430" s="71"/>
      <c r="E430" s="71" t="s">
        <v>1215</v>
      </c>
      <c r="F430" s="71" t="s">
        <v>1346</v>
      </c>
    </row>
    <row r="431" spans="1:6" x14ac:dyDescent="0.3">
      <c r="A431" s="69">
        <v>497</v>
      </c>
      <c r="B431" s="70" t="s">
        <v>1031</v>
      </c>
      <c r="C431" s="70" t="s">
        <v>1032</v>
      </c>
      <c r="D431" s="70"/>
      <c r="E431" s="69" t="s">
        <v>1215</v>
      </c>
      <c r="F431" s="70" t="s">
        <v>1346</v>
      </c>
    </row>
    <row r="432" spans="1:6" x14ac:dyDescent="0.3">
      <c r="A432" s="71">
        <v>447</v>
      </c>
      <c r="B432" s="72" t="s">
        <v>943</v>
      </c>
      <c r="C432" s="72" t="s">
        <v>944</v>
      </c>
      <c r="D432" s="71"/>
      <c r="E432" s="71" t="s">
        <v>1215</v>
      </c>
      <c r="F432" s="71" t="s">
        <v>1346</v>
      </c>
    </row>
    <row r="433" spans="1:6" x14ac:dyDescent="0.3">
      <c r="A433" s="69">
        <v>504</v>
      </c>
      <c r="B433" s="70" t="s">
        <v>1045</v>
      </c>
      <c r="C433" s="70" t="s">
        <v>1046</v>
      </c>
      <c r="D433" s="70"/>
      <c r="E433" s="69" t="s">
        <v>1215</v>
      </c>
      <c r="F433" s="70" t="s">
        <v>1346</v>
      </c>
    </row>
    <row r="434" spans="1:6" x14ac:dyDescent="0.3">
      <c r="A434" s="71">
        <v>73</v>
      </c>
      <c r="B434" s="72" t="s">
        <v>193</v>
      </c>
      <c r="C434" s="72"/>
      <c r="D434" s="71" t="s">
        <v>48</v>
      </c>
      <c r="E434" s="71" t="s">
        <v>1215</v>
      </c>
      <c r="F434" s="71" t="s">
        <v>1346</v>
      </c>
    </row>
    <row r="435" spans="1:6" x14ac:dyDescent="0.3">
      <c r="A435" s="69">
        <v>328</v>
      </c>
      <c r="B435" s="70" t="s">
        <v>685</v>
      </c>
      <c r="C435" s="70" t="s">
        <v>686</v>
      </c>
      <c r="D435" s="70" t="s">
        <v>687</v>
      </c>
      <c r="E435" s="69" t="s">
        <v>1215</v>
      </c>
      <c r="F435" s="70" t="s">
        <v>1346</v>
      </c>
    </row>
    <row r="436" spans="1:6" x14ac:dyDescent="0.3">
      <c r="A436" s="71">
        <v>287</v>
      </c>
      <c r="B436" s="72" t="s">
        <v>597</v>
      </c>
      <c r="C436" s="72" t="s">
        <v>598</v>
      </c>
      <c r="D436" s="71" t="s">
        <v>599</v>
      </c>
      <c r="E436" s="71" t="s">
        <v>1215</v>
      </c>
      <c r="F436" s="71" t="s">
        <v>1346</v>
      </c>
    </row>
    <row r="437" spans="1:6" x14ac:dyDescent="0.3">
      <c r="A437" s="69">
        <v>182</v>
      </c>
      <c r="B437" s="70" t="s">
        <v>380</v>
      </c>
      <c r="C437" s="70" t="s">
        <v>381</v>
      </c>
      <c r="D437" s="70" t="s">
        <v>48</v>
      </c>
      <c r="E437" s="69" t="s">
        <v>1215</v>
      </c>
      <c r="F437" s="70" t="s">
        <v>1346</v>
      </c>
    </row>
    <row r="438" spans="1:6" x14ac:dyDescent="0.3">
      <c r="A438" s="71">
        <v>349</v>
      </c>
      <c r="B438" s="72" t="s">
        <v>738</v>
      </c>
      <c r="C438" s="72" t="s">
        <v>739</v>
      </c>
      <c r="D438" s="71"/>
      <c r="E438" s="71" t="s">
        <v>1215</v>
      </c>
      <c r="F438" s="71" t="s">
        <v>1346</v>
      </c>
    </row>
    <row r="439" spans="1:6" x14ac:dyDescent="0.3">
      <c r="A439" s="69">
        <v>118</v>
      </c>
      <c r="B439" s="70" t="s">
        <v>267</v>
      </c>
      <c r="C439" s="70"/>
      <c r="D439" s="70"/>
      <c r="E439" s="69" t="s">
        <v>1215</v>
      </c>
      <c r="F439" s="70" t="s">
        <v>1346</v>
      </c>
    </row>
    <row r="440" spans="1:6" x14ac:dyDescent="0.3">
      <c r="A440" s="71">
        <v>392</v>
      </c>
      <c r="B440" s="72" t="s">
        <v>835</v>
      </c>
      <c r="C440" s="72"/>
      <c r="D440" s="71"/>
      <c r="E440" s="71" t="s">
        <v>1215</v>
      </c>
      <c r="F440" s="71" t="s">
        <v>1346</v>
      </c>
    </row>
    <row r="441" spans="1:6" x14ac:dyDescent="0.3">
      <c r="A441" s="69">
        <v>225</v>
      </c>
      <c r="B441" s="70" t="s">
        <v>470</v>
      </c>
      <c r="C441" s="70"/>
      <c r="D441" s="70" t="s">
        <v>417</v>
      </c>
      <c r="E441" s="69" t="s">
        <v>1215</v>
      </c>
      <c r="F441" s="70" t="s">
        <v>1346</v>
      </c>
    </row>
    <row r="442" spans="1:6" x14ac:dyDescent="0.3">
      <c r="A442" s="71">
        <v>622</v>
      </c>
      <c r="B442" s="72" t="s">
        <v>1344</v>
      </c>
      <c r="C442" s="72" t="s">
        <v>1345</v>
      </c>
      <c r="D442" s="71"/>
      <c r="E442" s="71" t="s">
        <v>1215</v>
      </c>
      <c r="F442" s="71" t="s">
        <v>1346</v>
      </c>
    </row>
    <row r="443" spans="1:6" x14ac:dyDescent="0.3">
      <c r="A443" s="69">
        <v>437</v>
      </c>
      <c r="B443" s="70" t="s">
        <v>923</v>
      </c>
      <c r="C443" s="70" t="s">
        <v>924</v>
      </c>
      <c r="D443" s="70"/>
      <c r="E443" s="69" t="s">
        <v>1215</v>
      </c>
      <c r="F443" s="70" t="s">
        <v>1346</v>
      </c>
    </row>
    <row r="444" spans="1:6" x14ac:dyDescent="0.3">
      <c r="A444" s="71">
        <v>70</v>
      </c>
      <c r="B444" s="72" t="s">
        <v>190</v>
      </c>
      <c r="C444" s="72"/>
      <c r="D444" s="71"/>
      <c r="E444" s="71" t="s">
        <v>1215</v>
      </c>
      <c r="F444" s="71" t="s">
        <v>1346</v>
      </c>
    </row>
    <row r="445" spans="1:6" x14ac:dyDescent="0.3">
      <c r="A445" s="69">
        <v>34</v>
      </c>
      <c r="B445" s="70" t="s">
        <v>114</v>
      </c>
      <c r="C445" s="70" t="s">
        <v>115</v>
      </c>
      <c r="D445" s="70"/>
      <c r="E445" s="69" t="s">
        <v>1215</v>
      </c>
      <c r="F445" s="70" t="s">
        <v>1346</v>
      </c>
    </row>
    <row r="446" spans="1:6" x14ac:dyDescent="0.3">
      <c r="A446" s="71">
        <v>461</v>
      </c>
      <c r="B446" s="72" t="s">
        <v>968</v>
      </c>
      <c r="C446" s="72" t="s">
        <v>969</v>
      </c>
      <c r="D446" s="71"/>
      <c r="E446" s="71" t="s">
        <v>1215</v>
      </c>
      <c r="F446" s="71" t="s">
        <v>1346</v>
      </c>
    </row>
    <row r="447" spans="1:6" x14ac:dyDescent="0.3">
      <c r="A447" s="69">
        <v>305</v>
      </c>
      <c r="B447" s="70" t="s">
        <v>634</v>
      </c>
      <c r="C447" s="70" t="s">
        <v>635</v>
      </c>
      <c r="D447" s="70" t="s">
        <v>636</v>
      </c>
      <c r="E447" s="69" t="s">
        <v>1215</v>
      </c>
      <c r="F447" s="70" t="s">
        <v>1346</v>
      </c>
    </row>
    <row r="448" spans="1:6" x14ac:dyDescent="0.3">
      <c r="A448" s="71">
        <v>58</v>
      </c>
      <c r="B448" s="72" t="s">
        <v>168</v>
      </c>
      <c r="C448" s="72"/>
      <c r="D448" s="71"/>
      <c r="E448" s="71" t="s">
        <v>1215</v>
      </c>
      <c r="F448" s="71" t="s">
        <v>1346</v>
      </c>
    </row>
    <row r="449" spans="1:6" x14ac:dyDescent="0.3">
      <c r="A449" s="69">
        <v>483</v>
      </c>
      <c r="B449" s="70" t="s">
        <v>1006</v>
      </c>
      <c r="C449" s="70"/>
      <c r="D449" s="70"/>
      <c r="E449" s="69" t="s">
        <v>1215</v>
      </c>
      <c r="F449" s="70" t="s">
        <v>1346</v>
      </c>
    </row>
    <row r="450" spans="1:6" x14ac:dyDescent="0.3">
      <c r="A450" s="71">
        <v>22</v>
      </c>
      <c r="B450" s="72" t="s">
        <v>88</v>
      </c>
      <c r="C450" s="72" t="s">
        <v>89</v>
      </c>
      <c r="D450" s="71" t="s">
        <v>64</v>
      </c>
      <c r="E450" s="71" t="s">
        <v>1215</v>
      </c>
      <c r="F450" s="71" t="s">
        <v>1346</v>
      </c>
    </row>
    <row r="451" spans="1:6" x14ac:dyDescent="0.3">
      <c r="A451" s="69">
        <v>336</v>
      </c>
      <c r="B451" s="70" t="s">
        <v>705</v>
      </c>
      <c r="C451" s="70" t="s">
        <v>706</v>
      </c>
      <c r="D451" s="70"/>
      <c r="E451" s="69" t="s">
        <v>1215</v>
      </c>
      <c r="F451" s="70" t="s">
        <v>1346</v>
      </c>
    </row>
    <row r="452" spans="1:6" x14ac:dyDescent="0.3">
      <c r="A452" s="71">
        <v>41</v>
      </c>
      <c r="B452" s="72" t="s">
        <v>128</v>
      </c>
      <c r="C452" s="72" t="s">
        <v>129</v>
      </c>
      <c r="D452" s="71"/>
      <c r="E452" s="71" t="s">
        <v>1215</v>
      </c>
      <c r="F452" s="71" t="s">
        <v>1346</v>
      </c>
    </row>
    <row r="453" spans="1:6" x14ac:dyDescent="0.3">
      <c r="A453" s="69">
        <v>55</v>
      </c>
      <c r="B453" s="70" t="s">
        <v>163</v>
      </c>
      <c r="C453" s="70"/>
      <c r="D453" s="70"/>
      <c r="E453" s="69" t="s">
        <v>1215</v>
      </c>
      <c r="F453" s="70" t="s">
        <v>1346</v>
      </c>
    </row>
    <row r="454" spans="1:6" x14ac:dyDescent="0.3">
      <c r="A454" s="71">
        <v>66</v>
      </c>
      <c r="B454" s="72" t="s">
        <v>183</v>
      </c>
      <c r="C454" s="72" t="s">
        <v>184</v>
      </c>
      <c r="D454" s="71" t="s">
        <v>185</v>
      </c>
      <c r="E454" s="71" t="s">
        <v>1215</v>
      </c>
      <c r="F454" s="71" t="s">
        <v>1346</v>
      </c>
    </row>
    <row r="455" spans="1:6" x14ac:dyDescent="0.3">
      <c r="A455" s="69">
        <v>219</v>
      </c>
      <c r="B455" s="70" t="s">
        <v>456</v>
      </c>
      <c r="C455" s="70" t="s">
        <v>457</v>
      </c>
      <c r="D455" s="70" t="s">
        <v>95</v>
      </c>
      <c r="E455" s="69" t="s">
        <v>1215</v>
      </c>
      <c r="F455" s="70" t="s">
        <v>1346</v>
      </c>
    </row>
    <row r="456" spans="1:6" x14ac:dyDescent="0.3">
      <c r="A456" s="71">
        <v>593</v>
      </c>
      <c r="B456" s="72" t="s">
        <v>1307</v>
      </c>
      <c r="C456" s="72" t="s">
        <v>1197</v>
      </c>
      <c r="D456" s="71"/>
      <c r="E456" s="71" t="s">
        <v>1215</v>
      </c>
      <c r="F456" s="71" t="s">
        <v>1346</v>
      </c>
    </row>
    <row r="457" spans="1:6" x14ac:dyDescent="0.3">
      <c r="A457" s="69">
        <v>346</v>
      </c>
      <c r="B457" s="70" t="s">
        <v>730</v>
      </c>
      <c r="C457" s="70" t="s">
        <v>731</v>
      </c>
      <c r="D457" s="70" t="s">
        <v>732</v>
      </c>
      <c r="E457" s="69" t="s">
        <v>1215</v>
      </c>
      <c r="F457" s="70" t="s">
        <v>1346</v>
      </c>
    </row>
    <row r="458" spans="1:6" x14ac:dyDescent="0.3">
      <c r="A458" s="71">
        <v>83</v>
      </c>
      <c r="B458" s="72" t="s">
        <v>210</v>
      </c>
      <c r="C458" s="72"/>
      <c r="D458" s="71"/>
      <c r="E458" s="71" t="s">
        <v>1215</v>
      </c>
      <c r="F458" s="71" t="s">
        <v>1346</v>
      </c>
    </row>
    <row r="459" spans="1:6" x14ac:dyDescent="0.3">
      <c r="A459" s="69">
        <v>468</v>
      </c>
      <c r="B459" s="70" t="s">
        <v>982</v>
      </c>
      <c r="C459" s="70" t="s">
        <v>983</v>
      </c>
      <c r="D459" s="70"/>
      <c r="E459" s="69" t="s">
        <v>1215</v>
      </c>
      <c r="F459" s="70" t="s">
        <v>1346</v>
      </c>
    </row>
    <row r="460" spans="1:6" x14ac:dyDescent="0.3">
      <c r="A460" s="71">
        <v>53</v>
      </c>
      <c r="B460" s="72" t="s">
        <v>158</v>
      </c>
      <c r="C460" s="72" t="s">
        <v>159</v>
      </c>
      <c r="D460" s="71" t="s">
        <v>160</v>
      </c>
      <c r="E460" s="71" t="s">
        <v>1215</v>
      </c>
      <c r="F460" s="71" t="s">
        <v>1346</v>
      </c>
    </row>
    <row r="461" spans="1:6" x14ac:dyDescent="0.3">
      <c r="A461" s="69">
        <v>370</v>
      </c>
      <c r="B461" s="70" t="s">
        <v>785</v>
      </c>
      <c r="C461" s="70" t="s">
        <v>786</v>
      </c>
      <c r="D461" s="70" t="s">
        <v>787</v>
      </c>
      <c r="E461" s="69" t="s">
        <v>1215</v>
      </c>
      <c r="F461" s="70" t="s">
        <v>1346</v>
      </c>
    </row>
    <row r="462" spans="1:6" x14ac:dyDescent="0.3">
      <c r="A462" s="71">
        <v>193</v>
      </c>
      <c r="B462" s="72" t="s">
        <v>407</v>
      </c>
      <c r="C462" s="72" t="s">
        <v>408</v>
      </c>
      <c r="D462" s="71"/>
      <c r="E462" s="71" t="s">
        <v>1215</v>
      </c>
      <c r="F462" s="71" t="s">
        <v>1346</v>
      </c>
    </row>
    <row r="463" spans="1:6" x14ac:dyDescent="0.3">
      <c r="A463" s="69">
        <v>331</v>
      </c>
      <c r="B463" s="70" t="s">
        <v>694</v>
      </c>
      <c r="C463" s="70" t="s">
        <v>695</v>
      </c>
      <c r="D463" s="70"/>
      <c r="E463" s="69" t="s">
        <v>1215</v>
      </c>
      <c r="F463" s="70" t="s">
        <v>1346</v>
      </c>
    </row>
    <row r="464" spans="1:6" x14ac:dyDescent="0.3">
      <c r="A464" s="71">
        <v>304</v>
      </c>
      <c r="B464" s="72" t="s">
        <v>632</v>
      </c>
      <c r="C464" s="72" t="s">
        <v>633</v>
      </c>
      <c r="D464" s="71" t="s">
        <v>561</v>
      </c>
      <c r="E464" s="71" t="s">
        <v>1215</v>
      </c>
      <c r="F464" s="71" t="s">
        <v>1346</v>
      </c>
    </row>
    <row r="465" spans="1:6" x14ac:dyDescent="0.3">
      <c r="A465" s="69">
        <v>56</v>
      </c>
      <c r="B465" s="70" t="s">
        <v>164</v>
      </c>
      <c r="C465" s="70" t="s">
        <v>165</v>
      </c>
      <c r="D465" s="70"/>
      <c r="E465" s="69" t="s">
        <v>1215</v>
      </c>
      <c r="F465" s="70" t="s">
        <v>1346</v>
      </c>
    </row>
    <row r="466" spans="1:6" x14ac:dyDescent="0.3">
      <c r="A466" s="71">
        <v>389</v>
      </c>
      <c r="B466" s="72" t="s">
        <v>830</v>
      </c>
      <c r="C466" s="72"/>
      <c r="D466" s="71"/>
      <c r="E466" s="71" t="s">
        <v>1215</v>
      </c>
      <c r="F466" s="71" t="s">
        <v>1346</v>
      </c>
    </row>
    <row r="467" spans="1:6" x14ac:dyDescent="0.3">
      <c r="A467" s="69">
        <v>539</v>
      </c>
      <c r="B467" s="70" t="s">
        <v>1103</v>
      </c>
      <c r="C467" s="70" t="s">
        <v>1104</v>
      </c>
      <c r="D467" s="70"/>
      <c r="E467" s="69" t="s">
        <v>1215</v>
      </c>
      <c r="F467" s="70" t="s">
        <v>1346</v>
      </c>
    </row>
    <row r="468" spans="1:6" x14ac:dyDescent="0.3">
      <c r="A468" s="71">
        <v>332</v>
      </c>
      <c r="B468" s="72" t="s">
        <v>696</v>
      </c>
      <c r="C468" s="72" t="s">
        <v>697</v>
      </c>
      <c r="D468" s="71" t="s">
        <v>690</v>
      </c>
      <c r="E468" s="71" t="s">
        <v>1215</v>
      </c>
      <c r="F468" s="71" t="s">
        <v>1346</v>
      </c>
    </row>
    <row r="469" spans="1:6" x14ac:dyDescent="0.3">
      <c r="A469" s="69">
        <v>526</v>
      </c>
      <c r="B469" s="70" t="s">
        <v>1082</v>
      </c>
      <c r="C469" s="70" t="s">
        <v>1083</v>
      </c>
      <c r="D469" s="70"/>
      <c r="E469" s="69" t="s">
        <v>1215</v>
      </c>
      <c r="F469" s="70" t="s">
        <v>1346</v>
      </c>
    </row>
    <row r="470" spans="1:6" x14ac:dyDescent="0.3">
      <c r="A470" s="71">
        <v>202</v>
      </c>
      <c r="B470" s="72" t="s">
        <v>427</v>
      </c>
      <c r="C470" s="72" t="s">
        <v>370</v>
      </c>
      <c r="D470" s="71" t="s">
        <v>202</v>
      </c>
      <c r="E470" s="71" t="s">
        <v>1215</v>
      </c>
      <c r="F470" s="71" t="s">
        <v>1346</v>
      </c>
    </row>
    <row r="471" spans="1:6" x14ac:dyDescent="0.3">
      <c r="A471" s="69">
        <v>344</v>
      </c>
      <c r="B471" s="70" t="s">
        <v>725</v>
      </c>
      <c r="C471" s="70" t="s">
        <v>726</v>
      </c>
      <c r="D471" s="70" t="s">
        <v>213</v>
      </c>
      <c r="E471" s="69" t="s">
        <v>1215</v>
      </c>
      <c r="F471" s="70" t="s">
        <v>1346</v>
      </c>
    </row>
    <row r="472" spans="1:6" x14ac:dyDescent="0.3">
      <c r="A472" s="71">
        <v>363</v>
      </c>
      <c r="B472" s="72" t="s">
        <v>768</v>
      </c>
      <c r="C472" s="72" t="s">
        <v>769</v>
      </c>
      <c r="D472" s="71"/>
      <c r="E472" s="71" t="s">
        <v>1215</v>
      </c>
      <c r="F472" s="71" t="s">
        <v>1346</v>
      </c>
    </row>
    <row r="473" spans="1:6" x14ac:dyDescent="0.3">
      <c r="A473" s="69">
        <v>282</v>
      </c>
      <c r="B473" s="70" t="s">
        <v>589</v>
      </c>
      <c r="C473" s="70"/>
      <c r="D473" s="70" t="s">
        <v>149</v>
      </c>
      <c r="E473" s="69" t="s">
        <v>1215</v>
      </c>
      <c r="F473" s="70" t="s">
        <v>1346</v>
      </c>
    </row>
    <row r="474" spans="1:6" x14ac:dyDescent="0.3">
      <c r="A474" s="71">
        <v>542</v>
      </c>
      <c r="B474" s="72" t="s">
        <v>1109</v>
      </c>
      <c r="C474" s="72" t="s">
        <v>1110</v>
      </c>
      <c r="D474" s="71"/>
      <c r="E474" s="71" t="s">
        <v>1215</v>
      </c>
      <c r="F474" s="71" t="s">
        <v>1346</v>
      </c>
    </row>
    <row r="475" spans="1:6" x14ac:dyDescent="0.3">
      <c r="A475" s="69">
        <v>320</v>
      </c>
      <c r="B475" s="70" t="s">
        <v>666</v>
      </c>
      <c r="C475" s="70" t="s">
        <v>667</v>
      </c>
      <c r="D475" s="70" t="s">
        <v>668</v>
      </c>
      <c r="E475" s="69" t="s">
        <v>1215</v>
      </c>
      <c r="F475" s="70" t="s">
        <v>1346</v>
      </c>
    </row>
    <row r="476" spans="1:6" x14ac:dyDescent="0.3">
      <c r="A476" s="71">
        <v>96</v>
      </c>
      <c r="B476" s="72" t="s">
        <v>228</v>
      </c>
      <c r="C476" s="72" t="s">
        <v>229</v>
      </c>
      <c r="D476" s="71"/>
      <c r="E476" s="71" t="s">
        <v>1215</v>
      </c>
      <c r="F476" s="71" t="s">
        <v>1346</v>
      </c>
    </row>
    <row r="477" spans="1:6" x14ac:dyDescent="0.3">
      <c r="A477" s="69">
        <v>516</v>
      </c>
      <c r="B477" s="70" t="s">
        <v>1067</v>
      </c>
      <c r="C477" s="70" t="s">
        <v>1068</v>
      </c>
      <c r="D477" s="70"/>
      <c r="E477" s="69" t="s">
        <v>1215</v>
      </c>
      <c r="F477" s="70" t="s">
        <v>1346</v>
      </c>
    </row>
    <row r="478" spans="1:6" x14ac:dyDescent="0.3">
      <c r="A478" s="71">
        <v>290</v>
      </c>
      <c r="B478" s="72" t="s">
        <v>604</v>
      </c>
      <c r="C478" s="72" t="s">
        <v>605</v>
      </c>
      <c r="D478" s="71" t="s">
        <v>606</v>
      </c>
      <c r="E478" s="71" t="s">
        <v>1215</v>
      </c>
      <c r="F478" s="71" t="s">
        <v>1346</v>
      </c>
    </row>
    <row r="479" spans="1:6" x14ac:dyDescent="0.3">
      <c r="A479" s="69">
        <v>439</v>
      </c>
      <c r="B479" s="70" t="s">
        <v>927</v>
      </c>
      <c r="C479" s="70" t="s">
        <v>928</v>
      </c>
      <c r="D479" s="70"/>
      <c r="E479" s="69" t="s">
        <v>1215</v>
      </c>
      <c r="F479" s="70" t="s">
        <v>1346</v>
      </c>
    </row>
    <row r="480" spans="1:6" x14ac:dyDescent="0.3">
      <c r="A480" s="71">
        <v>64</v>
      </c>
      <c r="B480" s="72" t="s">
        <v>179</v>
      </c>
      <c r="C480" s="72" t="s">
        <v>180</v>
      </c>
      <c r="D480" s="71" t="s">
        <v>149</v>
      </c>
      <c r="E480" s="71" t="s">
        <v>1215</v>
      </c>
      <c r="F480" s="71" t="s">
        <v>1346</v>
      </c>
    </row>
    <row r="481" spans="1:6" x14ac:dyDescent="0.3">
      <c r="A481" s="69">
        <v>519</v>
      </c>
      <c r="B481" s="70" t="s">
        <v>1071</v>
      </c>
      <c r="C481" s="70" t="s">
        <v>1072</v>
      </c>
      <c r="D481" s="70"/>
      <c r="E481" s="69" t="s">
        <v>1215</v>
      </c>
      <c r="F481" s="70" t="s">
        <v>1346</v>
      </c>
    </row>
    <row r="482" spans="1:6" x14ac:dyDescent="0.3">
      <c r="A482" s="71">
        <v>23</v>
      </c>
      <c r="B482" s="72" t="s">
        <v>90</v>
      </c>
      <c r="C482" s="72" t="s">
        <v>91</v>
      </c>
      <c r="D482" s="71" t="s">
        <v>92</v>
      </c>
      <c r="E482" s="71" t="s">
        <v>1215</v>
      </c>
      <c r="F482" s="71" t="s">
        <v>1346</v>
      </c>
    </row>
    <row r="483" spans="1:6" x14ac:dyDescent="0.3">
      <c r="A483" s="69">
        <v>527</v>
      </c>
      <c r="B483" s="70" t="s">
        <v>1084</v>
      </c>
      <c r="C483" s="70" t="s">
        <v>1085</v>
      </c>
      <c r="D483" s="70"/>
      <c r="E483" s="69" t="s">
        <v>1215</v>
      </c>
      <c r="F483" s="70" t="s">
        <v>1346</v>
      </c>
    </row>
    <row r="484" spans="1:6" x14ac:dyDescent="0.3">
      <c r="A484" s="71">
        <v>386</v>
      </c>
      <c r="B484" s="72" t="s">
        <v>824</v>
      </c>
      <c r="C484" s="72" t="s">
        <v>825</v>
      </c>
      <c r="D484" s="71" t="s">
        <v>615</v>
      </c>
      <c r="E484" s="71" t="s">
        <v>1215</v>
      </c>
      <c r="F484" s="71" t="s">
        <v>1346</v>
      </c>
    </row>
    <row r="485" spans="1:6" x14ac:dyDescent="0.3">
      <c r="A485" s="69">
        <v>522</v>
      </c>
      <c r="B485" s="70" t="s">
        <v>1076</v>
      </c>
      <c r="C485" s="70" t="s">
        <v>1077</v>
      </c>
      <c r="D485" s="70"/>
      <c r="E485" s="69" t="s">
        <v>1215</v>
      </c>
      <c r="F485" s="70" t="s">
        <v>1346</v>
      </c>
    </row>
    <row r="486" spans="1:6" x14ac:dyDescent="0.3">
      <c r="A486" s="71">
        <v>438</v>
      </c>
      <c r="B486" s="72" t="s">
        <v>925</v>
      </c>
      <c r="C486" s="72" t="s">
        <v>926</v>
      </c>
      <c r="D486" s="71"/>
      <c r="E486" s="71" t="s">
        <v>1215</v>
      </c>
      <c r="F486" s="71" t="s">
        <v>1346</v>
      </c>
    </row>
    <row r="487" spans="1:6" x14ac:dyDescent="0.3">
      <c r="A487" s="69">
        <v>242</v>
      </c>
      <c r="B487" s="70" t="s">
        <v>502</v>
      </c>
      <c r="C487" s="70" t="s">
        <v>503</v>
      </c>
      <c r="D487" s="70" t="s">
        <v>51</v>
      </c>
      <c r="E487" s="69" t="s">
        <v>1215</v>
      </c>
      <c r="F487" s="70" t="s">
        <v>1346</v>
      </c>
    </row>
    <row r="488" spans="1:6" x14ac:dyDescent="0.3">
      <c r="A488" s="71">
        <v>334</v>
      </c>
      <c r="B488" s="72" t="s">
        <v>701</v>
      </c>
      <c r="C488" s="72" t="s">
        <v>702</v>
      </c>
      <c r="D488" s="71"/>
      <c r="E488" s="71" t="s">
        <v>1215</v>
      </c>
      <c r="F488" s="71" t="s">
        <v>1346</v>
      </c>
    </row>
    <row r="489" spans="1:6" x14ac:dyDescent="0.3">
      <c r="A489" s="69">
        <v>375</v>
      </c>
      <c r="B489" s="70" t="s">
        <v>799</v>
      </c>
      <c r="C489" s="70" t="s">
        <v>800</v>
      </c>
      <c r="D489" s="70" t="s">
        <v>525</v>
      </c>
      <c r="E489" s="69" t="s">
        <v>1215</v>
      </c>
      <c r="F489" s="70" t="s">
        <v>1346</v>
      </c>
    </row>
    <row r="490" spans="1:6" x14ac:dyDescent="0.3">
      <c r="A490" s="71">
        <v>402</v>
      </c>
      <c r="B490" s="72" t="s">
        <v>854</v>
      </c>
      <c r="C490" s="72" t="s">
        <v>855</v>
      </c>
      <c r="D490" s="71" t="s">
        <v>856</v>
      </c>
      <c r="E490" s="71" t="s">
        <v>1215</v>
      </c>
      <c r="F490" s="71" t="s">
        <v>1346</v>
      </c>
    </row>
    <row r="491" spans="1:6" x14ac:dyDescent="0.3">
      <c r="A491" s="69">
        <v>343</v>
      </c>
      <c r="B491" s="70" t="s">
        <v>722</v>
      </c>
      <c r="C491" s="70" t="s">
        <v>723</v>
      </c>
      <c r="D491" s="70" t="s">
        <v>724</v>
      </c>
      <c r="E491" s="69" t="s">
        <v>1215</v>
      </c>
      <c r="F491" s="70" t="s">
        <v>1346</v>
      </c>
    </row>
    <row r="492" spans="1:6" x14ac:dyDescent="0.3">
      <c r="A492" s="71">
        <v>544</v>
      </c>
      <c r="B492" s="72" t="s">
        <v>1113</v>
      </c>
      <c r="C492" s="72" t="s">
        <v>1114</v>
      </c>
      <c r="D492" s="71"/>
      <c r="E492" s="71" t="s">
        <v>1215</v>
      </c>
      <c r="F492" s="71" t="s">
        <v>1346</v>
      </c>
    </row>
    <row r="493" spans="1:6" x14ac:dyDescent="0.3">
      <c r="A493" s="69">
        <v>594</v>
      </c>
      <c r="B493" s="70" t="s">
        <v>1198</v>
      </c>
      <c r="C493" s="70" t="s">
        <v>1199</v>
      </c>
      <c r="D493" s="70"/>
      <c r="E493" s="69" t="s">
        <v>1215</v>
      </c>
      <c r="F493" s="70" t="s">
        <v>1346</v>
      </c>
    </row>
    <row r="494" spans="1:6" x14ac:dyDescent="0.3">
      <c r="A494" s="71">
        <v>256</v>
      </c>
      <c r="B494" s="72" t="s">
        <v>526</v>
      </c>
      <c r="C494" s="72" t="s">
        <v>527</v>
      </c>
      <c r="D494" s="71" t="s">
        <v>528</v>
      </c>
      <c r="E494" s="71" t="s">
        <v>1215</v>
      </c>
      <c r="F494" s="71" t="s">
        <v>1346</v>
      </c>
    </row>
    <row r="495" spans="1:6" x14ac:dyDescent="0.3">
      <c r="A495" s="69">
        <v>264</v>
      </c>
      <c r="B495" s="70" t="s">
        <v>544</v>
      </c>
      <c r="C495" s="70" t="s">
        <v>545</v>
      </c>
      <c r="D495" s="70" t="s">
        <v>546</v>
      </c>
      <c r="E495" s="69" t="s">
        <v>1215</v>
      </c>
      <c r="F495" s="70" t="s">
        <v>1346</v>
      </c>
    </row>
    <row r="496" spans="1:6" x14ac:dyDescent="0.3">
      <c r="A496" s="71">
        <v>24</v>
      </c>
      <c r="B496" s="72" t="s">
        <v>93</v>
      </c>
      <c r="C496" s="72" t="s">
        <v>94</v>
      </c>
      <c r="D496" s="71" t="s">
        <v>95</v>
      </c>
      <c r="E496" s="71" t="s">
        <v>1215</v>
      </c>
      <c r="F496" s="71" t="s">
        <v>1346</v>
      </c>
    </row>
    <row r="497" spans="1:6" x14ac:dyDescent="0.3">
      <c r="A497" s="69">
        <v>94</v>
      </c>
      <c r="B497" s="70" t="s">
        <v>226</v>
      </c>
      <c r="C497" s="70"/>
      <c r="D497" s="70"/>
      <c r="E497" s="69" t="s">
        <v>1215</v>
      </c>
      <c r="F497" s="70" t="s">
        <v>1346</v>
      </c>
    </row>
    <row r="498" spans="1:6" x14ac:dyDescent="0.3">
      <c r="A498" s="71">
        <v>269</v>
      </c>
      <c r="B498" s="72" t="s">
        <v>559</v>
      </c>
      <c r="C498" s="72" t="s">
        <v>560</v>
      </c>
      <c r="D498" s="71" t="s">
        <v>561</v>
      </c>
      <c r="E498" s="71" t="s">
        <v>1215</v>
      </c>
      <c r="F498" s="71" t="s">
        <v>1346</v>
      </c>
    </row>
    <row r="499" spans="1:6" x14ac:dyDescent="0.3">
      <c r="A499" s="69">
        <v>71</v>
      </c>
      <c r="B499" s="70" t="s">
        <v>191</v>
      </c>
      <c r="C499" s="70"/>
      <c r="D499" s="70"/>
      <c r="E499" s="69" t="s">
        <v>1215</v>
      </c>
      <c r="F499" s="70" t="s">
        <v>1346</v>
      </c>
    </row>
    <row r="500" spans="1:6" x14ac:dyDescent="0.3">
      <c r="A500" s="71">
        <v>373</v>
      </c>
      <c r="B500" s="72" t="s">
        <v>794</v>
      </c>
      <c r="C500" s="72" t="s">
        <v>795</v>
      </c>
      <c r="D500" s="71" t="s">
        <v>335</v>
      </c>
      <c r="E500" s="71" t="s">
        <v>1215</v>
      </c>
      <c r="F500" s="71" t="s">
        <v>1346</v>
      </c>
    </row>
    <row r="501" spans="1:6" x14ac:dyDescent="0.3">
      <c r="A501" s="69">
        <v>230</v>
      </c>
      <c r="B501" s="70" t="s">
        <v>480</v>
      </c>
      <c r="C501" s="70" t="s">
        <v>481</v>
      </c>
      <c r="D501" s="70" t="s">
        <v>482</v>
      </c>
      <c r="E501" s="69" t="s">
        <v>1215</v>
      </c>
      <c r="F501" s="70" t="s">
        <v>1346</v>
      </c>
    </row>
    <row r="502" spans="1:6" x14ac:dyDescent="0.3">
      <c r="A502" s="71">
        <v>107</v>
      </c>
      <c r="B502" s="72" t="s">
        <v>245</v>
      </c>
      <c r="C502" s="72" t="s">
        <v>246</v>
      </c>
      <c r="D502" s="71" t="s">
        <v>188</v>
      </c>
      <c r="E502" s="71" t="s">
        <v>1215</v>
      </c>
      <c r="F502" s="71" t="s">
        <v>1346</v>
      </c>
    </row>
    <row r="503" spans="1:6" x14ac:dyDescent="0.3">
      <c r="A503" s="69">
        <v>173</v>
      </c>
      <c r="B503" s="70" t="s">
        <v>369</v>
      </c>
      <c r="C503" s="70" t="s">
        <v>370</v>
      </c>
      <c r="D503" s="70" t="s">
        <v>371</v>
      </c>
      <c r="E503" s="69" t="s">
        <v>1215</v>
      </c>
      <c r="F503" s="70" t="s">
        <v>1346</v>
      </c>
    </row>
    <row r="504" spans="1:6" x14ac:dyDescent="0.3">
      <c r="A504" s="71">
        <v>299</v>
      </c>
      <c r="B504" s="72" t="s">
        <v>621</v>
      </c>
      <c r="C504" s="72" t="s">
        <v>622</v>
      </c>
      <c r="D504" s="71"/>
      <c r="E504" s="71" t="s">
        <v>1215</v>
      </c>
      <c r="F504" s="71" t="s">
        <v>1346</v>
      </c>
    </row>
    <row r="505" spans="1:6" x14ac:dyDescent="0.3">
      <c r="A505" s="69">
        <v>263</v>
      </c>
      <c r="B505" s="70" t="s">
        <v>543</v>
      </c>
      <c r="C505" s="70"/>
      <c r="D505" s="70" t="s">
        <v>528</v>
      </c>
      <c r="E505" s="69" t="s">
        <v>1215</v>
      </c>
      <c r="F505" s="70" t="s">
        <v>1346</v>
      </c>
    </row>
    <row r="506" spans="1:6" x14ac:dyDescent="0.3">
      <c r="A506" s="71">
        <v>557</v>
      </c>
      <c r="B506" s="72" t="s">
        <v>1139</v>
      </c>
      <c r="C506" s="72"/>
      <c r="D506" s="71"/>
      <c r="E506" s="71" t="s">
        <v>1215</v>
      </c>
      <c r="F506" s="71" t="s">
        <v>1346</v>
      </c>
    </row>
    <row r="507" spans="1:6" x14ac:dyDescent="0.3">
      <c r="A507" s="69">
        <v>412</v>
      </c>
      <c r="B507" s="70" t="s">
        <v>873</v>
      </c>
      <c r="C507" s="70" t="s">
        <v>874</v>
      </c>
      <c r="D507" s="70" t="s">
        <v>875</v>
      </c>
      <c r="E507" s="69" t="s">
        <v>1215</v>
      </c>
      <c r="F507" s="70" t="s">
        <v>1346</v>
      </c>
    </row>
    <row r="508" spans="1:6" x14ac:dyDescent="0.3">
      <c r="A508" s="71">
        <v>286</v>
      </c>
      <c r="B508" s="72" t="s">
        <v>595</v>
      </c>
      <c r="C508" s="72" t="s">
        <v>596</v>
      </c>
      <c r="D508" s="71"/>
      <c r="E508" s="71" t="s">
        <v>1215</v>
      </c>
      <c r="F508" s="71" t="s">
        <v>1346</v>
      </c>
    </row>
    <row r="509" spans="1:6" x14ac:dyDescent="0.3">
      <c r="A509" s="69">
        <v>565</v>
      </c>
      <c r="B509" s="70" t="s">
        <v>1152</v>
      </c>
      <c r="C509" s="70" t="s">
        <v>1153</v>
      </c>
      <c r="D509" s="70"/>
      <c r="E509" s="69" t="s">
        <v>1215</v>
      </c>
      <c r="F509" s="70" t="s">
        <v>1346</v>
      </c>
    </row>
    <row r="510" spans="1:6" x14ac:dyDescent="0.3">
      <c r="A510" s="71">
        <v>216</v>
      </c>
      <c r="B510" s="72" t="s">
        <v>450</v>
      </c>
      <c r="C510" s="72" t="s">
        <v>451</v>
      </c>
      <c r="D510" s="71" t="s">
        <v>417</v>
      </c>
      <c r="E510" s="71" t="s">
        <v>1215</v>
      </c>
      <c r="F510" s="71" t="s">
        <v>1346</v>
      </c>
    </row>
    <row r="511" spans="1:6" x14ac:dyDescent="0.3">
      <c r="A511" s="69">
        <v>106</v>
      </c>
      <c r="B511" s="70" t="s">
        <v>243</v>
      </c>
      <c r="C511" s="70" t="s">
        <v>244</v>
      </c>
      <c r="D511" s="70"/>
      <c r="E511" s="69" t="s">
        <v>1215</v>
      </c>
      <c r="F511" s="70" t="s">
        <v>1346</v>
      </c>
    </row>
    <row r="512" spans="1:6" x14ac:dyDescent="0.3">
      <c r="A512" s="71">
        <v>546</v>
      </c>
      <c r="B512" s="72" t="s">
        <v>1117</v>
      </c>
      <c r="C512" s="72" t="s">
        <v>1118</v>
      </c>
      <c r="D512" s="71"/>
      <c r="E512" s="71" t="s">
        <v>1215</v>
      </c>
      <c r="F512" s="71" t="s">
        <v>1346</v>
      </c>
    </row>
    <row r="513" spans="1:6" x14ac:dyDescent="0.3">
      <c r="A513" s="69">
        <v>419</v>
      </c>
      <c r="B513" s="70" t="s">
        <v>889</v>
      </c>
      <c r="C513" s="70" t="s">
        <v>890</v>
      </c>
      <c r="D513" s="70" t="s">
        <v>417</v>
      </c>
      <c r="E513" s="69" t="s">
        <v>1215</v>
      </c>
      <c r="F513" s="70" t="s">
        <v>1346</v>
      </c>
    </row>
    <row r="514" spans="1:6" x14ac:dyDescent="0.3">
      <c r="A514" s="71">
        <v>140</v>
      </c>
      <c r="B514" s="72" t="s">
        <v>306</v>
      </c>
      <c r="C514" s="72" t="s">
        <v>307</v>
      </c>
      <c r="D514" s="71" t="s">
        <v>149</v>
      </c>
      <c r="E514" s="71" t="s">
        <v>1215</v>
      </c>
      <c r="F514" s="71" t="s">
        <v>1346</v>
      </c>
    </row>
    <row r="515" spans="1:6" x14ac:dyDescent="0.3">
      <c r="A515" s="69">
        <v>398</v>
      </c>
      <c r="B515" s="70" t="s">
        <v>846</v>
      </c>
      <c r="C515" s="70" t="s">
        <v>847</v>
      </c>
      <c r="D515" s="70" t="s">
        <v>848</v>
      </c>
      <c r="E515" s="69" t="s">
        <v>1215</v>
      </c>
      <c r="F515" s="70" t="s">
        <v>1346</v>
      </c>
    </row>
    <row r="516" spans="1:6" x14ac:dyDescent="0.3">
      <c r="A516" s="71">
        <v>135</v>
      </c>
      <c r="B516" s="72" t="s">
        <v>297</v>
      </c>
      <c r="C516" s="72"/>
      <c r="D516" s="71"/>
      <c r="E516" s="71" t="s">
        <v>1215</v>
      </c>
      <c r="F516" s="71" t="s">
        <v>1346</v>
      </c>
    </row>
    <row r="517" spans="1:6" x14ac:dyDescent="0.3">
      <c r="A517" s="69">
        <v>211</v>
      </c>
      <c r="B517" s="70" t="s">
        <v>443</v>
      </c>
      <c r="C517" s="70"/>
      <c r="D517" s="70" t="s">
        <v>444</v>
      </c>
      <c r="E517" s="69" t="s">
        <v>1215</v>
      </c>
      <c r="F517" s="70" t="s">
        <v>1346</v>
      </c>
    </row>
    <row r="518" spans="1:6" x14ac:dyDescent="0.3">
      <c r="A518" s="71">
        <v>314</v>
      </c>
      <c r="B518" s="72" t="s">
        <v>650</v>
      </c>
      <c r="C518" s="72" t="s">
        <v>651</v>
      </c>
      <c r="D518" s="71" t="s">
        <v>652</v>
      </c>
      <c r="E518" s="71" t="s">
        <v>1215</v>
      </c>
      <c r="F518" s="71" t="s">
        <v>1346</v>
      </c>
    </row>
    <row r="519" spans="1:6" x14ac:dyDescent="0.3">
      <c r="A519" s="69">
        <v>40</v>
      </c>
      <c r="B519" s="70" t="s">
        <v>125</v>
      </c>
      <c r="C519" s="70" t="s">
        <v>126</v>
      </c>
      <c r="D519" s="70" t="s">
        <v>127</v>
      </c>
      <c r="E519" s="69" t="s">
        <v>1215</v>
      </c>
      <c r="F519" s="70" t="s">
        <v>1346</v>
      </c>
    </row>
    <row r="520" spans="1:6" x14ac:dyDescent="0.3">
      <c r="A520" s="71">
        <v>397</v>
      </c>
      <c r="B520" s="72" t="s">
        <v>844</v>
      </c>
      <c r="C520" s="72" t="s">
        <v>845</v>
      </c>
      <c r="D520" s="71"/>
      <c r="E520" s="71" t="s">
        <v>1215</v>
      </c>
      <c r="F520" s="71" t="s">
        <v>1346</v>
      </c>
    </row>
    <row r="521" spans="1:6" x14ac:dyDescent="0.3">
      <c r="A521" s="69">
        <v>158</v>
      </c>
      <c r="B521" s="70" t="s">
        <v>340</v>
      </c>
      <c r="C521" s="70" t="s">
        <v>341</v>
      </c>
      <c r="D521" s="70" t="s">
        <v>208</v>
      </c>
      <c r="E521" s="69" t="s">
        <v>1215</v>
      </c>
      <c r="F521" s="70" t="s">
        <v>1346</v>
      </c>
    </row>
    <row r="522" spans="1:6" x14ac:dyDescent="0.3">
      <c r="A522" s="71">
        <v>274</v>
      </c>
      <c r="B522" s="72" t="s">
        <v>572</v>
      </c>
      <c r="C522" s="72" t="s">
        <v>573</v>
      </c>
      <c r="D522" s="71"/>
      <c r="E522" s="71" t="s">
        <v>1215</v>
      </c>
      <c r="F522" s="71" t="s">
        <v>1346</v>
      </c>
    </row>
    <row r="523" spans="1:6" x14ac:dyDescent="0.3">
      <c r="A523" s="69">
        <v>359</v>
      </c>
      <c r="B523" s="70" t="s">
        <v>759</v>
      </c>
      <c r="C523" s="70"/>
      <c r="D523" s="70" t="s">
        <v>760</v>
      </c>
      <c r="E523" s="69" t="s">
        <v>1215</v>
      </c>
      <c r="F523" s="70" t="s">
        <v>1346</v>
      </c>
    </row>
    <row r="524" spans="1:6" x14ac:dyDescent="0.3">
      <c r="A524" s="71">
        <v>323</v>
      </c>
      <c r="B524" s="72" t="s">
        <v>675</v>
      </c>
      <c r="C524" s="72" t="s">
        <v>676</v>
      </c>
      <c r="D524" s="71" t="s">
        <v>677</v>
      </c>
      <c r="E524" s="71" t="s">
        <v>1215</v>
      </c>
      <c r="F524" s="71" t="s">
        <v>1346</v>
      </c>
    </row>
    <row r="525" spans="1:6" x14ac:dyDescent="0.3">
      <c r="A525" s="69">
        <v>246</v>
      </c>
      <c r="B525" s="70" t="s">
        <v>509</v>
      </c>
      <c r="C525" s="70" t="s">
        <v>510</v>
      </c>
      <c r="D525" s="70" t="s">
        <v>51</v>
      </c>
      <c r="E525" s="69" t="s">
        <v>1215</v>
      </c>
      <c r="F525" s="70" t="s">
        <v>1346</v>
      </c>
    </row>
    <row r="526" spans="1:6" x14ac:dyDescent="0.3">
      <c r="A526" s="71">
        <v>261</v>
      </c>
      <c r="B526" s="72" t="s">
        <v>538</v>
      </c>
      <c r="C526" s="72" t="s">
        <v>539</v>
      </c>
      <c r="D526" s="71" t="s">
        <v>540</v>
      </c>
      <c r="E526" s="71" t="s">
        <v>1215</v>
      </c>
      <c r="F526" s="71" t="s">
        <v>1346</v>
      </c>
    </row>
    <row r="527" spans="1:6" x14ac:dyDescent="0.3">
      <c r="A527" s="69">
        <v>482</v>
      </c>
      <c r="B527" s="70" t="s">
        <v>1004</v>
      </c>
      <c r="C527" s="70" t="s">
        <v>1005</v>
      </c>
      <c r="D527" s="70"/>
      <c r="E527" s="69" t="s">
        <v>1215</v>
      </c>
      <c r="F527" s="70" t="s">
        <v>1346</v>
      </c>
    </row>
    <row r="528" spans="1:6" x14ac:dyDescent="0.3">
      <c r="A528" s="71">
        <v>374</v>
      </c>
      <c r="B528" s="72" t="s">
        <v>796</v>
      </c>
      <c r="C528" s="72" t="s">
        <v>797</v>
      </c>
      <c r="D528" s="71" t="s">
        <v>798</v>
      </c>
      <c r="E528" s="71" t="s">
        <v>1215</v>
      </c>
      <c r="F528" s="71" t="s">
        <v>1346</v>
      </c>
    </row>
    <row r="529" spans="1:6" x14ac:dyDescent="0.3">
      <c r="A529" s="69">
        <v>210</v>
      </c>
      <c r="B529" s="70" t="s">
        <v>441</v>
      </c>
      <c r="C529" s="70" t="s">
        <v>442</v>
      </c>
      <c r="D529" s="70" t="s">
        <v>275</v>
      </c>
      <c r="E529" s="69" t="s">
        <v>1215</v>
      </c>
      <c r="F529" s="70" t="s">
        <v>1346</v>
      </c>
    </row>
    <row r="530" spans="1:6" x14ac:dyDescent="0.3">
      <c r="A530" s="71">
        <v>584</v>
      </c>
      <c r="B530" s="72" t="s">
        <v>1184</v>
      </c>
      <c r="C530" s="72"/>
      <c r="D530" s="71"/>
      <c r="E530" s="71" t="s">
        <v>1215</v>
      </c>
      <c r="F530" s="71" t="s">
        <v>1346</v>
      </c>
    </row>
    <row r="531" spans="1:6" x14ac:dyDescent="0.3">
      <c r="A531" s="69">
        <v>467</v>
      </c>
      <c r="B531" s="70" t="s">
        <v>980</v>
      </c>
      <c r="C531" s="70" t="s">
        <v>981</v>
      </c>
      <c r="D531" s="70"/>
      <c r="E531" s="69" t="s">
        <v>1215</v>
      </c>
      <c r="F531" s="70" t="s">
        <v>1346</v>
      </c>
    </row>
    <row r="532" spans="1:6" x14ac:dyDescent="0.3">
      <c r="A532" s="71">
        <v>583</v>
      </c>
      <c r="B532" s="72" t="s">
        <v>1183</v>
      </c>
      <c r="C532" s="72"/>
      <c r="D532" s="71"/>
      <c r="E532" s="71" t="s">
        <v>1215</v>
      </c>
      <c r="F532" s="71" t="s">
        <v>1346</v>
      </c>
    </row>
    <row r="533" spans="1:6" x14ac:dyDescent="0.3">
      <c r="A533" s="69">
        <v>205</v>
      </c>
      <c r="B533" s="70" t="s">
        <v>431</v>
      </c>
      <c r="C533" s="70" t="s">
        <v>432</v>
      </c>
      <c r="D533" s="70"/>
      <c r="E533" s="69" t="s">
        <v>1215</v>
      </c>
      <c r="F533" s="70" t="s">
        <v>1346</v>
      </c>
    </row>
    <row r="534" spans="1:6" x14ac:dyDescent="0.3">
      <c r="A534" s="71">
        <v>69</v>
      </c>
      <c r="B534" s="72" t="s">
        <v>189</v>
      </c>
      <c r="C534" s="72"/>
      <c r="D534" s="71"/>
      <c r="E534" s="71" t="s">
        <v>1215</v>
      </c>
      <c r="F534" s="71" t="s">
        <v>1346</v>
      </c>
    </row>
    <row r="535" spans="1:6" x14ac:dyDescent="0.3">
      <c r="A535" s="69">
        <v>76</v>
      </c>
      <c r="B535" s="70" t="s">
        <v>198</v>
      </c>
      <c r="C535" s="70" t="s">
        <v>199</v>
      </c>
      <c r="D535" s="70"/>
      <c r="E535" s="69" t="s">
        <v>1215</v>
      </c>
      <c r="F535" s="70" t="s">
        <v>1346</v>
      </c>
    </row>
    <row r="536" spans="1:6" x14ac:dyDescent="0.3">
      <c r="A536" s="71">
        <v>605</v>
      </c>
      <c r="B536" s="72" t="s">
        <v>1313</v>
      </c>
      <c r="C536" s="72" t="s">
        <v>1314</v>
      </c>
      <c r="D536" s="71"/>
      <c r="E536" s="71" t="s">
        <v>1215</v>
      </c>
      <c r="F536" s="71" t="s">
        <v>1346</v>
      </c>
    </row>
    <row r="537" spans="1:6" x14ac:dyDescent="0.3">
      <c r="A537" s="69">
        <v>451</v>
      </c>
      <c r="B537" s="70" t="s">
        <v>950</v>
      </c>
      <c r="C537" s="70" t="s">
        <v>951</v>
      </c>
      <c r="D537" s="70"/>
      <c r="E537" s="69" t="s">
        <v>1215</v>
      </c>
      <c r="F537" s="70" t="s">
        <v>1346</v>
      </c>
    </row>
    <row r="538" spans="1:6" x14ac:dyDescent="0.3">
      <c r="A538" s="71">
        <v>508</v>
      </c>
      <c r="B538" s="72" t="s">
        <v>1052</v>
      </c>
      <c r="C538" s="72"/>
      <c r="D538" s="71"/>
      <c r="E538" s="71" t="s">
        <v>1215</v>
      </c>
      <c r="F538" s="71" t="s">
        <v>1346</v>
      </c>
    </row>
    <row r="539" spans="1:6" x14ac:dyDescent="0.3">
      <c r="A539" s="69">
        <v>611</v>
      </c>
      <c r="B539" s="70" t="s">
        <v>1325</v>
      </c>
      <c r="C539" s="70"/>
      <c r="D539" s="70"/>
      <c r="E539" s="69" t="s">
        <v>1215</v>
      </c>
      <c r="F539" s="70" t="s">
        <v>1346</v>
      </c>
    </row>
    <row r="540" spans="1:6" x14ac:dyDescent="0.3">
      <c r="A540" s="71">
        <v>509</v>
      </c>
      <c r="B540" s="72" t="s">
        <v>1053</v>
      </c>
      <c r="C540" s="72" t="s">
        <v>1054</v>
      </c>
      <c r="D540" s="71"/>
      <c r="E540" s="71" t="s">
        <v>1215</v>
      </c>
      <c r="F540" s="71" t="s">
        <v>1346</v>
      </c>
    </row>
    <row r="541" spans="1:6" x14ac:dyDescent="0.3">
      <c r="A541" s="69">
        <v>460</v>
      </c>
      <c r="B541" s="70" t="s">
        <v>966</v>
      </c>
      <c r="C541" s="70" t="s">
        <v>967</v>
      </c>
      <c r="D541" s="70"/>
      <c r="E541" s="69" t="s">
        <v>1215</v>
      </c>
      <c r="F541" s="70" t="s">
        <v>1346</v>
      </c>
    </row>
    <row r="542" spans="1:6" x14ac:dyDescent="0.3">
      <c r="A542" s="71">
        <v>574</v>
      </c>
      <c r="B542" s="72" t="s">
        <v>1166</v>
      </c>
      <c r="C542" s="72"/>
      <c r="D542" s="71"/>
      <c r="E542" s="71" t="s">
        <v>1215</v>
      </c>
      <c r="F542" s="71" t="s">
        <v>1346</v>
      </c>
    </row>
    <row r="543" spans="1:6" x14ac:dyDescent="0.3">
      <c r="A543" s="69">
        <v>441</v>
      </c>
      <c r="B543" s="70" t="s">
        <v>931</v>
      </c>
      <c r="C543" s="70" t="s">
        <v>932</v>
      </c>
      <c r="D543" s="70"/>
      <c r="E543" s="69" t="s">
        <v>1215</v>
      </c>
      <c r="F543" s="70" t="s">
        <v>1346</v>
      </c>
    </row>
    <row r="544" spans="1:6" x14ac:dyDescent="0.3">
      <c r="A544" s="71">
        <v>259</v>
      </c>
      <c r="B544" s="72" t="s">
        <v>533</v>
      </c>
      <c r="C544" s="72" t="s">
        <v>534</v>
      </c>
      <c r="D544" s="71" t="s">
        <v>535</v>
      </c>
      <c r="E544" s="71" t="s">
        <v>1215</v>
      </c>
      <c r="F544" s="71" t="s">
        <v>1346</v>
      </c>
    </row>
    <row r="545" spans="1:6" x14ac:dyDescent="0.3">
      <c r="A545" s="69">
        <v>413</v>
      </c>
      <c r="B545" s="70" t="s">
        <v>876</v>
      </c>
      <c r="C545" s="70" t="s">
        <v>877</v>
      </c>
      <c r="D545" s="70" t="s">
        <v>878</v>
      </c>
      <c r="E545" s="69" t="s">
        <v>1215</v>
      </c>
      <c r="F545" s="70" t="s">
        <v>1346</v>
      </c>
    </row>
    <row r="546" spans="1:6" x14ac:dyDescent="0.3">
      <c r="A546" s="71">
        <v>449</v>
      </c>
      <c r="B546" s="72" t="s">
        <v>946</v>
      </c>
      <c r="C546" s="72" t="s">
        <v>947</v>
      </c>
      <c r="D546" s="71" t="s">
        <v>48</v>
      </c>
      <c r="E546" s="71" t="s">
        <v>1215</v>
      </c>
      <c r="F546" s="71" t="s">
        <v>1346</v>
      </c>
    </row>
    <row r="547" spans="1:6" x14ac:dyDescent="0.3">
      <c r="A547" s="69">
        <v>91</v>
      </c>
      <c r="B547" s="70" t="s">
        <v>221</v>
      </c>
      <c r="C547" s="70" t="s">
        <v>222</v>
      </c>
      <c r="D547" s="70" t="s">
        <v>208</v>
      </c>
      <c r="E547" s="69" t="s">
        <v>1215</v>
      </c>
      <c r="F547" s="70" t="s">
        <v>1346</v>
      </c>
    </row>
    <row r="548" spans="1:6" x14ac:dyDescent="0.3">
      <c r="A548" s="71">
        <v>540</v>
      </c>
      <c r="B548" s="72" t="s">
        <v>1105</v>
      </c>
      <c r="C548" s="72" t="s">
        <v>1106</v>
      </c>
      <c r="D548" s="71"/>
      <c r="E548" s="71" t="s">
        <v>1215</v>
      </c>
      <c r="F548" s="71" t="s">
        <v>1346</v>
      </c>
    </row>
    <row r="549" spans="1:6" x14ac:dyDescent="0.3">
      <c r="A549" s="69">
        <v>224</v>
      </c>
      <c r="B549" s="70" t="s">
        <v>468</v>
      </c>
      <c r="C549" s="70" t="s">
        <v>469</v>
      </c>
      <c r="D549" s="70"/>
      <c r="E549" s="69" t="s">
        <v>1215</v>
      </c>
      <c r="F549" s="70" t="s">
        <v>1346</v>
      </c>
    </row>
    <row r="550" spans="1:6" x14ac:dyDescent="0.3">
      <c r="A550" s="71">
        <v>390</v>
      </c>
      <c r="B550" s="72" t="s">
        <v>831</v>
      </c>
      <c r="C550" s="72" t="s">
        <v>832</v>
      </c>
      <c r="D550" s="71" t="s">
        <v>79</v>
      </c>
      <c r="E550" s="71" t="s">
        <v>1215</v>
      </c>
      <c r="F550" s="71" t="s">
        <v>1346</v>
      </c>
    </row>
    <row r="551" spans="1:6" x14ac:dyDescent="0.3">
      <c r="A551" s="69">
        <v>490</v>
      </c>
      <c r="B551" s="70" t="s">
        <v>1017</v>
      </c>
      <c r="C551" s="70" t="s">
        <v>1018</v>
      </c>
      <c r="D551" s="70"/>
      <c r="E551" s="69" t="s">
        <v>1215</v>
      </c>
      <c r="F551" s="70" t="s">
        <v>1346</v>
      </c>
    </row>
    <row r="552" spans="1:6" x14ac:dyDescent="0.3">
      <c r="A552" s="71">
        <v>303</v>
      </c>
      <c r="B552" s="72" t="s">
        <v>629</v>
      </c>
      <c r="C552" s="72" t="s">
        <v>630</v>
      </c>
      <c r="D552" s="71" t="s">
        <v>631</v>
      </c>
      <c r="E552" s="71" t="s">
        <v>1215</v>
      </c>
      <c r="F552" s="71" t="s">
        <v>1346</v>
      </c>
    </row>
    <row r="553" spans="1:6" x14ac:dyDescent="0.3">
      <c r="A553" s="69">
        <v>215</v>
      </c>
      <c r="B553" s="70" t="s">
        <v>448</v>
      </c>
      <c r="C553" s="70" t="s">
        <v>449</v>
      </c>
      <c r="D553" s="70" t="s">
        <v>188</v>
      </c>
      <c r="E553" s="69" t="s">
        <v>1215</v>
      </c>
      <c r="F553" s="70" t="s">
        <v>1346</v>
      </c>
    </row>
    <row r="554" spans="1:6" x14ac:dyDescent="0.3">
      <c r="A554" s="71">
        <v>244</v>
      </c>
      <c r="B554" s="72" t="s">
        <v>505</v>
      </c>
      <c r="C554" s="72" t="s">
        <v>506</v>
      </c>
      <c r="D554" s="71" t="s">
        <v>51</v>
      </c>
      <c r="E554" s="71" t="s">
        <v>1215</v>
      </c>
      <c r="F554" s="71" t="s">
        <v>1346</v>
      </c>
    </row>
    <row r="555" spans="1:6" x14ac:dyDescent="0.3">
      <c r="A555" s="69">
        <v>25</v>
      </c>
      <c r="B555" s="70" t="s">
        <v>96</v>
      </c>
      <c r="C555" s="70" t="s">
        <v>97</v>
      </c>
      <c r="D555" s="70" t="s">
        <v>48</v>
      </c>
      <c r="E555" s="69" t="s">
        <v>1215</v>
      </c>
      <c r="F555" s="70" t="s">
        <v>1346</v>
      </c>
    </row>
    <row r="556" spans="1:6" x14ac:dyDescent="0.3">
      <c r="A556" s="71">
        <v>619</v>
      </c>
      <c r="B556" s="72" t="s">
        <v>1340</v>
      </c>
      <c r="C556" s="72" t="s">
        <v>1341</v>
      </c>
      <c r="D556" s="71"/>
      <c r="E556" s="71" t="s">
        <v>1215</v>
      </c>
      <c r="F556" s="71" t="s">
        <v>1346</v>
      </c>
    </row>
    <row r="557" spans="1:6" x14ac:dyDescent="0.3">
      <c r="A557" s="69">
        <v>240</v>
      </c>
      <c r="B557" s="70" t="s">
        <v>497</v>
      </c>
      <c r="C557" s="70" t="s">
        <v>498</v>
      </c>
      <c r="D557" s="70" t="s">
        <v>403</v>
      </c>
      <c r="E557" s="69" t="s">
        <v>1215</v>
      </c>
      <c r="F557" s="70" t="s">
        <v>1346</v>
      </c>
    </row>
    <row r="558" spans="1:6" x14ac:dyDescent="0.3">
      <c r="A558" s="71">
        <v>524</v>
      </c>
      <c r="B558" s="72" t="s">
        <v>1079</v>
      </c>
      <c r="C558" s="72"/>
      <c r="D558" s="71"/>
      <c r="E558" s="71" t="s">
        <v>1215</v>
      </c>
      <c r="F558" s="71" t="s">
        <v>1346</v>
      </c>
    </row>
    <row r="559" spans="1:6" x14ac:dyDescent="0.3">
      <c r="A559" s="69">
        <v>273</v>
      </c>
      <c r="B559" s="70" t="s">
        <v>569</v>
      </c>
      <c r="C559" s="70" t="s">
        <v>570</v>
      </c>
      <c r="D559" s="70" t="s">
        <v>571</v>
      </c>
      <c r="E559" s="69" t="s">
        <v>1215</v>
      </c>
      <c r="F559" s="70" t="s">
        <v>1346</v>
      </c>
    </row>
    <row r="560" spans="1:6" x14ac:dyDescent="0.3">
      <c r="A560" s="71">
        <v>156</v>
      </c>
      <c r="B560" s="72" t="s">
        <v>336</v>
      </c>
      <c r="C560" s="72" t="s">
        <v>337</v>
      </c>
      <c r="D560" s="71" t="s">
        <v>58</v>
      </c>
      <c r="E560" s="71" t="s">
        <v>1215</v>
      </c>
      <c r="F560" s="71" t="s">
        <v>1346</v>
      </c>
    </row>
    <row r="561" spans="1:6" x14ac:dyDescent="0.3">
      <c r="A561" s="69">
        <v>573</v>
      </c>
      <c r="B561" s="70" t="s">
        <v>1165</v>
      </c>
      <c r="C561" s="70"/>
      <c r="D561" s="70"/>
      <c r="E561" s="69" t="s">
        <v>1215</v>
      </c>
      <c r="F561" s="70" t="s">
        <v>1346</v>
      </c>
    </row>
    <row r="562" spans="1:6" x14ac:dyDescent="0.3">
      <c r="A562" s="71">
        <v>257</v>
      </c>
      <c r="B562" s="72" t="s">
        <v>529</v>
      </c>
      <c r="C562" s="72" t="s">
        <v>530</v>
      </c>
      <c r="D562" s="71" t="s">
        <v>355</v>
      </c>
      <c r="E562" s="71" t="s">
        <v>1215</v>
      </c>
      <c r="F562" s="71" t="s">
        <v>1346</v>
      </c>
    </row>
    <row r="563" spans="1:6" x14ac:dyDescent="0.3">
      <c r="A563" s="69">
        <v>117</v>
      </c>
      <c r="B563" s="70" t="s">
        <v>265</v>
      </c>
      <c r="C563" s="70" t="s">
        <v>266</v>
      </c>
      <c r="D563" s="70"/>
      <c r="E563" s="69" t="s">
        <v>1215</v>
      </c>
      <c r="F563" s="70" t="s">
        <v>1346</v>
      </c>
    </row>
    <row r="564" spans="1:6" x14ac:dyDescent="0.3">
      <c r="A564" s="71">
        <v>218</v>
      </c>
      <c r="B564" s="72" t="s">
        <v>454</v>
      </c>
      <c r="C564" s="72" t="s">
        <v>455</v>
      </c>
      <c r="D564" s="71"/>
      <c r="E564" s="71" t="s">
        <v>1215</v>
      </c>
      <c r="F564" s="71" t="s">
        <v>1346</v>
      </c>
    </row>
    <row r="565" spans="1:6" x14ac:dyDescent="0.3">
      <c r="A565" s="69">
        <v>446</v>
      </c>
      <c r="B565" s="70" t="s">
        <v>941</v>
      </c>
      <c r="C565" s="70" t="s">
        <v>942</v>
      </c>
      <c r="D565" s="70"/>
      <c r="E565" s="69" t="s">
        <v>1215</v>
      </c>
      <c r="F565" s="70" t="s">
        <v>1346</v>
      </c>
    </row>
    <row r="566" spans="1:6" x14ac:dyDescent="0.3">
      <c r="A566" s="71">
        <v>74</v>
      </c>
      <c r="B566" s="72" t="s">
        <v>194</v>
      </c>
      <c r="C566" s="72" t="s">
        <v>195</v>
      </c>
      <c r="D566" s="71" t="s">
        <v>134</v>
      </c>
      <c r="E566" s="71" t="s">
        <v>1215</v>
      </c>
      <c r="F566" s="71" t="s">
        <v>1346</v>
      </c>
    </row>
    <row r="567" spans="1:6" x14ac:dyDescent="0.3">
      <c r="A567" s="69">
        <v>280</v>
      </c>
      <c r="B567" s="70" t="s">
        <v>584</v>
      </c>
      <c r="C567" s="70" t="s">
        <v>585</v>
      </c>
      <c r="D567" s="70" t="s">
        <v>586</v>
      </c>
      <c r="E567" s="69" t="s">
        <v>1215</v>
      </c>
      <c r="F567" s="70" t="s">
        <v>1346</v>
      </c>
    </row>
    <row r="568" spans="1:6" x14ac:dyDescent="0.3">
      <c r="A568" s="71">
        <v>152</v>
      </c>
      <c r="B568" s="72" t="s">
        <v>327</v>
      </c>
      <c r="C568" s="72" t="s">
        <v>328</v>
      </c>
      <c r="D568" s="71" t="s">
        <v>48</v>
      </c>
      <c r="E568" s="71" t="s">
        <v>1215</v>
      </c>
      <c r="F568" s="71" t="s">
        <v>1346</v>
      </c>
    </row>
    <row r="569" spans="1:6" x14ac:dyDescent="0.3">
      <c r="A569" s="69">
        <v>383</v>
      </c>
      <c r="B569" s="70" t="s">
        <v>817</v>
      </c>
      <c r="C569" s="70" t="s">
        <v>818</v>
      </c>
      <c r="D569" s="70"/>
      <c r="E569" s="69" t="s">
        <v>1215</v>
      </c>
      <c r="F569" s="70" t="s">
        <v>1346</v>
      </c>
    </row>
    <row r="570" spans="1:6" x14ac:dyDescent="0.3">
      <c r="A570" s="71">
        <v>416</v>
      </c>
      <c r="B570" s="72" t="s">
        <v>885</v>
      </c>
      <c r="C570" s="72"/>
      <c r="D570" s="71"/>
      <c r="E570" s="71" t="s">
        <v>1215</v>
      </c>
      <c r="F570" s="71" t="s">
        <v>1346</v>
      </c>
    </row>
    <row r="571" spans="1:6" x14ac:dyDescent="0.3">
      <c r="A571" s="69">
        <v>403</v>
      </c>
      <c r="B571" s="70" t="s">
        <v>857</v>
      </c>
      <c r="C571" s="70"/>
      <c r="D571" s="70" t="s">
        <v>858</v>
      </c>
      <c r="E571" s="69" t="s">
        <v>1215</v>
      </c>
      <c r="F571" s="70" t="s">
        <v>1346</v>
      </c>
    </row>
    <row r="572" spans="1:6" x14ac:dyDescent="0.3">
      <c r="A572" s="71">
        <v>183</v>
      </c>
      <c r="B572" s="72" t="s">
        <v>382</v>
      </c>
      <c r="C572" s="72" t="s">
        <v>383</v>
      </c>
      <c r="D572" s="71" t="s">
        <v>384</v>
      </c>
      <c r="E572" s="71" t="s">
        <v>1215</v>
      </c>
      <c r="F572" s="71" t="s">
        <v>1346</v>
      </c>
    </row>
    <row r="573" spans="1:6" x14ac:dyDescent="0.3">
      <c r="A573" s="69">
        <v>520</v>
      </c>
      <c r="B573" s="70" t="s">
        <v>1073</v>
      </c>
      <c r="C573" s="70" t="s">
        <v>1074</v>
      </c>
      <c r="D573" s="70"/>
      <c r="E573" s="69" t="s">
        <v>1215</v>
      </c>
      <c r="F573" s="70" t="s">
        <v>1346</v>
      </c>
    </row>
    <row r="574" spans="1:6" x14ac:dyDescent="0.3">
      <c r="A574" s="71">
        <v>528</v>
      </c>
      <c r="B574" s="72" t="s">
        <v>1086</v>
      </c>
      <c r="C574" s="72"/>
      <c r="D574" s="71"/>
      <c r="E574" s="71" t="s">
        <v>1215</v>
      </c>
      <c r="F574" s="71" t="s">
        <v>1346</v>
      </c>
    </row>
    <row r="575" spans="1:6" x14ac:dyDescent="0.3">
      <c r="A575" s="69">
        <v>266</v>
      </c>
      <c r="B575" s="70" t="s">
        <v>550</v>
      </c>
      <c r="C575" s="70" t="s">
        <v>551</v>
      </c>
      <c r="D575" s="70" t="s">
        <v>552</v>
      </c>
      <c r="E575" s="69" t="s">
        <v>1215</v>
      </c>
      <c r="F575" s="70" t="s">
        <v>1346</v>
      </c>
    </row>
    <row r="576" spans="1:6" x14ac:dyDescent="0.3">
      <c r="A576" s="71">
        <v>237</v>
      </c>
      <c r="B576" s="72" t="s">
        <v>491</v>
      </c>
      <c r="C576" s="72" t="s">
        <v>492</v>
      </c>
      <c r="D576" s="71" t="s">
        <v>420</v>
      </c>
      <c r="E576" s="71" t="s">
        <v>1215</v>
      </c>
      <c r="F576" s="71" t="s">
        <v>1346</v>
      </c>
    </row>
    <row r="577" spans="1:6" x14ac:dyDescent="0.3">
      <c r="A577" s="69">
        <v>492</v>
      </c>
      <c r="B577" s="70" t="s">
        <v>1021</v>
      </c>
      <c r="C577" s="70" t="s">
        <v>1022</v>
      </c>
      <c r="D577" s="70"/>
      <c r="E577" s="69" t="s">
        <v>1215</v>
      </c>
      <c r="F577" s="70" t="s">
        <v>1346</v>
      </c>
    </row>
    <row r="578" spans="1:6" x14ac:dyDescent="0.3">
      <c r="A578" s="71">
        <v>267</v>
      </c>
      <c r="B578" s="72" t="s">
        <v>553</v>
      </c>
      <c r="C578" s="72" t="s">
        <v>554</v>
      </c>
      <c r="D578" s="71" t="s">
        <v>555</v>
      </c>
      <c r="E578" s="71" t="s">
        <v>1215</v>
      </c>
      <c r="F578" s="71" t="s">
        <v>1346</v>
      </c>
    </row>
    <row r="579" spans="1:6" x14ac:dyDescent="0.3">
      <c r="A579" s="69">
        <v>431</v>
      </c>
      <c r="B579" s="70" t="s">
        <v>912</v>
      </c>
      <c r="C579" s="70" t="s">
        <v>913</v>
      </c>
      <c r="D579" s="70"/>
      <c r="E579" s="69" t="s">
        <v>1215</v>
      </c>
      <c r="F579" s="70" t="s">
        <v>1346</v>
      </c>
    </row>
    <row r="580" spans="1:6" x14ac:dyDescent="0.3">
      <c r="A580" s="71">
        <v>233</v>
      </c>
      <c r="B580" s="72" t="s">
        <v>486</v>
      </c>
      <c r="C580" s="72" t="s">
        <v>487</v>
      </c>
      <c r="D580" s="71" t="s">
        <v>485</v>
      </c>
      <c r="E580" s="71" t="s">
        <v>1215</v>
      </c>
      <c r="F580" s="71" t="s">
        <v>1346</v>
      </c>
    </row>
    <row r="581" spans="1:6" x14ac:dyDescent="0.3">
      <c r="A581" s="69">
        <v>326</v>
      </c>
      <c r="B581" s="70" t="s">
        <v>680</v>
      </c>
      <c r="C581" s="70" t="s">
        <v>681</v>
      </c>
      <c r="D581" s="70" t="s">
        <v>309</v>
      </c>
      <c r="E581" s="69" t="s">
        <v>1215</v>
      </c>
      <c r="F581" s="70" t="s">
        <v>1346</v>
      </c>
    </row>
    <row r="582" spans="1:6" x14ac:dyDescent="0.3">
      <c r="A582" s="69">
        <v>591</v>
      </c>
      <c r="B582" s="70" t="s">
        <v>1195</v>
      </c>
      <c r="C582" s="70"/>
      <c r="D582" s="70"/>
      <c r="E582" s="69" t="s">
        <v>1215</v>
      </c>
      <c r="F582" s="70" t="s">
        <v>1346</v>
      </c>
    </row>
    <row r="583" spans="1:6" x14ac:dyDescent="0.3">
      <c r="A583" s="71">
        <v>456</v>
      </c>
      <c r="B583" s="72" t="s">
        <v>960</v>
      </c>
      <c r="C583" s="72"/>
      <c r="D583" s="71"/>
      <c r="E583" s="71" t="s">
        <v>1215</v>
      </c>
      <c r="F583" s="71" t="s">
        <v>1346</v>
      </c>
    </row>
    <row r="584" spans="1:6" x14ac:dyDescent="0.3">
      <c r="A584" s="69">
        <v>429</v>
      </c>
      <c r="B584" s="70" t="s">
        <v>909</v>
      </c>
      <c r="C584" s="70" t="s">
        <v>910</v>
      </c>
      <c r="D584" s="70"/>
      <c r="E584" s="69" t="s">
        <v>1215</v>
      </c>
      <c r="F584" s="70" t="s">
        <v>1346</v>
      </c>
    </row>
    <row r="585" spans="1:6" x14ac:dyDescent="0.3">
      <c r="A585" s="71">
        <v>568</v>
      </c>
      <c r="B585" s="72" t="s">
        <v>1158</v>
      </c>
      <c r="C585" s="72"/>
      <c r="D585" s="71"/>
      <c r="E585" s="71" t="s">
        <v>1215</v>
      </c>
      <c r="F585" s="71" t="s">
        <v>1346</v>
      </c>
    </row>
    <row r="586" spans="1:6" x14ac:dyDescent="0.3">
      <c r="A586" s="69">
        <v>247</v>
      </c>
      <c r="B586" s="70" t="s">
        <v>511</v>
      </c>
      <c r="C586" s="70" t="s">
        <v>512</v>
      </c>
      <c r="D586" s="70" t="s">
        <v>513</v>
      </c>
      <c r="E586" s="69" t="s">
        <v>1215</v>
      </c>
      <c r="F586" s="70" t="s">
        <v>1346</v>
      </c>
    </row>
    <row r="587" spans="1:6" x14ac:dyDescent="0.3">
      <c r="A587" s="71">
        <v>134</v>
      </c>
      <c r="B587" s="72" t="s">
        <v>294</v>
      </c>
      <c r="C587" s="72" t="s">
        <v>295</v>
      </c>
      <c r="D587" s="71" t="s">
        <v>296</v>
      </c>
      <c r="E587" s="71" t="s">
        <v>1215</v>
      </c>
      <c r="F587" s="71" t="s">
        <v>1346</v>
      </c>
    </row>
    <row r="588" spans="1:6" x14ac:dyDescent="0.3">
      <c r="A588" s="69">
        <v>393</v>
      </c>
      <c r="B588" s="70" t="s">
        <v>836</v>
      </c>
      <c r="C588" s="70" t="s">
        <v>837</v>
      </c>
      <c r="D588" s="70" t="s">
        <v>309</v>
      </c>
      <c r="E588" s="69" t="s">
        <v>1215</v>
      </c>
      <c r="F588" s="70" t="s">
        <v>1346</v>
      </c>
    </row>
    <row r="589" spans="1:6" x14ac:dyDescent="0.3">
      <c r="A589" s="71">
        <v>108</v>
      </c>
      <c r="B589" s="72" t="s">
        <v>247</v>
      </c>
      <c r="C589" s="72"/>
      <c r="D589" s="71"/>
      <c r="E589" s="71" t="s">
        <v>1215</v>
      </c>
      <c r="F589" s="71" t="s">
        <v>1346</v>
      </c>
    </row>
    <row r="590" spans="1:6" x14ac:dyDescent="0.3">
      <c r="A590" s="69">
        <v>160</v>
      </c>
      <c r="B590" s="70" t="s">
        <v>343</v>
      </c>
      <c r="C590" s="70" t="s">
        <v>344</v>
      </c>
      <c r="D590" s="70" t="s">
        <v>335</v>
      </c>
      <c r="E590" s="69" t="s">
        <v>1215</v>
      </c>
      <c r="F590" s="70" t="s">
        <v>1346</v>
      </c>
    </row>
    <row r="591" spans="1:6" x14ac:dyDescent="0.3">
      <c r="A591" s="71">
        <v>607</v>
      </c>
      <c r="B591" s="72" t="s">
        <v>1317</v>
      </c>
      <c r="C591" s="72" t="s">
        <v>1318</v>
      </c>
      <c r="D591" s="71"/>
      <c r="E591" s="71" t="s">
        <v>1215</v>
      </c>
      <c r="F591" s="71" t="s">
        <v>1346</v>
      </c>
    </row>
    <row r="592" spans="1:6" x14ac:dyDescent="0.3">
      <c r="A592" s="69">
        <v>26</v>
      </c>
      <c r="B592" s="70" t="s">
        <v>98</v>
      </c>
      <c r="C592" s="70" t="s">
        <v>99</v>
      </c>
      <c r="D592" s="70" t="s">
        <v>100</v>
      </c>
      <c r="E592" s="69" t="s">
        <v>1215</v>
      </c>
      <c r="F592" s="70" t="s">
        <v>1346</v>
      </c>
    </row>
    <row r="593" spans="1:6" x14ac:dyDescent="0.3">
      <c r="A593" s="71">
        <v>409</v>
      </c>
      <c r="B593" s="72" t="s">
        <v>867</v>
      </c>
      <c r="C593" s="72" t="s">
        <v>868</v>
      </c>
      <c r="D593" s="71" t="s">
        <v>48</v>
      </c>
      <c r="E593" s="71" t="s">
        <v>1215</v>
      </c>
      <c r="F593" s="71" t="s">
        <v>1346</v>
      </c>
    </row>
    <row r="594" spans="1:6" x14ac:dyDescent="0.3">
      <c r="A594" s="69">
        <v>176</v>
      </c>
      <c r="B594" s="70" t="s">
        <v>375</v>
      </c>
      <c r="C594" s="70" t="s">
        <v>376</v>
      </c>
      <c r="D594" s="70" t="s">
        <v>377</v>
      </c>
      <c r="E594" s="69" t="s">
        <v>1215</v>
      </c>
      <c r="F594" s="70" t="s">
        <v>1346</v>
      </c>
    </row>
    <row r="595" spans="1:6" x14ac:dyDescent="0.3">
      <c r="A595" s="71">
        <v>330</v>
      </c>
      <c r="B595" s="72" t="s">
        <v>691</v>
      </c>
      <c r="C595" s="72" t="s">
        <v>692</v>
      </c>
      <c r="D595" s="71" t="s">
        <v>693</v>
      </c>
      <c r="E595" s="71" t="s">
        <v>1215</v>
      </c>
      <c r="F595" s="71" t="s">
        <v>1346</v>
      </c>
    </row>
    <row r="596" spans="1:6" x14ac:dyDescent="0.3">
      <c r="A596" s="69">
        <v>585</v>
      </c>
      <c r="B596" s="70" t="s">
        <v>1185</v>
      </c>
      <c r="C596" s="70" t="s">
        <v>1186</v>
      </c>
      <c r="D596" s="70"/>
      <c r="E596" s="69" t="s">
        <v>1215</v>
      </c>
      <c r="F596" s="70" t="s">
        <v>1346</v>
      </c>
    </row>
    <row r="597" spans="1:6" x14ac:dyDescent="0.3">
      <c r="A597" s="71">
        <v>604</v>
      </c>
      <c r="B597" s="72" t="s">
        <v>1301</v>
      </c>
      <c r="C597" s="72" t="s">
        <v>1302</v>
      </c>
      <c r="D597" s="71"/>
      <c r="E597" s="71" t="s">
        <v>1215</v>
      </c>
      <c r="F597" s="71" t="s">
        <v>1346</v>
      </c>
    </row>
    <row r="598" spans="1:6" x14ac:dyDescent="0.3">
      <c r="A598" s="69">
        <v>597</v>
      </c>
      <c r="B598" s="70" t="s">
        <v>1204</v>
      </c>
      <c r="C598" s="70"/>
      <c r="D598" s="70"/>
      <c r="E598" s="69" t="s">
        <v>1215</v>
      </c>
      <c r="F598" s="70" t="s">
        <v>1346</v>
      </c>
    </row>
    <row r="599" spans="1:6" x14ac:dyDescent="0.3">
      <c r="A599" s="71">
        <v>249</v>
      </c>
      <c r="B599" s="72" t="s">
        <v>516</v>
      </c>
      <c r="C599" s="72"/>
      <c r="D599" s="71"/>
      <c r="E599" s="71" t="s">
        <v>1215</v>
      </c>
      <c r="F599" s="71" t="s">
        <v>1346</v>
      </c>
    </row>
    <row r="600" spans="1:6" x14ac:dyDescent="0.3">
      <c r="A600" s="69">
        <v>42</v>
      </c>
      <c r="B600" s="70" t="s">
        <v>130</v>
      </c>
      <c r="C600" s="70" t="s">
        <v>131</v>
      </c>
      <c r="D600" s="70"/>
      <c r="E600" s="69" t="s">
        <v>1215</v>
      </c>
      <c r="F600" s="70" t="s">
        <v>1346</v>
      </c>
    </row>
    <row r="601" spans="1:6" x14ac:dyDescent="0.3">
      <c r="A601" s="71">
        <v>517</v>
      </c>
      <c r="B601" s="72" t="s">
        <v>1305</v>
      </c>
      <c r="C601" s="72" t="s">
        <v>1306</v>
      </c>
      <c r="D601" s="71"/>
      <c r="E601" s="71" t="s">
        <v>1215</v>
      </c>
      <c r="F601" s="71" t="s">
        <v>1346</v>
      </c>
    </row>
    <row r="602" spans="1:6" x14ac:dyDescent="0.3">
      <c r="A602" s="69">
        <v>149</v>
      </c>
      <c r="B602" s="70" t="s">
        <v>321</v>
      </c>
      <c r="C602" s="70"/>
      <c r="D602" s="70"/>
      <c r="E602" s="69" t="s">
        <v>1215</v>
      </c>
      <c r="F602" s="70" t="s">
        <v>1346</v>
      </c>
    </row>
    <row r="603" spans="1:6" x14ac:dyDescent="0.3">
      <c r="A603" s="2"/>
      <c r="B603" s="65"/>
      <c r="C603" s="65"/>
      <c r="D603" s="2"/>
      <c r="E603" s="2"/>
      <c r="F603" s="2"/>
    </row>
    <row r="604" spans="1:6" x14ac:dyDescent="0.3">
      <c r="A604" s="63"/>
      <c r="B604" s="64"/>
      <c r="C604" s="64"/>
      <c r="D604" s="64"/>
      <c r="E604" s="63"/>
      <c r="F604" s="64"/>
    </row>
    <row r="605" spans="1:6" x14ac:dyDescent="0.3">
      <c r="A605" s="2"/>
      <c r="B605" s="65"/>
      <c r="C605" s="65"/>
      <c r="D605" s="2"/>
      <c r="E605" s="2"/>
      <c r="F605" s="2"/>
    </row>
    <row r="606" spans="1:6" x14ac:dyDescent="0.3">
      <c r="A606" s="63"/>
      <c r="B606" s="64"/>
      <c r="C606" s="64"/>
      <c r="D606" s="64"/>
      <c r="E606" s="63"/>
      <c r="F606" s="64"/>
    </row>
    <row r="607" spans="1:6" x14ac:dyDescent="0.3">
      <c r="A607" s="2"/>
      <c r="B607" s="65"/>
      <c r="C607" s="65"/>
      <c r="D607" s="2"/>
      <c r="E607" s="2"/>
      <c r="F607" s="2"/>
    </row>
    <row r="608" spans="1:6" x14ac:dyDescent="0.3">
      <c r="A608" s="63"/>
      <c r="B608" s="64"/>
      <c r="C608" s="64"/>
      <c r="D608" s="64"/>
      <c r="E608" s="63"/>
      <c r="F608" s="64"/>
    </row>
    <row r="609" spans="1:6" x14ac:dyDescent="0.3">
      <c r="A609" s="2"/>
      <c r="B609" s="65"/>
      <c r="C609" s="65"/>
      <c r="D609" s="2"/>
      <c r="E609" s="2"/>
      <c r="F609" s="2"/>
    </row>
    <row r="610" spans="1:6" x14ac:dyDescent="0.3">
      <c r="A610" s="63"/>
      <c r="B610" s="64"/>
      <c r="C610" s="64"/>
      <c r="D610" s="64"/>
      <c r="E610" s="63"/>
      <c r="F610" s="64"/>
    </row>
    <row r="611" spans="1:6" x14ac:dyDescent="0.3">
      <c r="A611" s="2"/>
      <c r="B611" s="65"/>
      <c r="C611" s="65"/>
      <c r="D611" s="2"/>
      <c r="E611" s="2"/>
      <c r="F611" s="2"/>
    </row>
    <row r="612" spans="1:6" x14ac:dyDescent="0.3">
      <c r="A612" s="63"/>
      <c r="B612" s="64"/>
      <c r="C612" s="64"/>
      <c r="D612" s="64"/>
      <c r="E612" s="63"/>
      <c r="F612" s="64"/>
    </row>
    <row r="613" spans="1:6" x14ac:dyDescent="0.3">
      <c r="A613" s="2"/>
      <c r="B613" s="65"/>
      <c r="C613" s="65"/>
      <c r="D613" s="2"/>
      <c r="E613" s="2"/>
      <c r="F613" s="2"/>
    </row>
    <row r="614" spans="1:6" x14ac:dyDescent="0.3">
      <c r="A614" s="63"/>
      <c r="B614" s="64"/>
      <c r="C614" s="64"/>
      <c r="D614" s="64"/>
      <c r="E614" s="63"/>
      <c r="F614" s="64"/>
    </row>
    <row r="615" spans="1:6" x14ac:dyDescent="0.3">
      <c r="A615" s="2"/>
      <c r="B615" s="65"/>
      <c r="C615" s="65"/>
      <c r="D615" s="2"/>
      <c r="E615" s="2"/>
      <c r="F615" s="2"/>
    </row>
    <row r="616" spans="1:6" x14ac:dyDescent="0.3">
      <c r="A616" s="63"/>
      <c r="B616" s="64"/>
      <c r="C616" s="64"/>
      <c r="D616" s="64"/>
      <c r="E616" s="63"/>
      <c r="F616" s="64"/>
    </row>
    <row r="617" spans="1:6" x14ac:dyDescent="0.3">
      <c r="A617" s="2"/>
      <c r="B617" s="65"/>
      <c r="C617" s="65"/>
      <c r="D617" s="2"/>
      <c r="E617" s="2"/>
      <c r="F617" s="2"/>
    </row>
    <row r="618" spans="1:6" x14ac:dyDescent="0.3">
      <c r="A618" s="63"/>
      <c r="B618" s="64"/>
      <c r="C618" s="64"/>
      <c r="D618" s="64"/>
      <c r="E618" s="63"/>
      <c r="F618" s="64"/>
    </row>
    <row r="619" spans="1:6" x14ac:dyDescent="0.3">
      <c r="A619" s="2"/>
      <c r="B619" s="65"/>
      <c r="C619" s="65"/>
      <c r="D619" s="2"/>
      <c r="E619" s="2"/>
      <c r="F619" s="2"/>
    </row>
    <row r="620" spans="1:6" x14ac:dyDescent="0.3">
      <c r="A620" s="63"/>
      <c r="B620" s="64"/>
      <c r="C620" s="64"/>
      <c r="D620" s="64"/>
      <c r="E620" s="63"/>
      <c r="F620" s="64"/>
    </row>
    <row r="621" spans="1:6" x14ac:dyDescent="0.3">
      <c r="A621" s="2"/>
      <c r="B621" s="65"/>
      <c r="C621" s="65"/>
      <c r="D621" s="2"/>
      <c r="E621" s="2"/>
      <c r="F621" s="2"/>
    </row>
    <row r="622" spans="1:6" x14ac:dyDescent="0.3">
      <c r="A622" s="63"/>
      <c r="B622" s="64"/>
      <c r="C622" s="64"/>
      <c r="D622" s="64"/>
      <c r="E622" s="63"/>
      <c r="F622" s="64"/>
    </row>
    <row r="623" spans="1:6" x14ac:dyDescent="0.3">
      <c r="A623" s="2"/>
      <c r="B623" s="65"/>
      <c r="C623" s="65"/>
      <c r="D623" s="2"/>
      <c r="E623" s="2"/>
      <c r="F623" s="2"/>
    </row>
    <row r="624" spans="1:6" x14ac:dyDescent="0.3">
      <c r="A624" s="63"/>
      <c r="B624" s="64"/>
      <c r="C624" s="64"/>
      <c r="D624" s="64"/>
      <c r="E624" s="63"/>
      <c r="F624" s="64"/>
    </row>
    <row r="625" spans="1:6" x14ac:dyDescent="0.3">
      <c r="A625" s="2"/>
      <c r="B625" s="65"/>
      <c r="C625" s="65"/>
      <c r="D625" s="2"/>
      <c r="E625" s="2"/>
      <c r="F625" s="2"/>
    </row>
    <row r="626" spans="1:6" x14ac:dyDescent="0.3">
      <c r="A626" s="63"/>
      <c r="B626" s="64"/>
      <c r="C626" s="64"/>
      <c r="D626" s="64"/>
      <c r="E626" s="63"/>
      <c r="F626" s="64"/>
    </row>
    <row r="627" spans="1:6" x14ac:dyDescent="0.3">
      <c r="A627" s="2"/>
      <c r="B627" s="65"/>
      <c r="C627" s="65"/>
      <c r="D627" s="2"/>
      <c r="E627" s="2"/>
      <c r="F627" s="2"/>
    </row>
    <row r="628" spans="1:6" x14ac:dyDescent="0.3">
      <c r="A628" s="63"/>
      <c r="B628" s="64"/>
      <c r="C628" s="64"/>
      <c r="D628" s="64"/>
      <c r="E628" s="63"/>
      <c r="F628" s="64"/>
    </row>
    <row r="629" spans="1:6" x14ac:dyDescent="0.3">
      <c r="A629" s="2"/>
      <c r="B629" s="65"/>
      <c r="C629" s="65"/>
      <c r="D629" s="2"/>
      <c r="E629" s="2"/>
      <c r="F629" s="2"/>
    </row>
    <row r="630" spans="1:6" x14ac:dyDescent="0.3">
      <c r="A630" s="63"/>
      <c r="B630" s="64"/>
      <c r="C630" s="64"/>
      <c r="D630" s="64"/>
      <c r="E630" s="63"/>
      <c r="F630" s="64"/>
    </row>
    <row r="631" spans="1:6" x14ac:dyDescent="0.3">
      <c r="A631" s="2"/>
      <c r="B631" s="65"/>
      <c r="C631" s="65"/>
      <c r="D631" s="2"/>
      <c r="E631" s="2"/>
      <c r="F631" s="2"/>
    </row>
    <row r="632" spans="1:6" x14ac:dyDescent="0.3">
      <c r="A632" s="63"/>
      <c r="B632" s="64"/>
      <c r="C632" s="64"/>
      <c r="D632" s="64"/>
      <c r="E632" s="63"/>
      <c r="F632" s="64"/>
    </row>
    <row r="633" spans="1:6" x14ac:dyDescent="0.3">
      <c r="A633" s="2"/>
      <c r="B633" s="65"/>
      <c r="C633" s="65"/>
      <c r="D633" s="2"/>
      <c r="E633" s="2"/>
      <c r="F633" s="2"/>
    </row>
    <row r="634" spans="1:6" x14ac:dyDescent="0.3">
      <c r="A634" s="63"/>
      <c r="B634" s="64"/>
      <c r="C634" s="64"/>
      <c r="D634" s="64"/>
      <c r="E634" s="63"/>
      <c r="F634" s="64"/>
    </row>
    <row r="635" spans="1:6" x14ac:dyDescent="0.3">
      <c r="A635" s="2"/>
      <c r="B635" s="65"/>
      <c r="C635" s="65"/>
      <c r="D635" s="2"/>
      <c r="E635" s="2"/>
      <c r="F635" s="2"/>
    </row>
    <row r="636" spans="1:6" x14ac:dyDescent="0.3">
      <c r="A636" s="63"/>
      <c r="B636" s="64"/>
      <c r="C636" s="64"/>
      <c r="D636" s="64"/>
      <c r="E636" s="63"/>
      <c r="F636" s="64"/>
    </row>
    <row r="637" spans="1:6" x14ac:dyDescent="0.3">
      <c r="A637" s="2"/>
      <c r="B637" s="65"/>
      <c r="C637" s="65"/>
      <c r="D637" s="2"/>
      <c r="E637" s="2"/>
      <c r="F637" s="2"/>
    </row>
    <row r="638" spans="1:6" x14ac:dyDescent="0.3">
      <c r="A638" s="63"/>
      <c r="B638" s="64"/>
      <c r="C638" s="64"/>
      <c r="D638" s="64"/>
      <c r="E638" s="63"/>
      <c r="F638" s="64"/>
    </row>
    <row r="639" spans="1:6" x14ac:dyDescent="0.3">
      <c r="A639" s="2"/>
      <c r="B639" s="65"/>
      <c r="C639" s="65"/>
      <c r="D639" s="2"/>
      <c r="E639" s="2"/>
      <c r="F639" s="2"/>
    </row>
    <row r="640" spans="1:6" x14ac:dyDescent="0.3">
      <c r="A640" s="63"/>
      <c r="B640" s="64"/>
      <c r="C640" s="64"/>
      <c r="D640" s="64"/>
      <c r="E640" s="63"/>
      <c r="F640" s="64"/>
    </row>
    <row r="641" spans="1:6" x14ac:dyDescent="0.3">
      <c r="A641" s="2"/>
      <c r="B641" s="65"/>
      <c r="C641" s="65"/>
      <c r="D641" s="2"/>
      <c r="E641" s="2"/>
      <c r="F641" s="2"/>
    </row>
    <row r="642" spans="1:6" x14ac:dyDescent="0.3">
      <c r="A642" s="63"/>
      <c r="B642" s="64"/>
      <c r="C642" s="64"/>
      <c r="D642" s="64"/>
      <c r="E642" s="63"/>
      <c r="F642" s="64"/>
    </row>
    <row r="643" spans="1:6" x14ac:dyDescent="0.3">
      <c r="A643" s="2"/>
      <c r="B643" s="65"/>
      <c r="C643" s="65"/>
      <c r="D643" s="2"/>
      <c r="E643" s="2"/>
      <c r="F643" s="2"/>
    </row>
    <row r="644" spans="1:6" x14ac:dyDescent="0.3">
      <c r="A644" s="63"/>
      <c r="B644" s="64"/>
      <c r="C644" s="64"/>
      <c r="D644" s="64"/>
      <c r="E644" s="63"/>
      <c r="F644" s="64"/>
    </row>
    <row r="645" spans="1:6" x14ac:dyDescent="0.3">
      <c r="A645" s="2"/>
      <c r="B645" s="65"/>
      <c r="C645" s="65"/>
      <c r="D645" s="2"/>
      <c r="E645" s="2"/>
      <c r="F645" s="2"/>
    </row>
    <row r="646" spans="1:6" x14ac:dyDescent="0.3">
      <c r="A646" s="63"/>
      <c r="B646" s="64"/>
      <c r="C646" s="64"/>
      <c r="D646" s="64"/>
      <c r="E646" s="63"/>
      <c r="F646" s="64"/>
    </row>
    <row r="647" spans="1:6" x14ac:dyDescent="0.3">
      <c r="A647" s="2"/>
      <c r="B647" s="65"/>
      <c r="C647" s="65"/>
      <c r="D647" s="2"/>
      <c r="E647" s="2"/>
      <c r="F647" s="2"/>
    </row>
    <row r="648" spans="1:6" x14ac:dyDescent="0.3">
      <c r="A648" s="63"/>
      <c r="B648" s="64"/>
      <c r="C648" s="64"/>
      <c r="D648" s="64"/>
      <c r="E648" s="63"/>
      <c r="F648" s="64"/>
    </row>
    <row r="649" spans="1:6" x14ac:dyDescent="0.3">
      <c r="A649" s="2"/>
      <c r="B649" s="65"/>
      <c r="C649" s="65"/>
      <c r="D649" s="2"/>
      <c r="E649" s="2"/>
      <c r="F649" s="2"/>
    </row>
    <row r="650" spans="1:6" x14ac:dyDescent="0.3">
      <c r="A650" s="63"/>
      <c r="B650" s="64"/>
      <c r="C650" s="64"/>
      <c r="D650" s="64"/>
      <c r="E650" s="63"/>
      <c r="F650" s="64"/>
    </row>
    <row r="651" spans="1:6" x14ac:dyDescent="0.3">
      <c r="A651" s="2"/>
      <c r="B651" s="65"/>
      <c r="C651" s="65"/>
      <c r="D651" s="2"/>
      <c r="E651" s="2"/>
      <c r="F651" s="2"/>
    </row>
    <row r="652" spans="1:6" x14ac:dyDescent="0.3">
      <c r="A652" s="63"/>
      <c r="B652" s="64"/>
      <c r="C652" s="64"/>
      <c r="D652" s="64"/>
      <c r="E652" s="63"/>
      <c r="F652" s="64"/>
    </row>
    <row r="653" spans="1:6" x14ac:dyDescent="0.3">
      <c r="A653" s="2"/>
      <c r="B653" s="65"/>
      <c r="C653" s="65"/>
      <c r="D653" s="2"/>
      <c r="E653" s="2"/>
      <c r="F653" s="2"/>
    </row>
    <row r="654" spans="1:6" x14ac:dyDescent="0.3">
      <c r="A654" s="63"/>
      <c r="B654" s="64"/>
      <c r="C654" s="64"/>
      <c r="D654" s="64"/>
      <c r="E654" s="63"/>
      <c r="F654" s="64"/>
    </row>
    <row r="655" spans="1:6" x14ac:dyDescent="0.3">
      <c r="A655" s="2"/>
      <c r="B655" s="65"/>
      <c r="C655" s="65"/>
      <c r="D655" s="2"/>
      <c r="E655" s="2"/>
      <c r="F655" s="2"/>
    </row>
    <row r="656" spans="1:6" x14ac:dyDescent="0.3">
      <c r="A656" s="63"/>
      <c r="B656" s="64"/>
      <c r="C656" s="64"/>
      <c r="D656" s="64"/>
      <c r="E656" s="63"/>
      <c r="F656" s="64"/>
    </row>
    <row r="657" spans="1:6" x14ac:dyDescent="0.3">
      <c r="A657" s="2"/>
      <c r="B657" s="65"/>
      <c r="C657" s="65"/>
      <c r="D657" s="2"/>
      <c r="E657" s="2"/>
      <c r="F657" s="2"/>
    </row>
    <row r="658" spans="1:6" x14ac:dyDescent="0.3">
      <c r="A658" s="63"/>
      <c r="B658" s="64"/>
      <c r="C658" s="64"/>
      <c r="D658" s="64"/>
      <c r="E658" s="63"/>
      <c r="F658" s="64"/>
    </row>
    <row r="659" spans="1:6" x14ac:dyDescent="0.3">
      <c r="A659" s="2"/>
      <c r="B659" s="65"/>
      <c r="C659" s="65"/>
      <c r="D659" s="2"/>
      <c r="E659" s="2"/>
      <c r="F659" s="2"/>
    </row>
    <row r="660" spans="1:6" x14ac:dyDescent="0.3">
      <c r="A660" s="63"/>
      <c r="B660" s="64"/>
      <c r="C660" s="64"/>
      <c r="D660" s="64"/>
      <c r="E660" s="63"/>
      <c r="F660" s="64"/>
    </row>
    <row r="661" spans="1:6" x14ac:dyDescent="0.3">
      <c r="A661" s="2"/>
      <c r="B661" s="65"/>
      <c r="C661" s="65"/>
      <c r="D661" s="2"/>
      <c r="E661" s="2"/>
      <c r="F661" s="2"/>
    </row>
    <row r="662" spans="1:6" x14ac:dyDescent="0.3">
      <c r="A662" s="63"/>
      <c r="B662" s="64"/>
      <c r="C662" s="64"/>
      <c r="D662" s="64"/>
      <c r="E662" s="63"/>
      <c r="F662" s="64"/>
    </row>
    <row r="663" spans="1:6" x14ac:dyDescent="0.3">
      <c r="A663" s="2"/>
      <c r="B663" s="65"/>
      <c r="C663" s="65"/>
      <c r="D663" s="2"/>
      <c r="E663" s="2"/>
      <c r="F663" s="2"/>
    </row>
    <row r="664" spans="1:6" x14ac:dyDescent="0.3">
      <c r="A664" s="63"/>
      <c r="B664" s="64"/>
      <c r="C664" s="64"/>
      <c r="D664" s="64"/>
      <c r="E664" s="63"/>
      <c r="F664" s="64"/>
    </row>
    <row r="665" spans="1:6" x14ac:dyDescent="0.3">
      <c r="A665" s="2"/>
      <c r="B665" s="65"/>
      <c r="C665" s="65"/>
      <c r="D665" s="2"/>
      <c r="E665" s="2"/>
      <c r="F665" s="2"/>
    </row>
    <row r="666" spans="1:6" x14ac:dyDescent="0.3">
      <c r="A666" s="63"/>
      <c r="B666" s="64"/>
      <c r="C666" s="64"/>
      <c r="D666" s="64"/>
      <c r="E666" s="63"/>
      <c r="F666" s="64"/>
    </row>
    <row r="667" spans="1:6" x14ac:dyDescent="0.3">
      <c r="A667" s="2"/>
      <c r="B667" s="65"/>
      <c r="C667" s="65"/>
      <c r="D667" s="2"/>
      <c r="E667" s="2"/>
      <c r="F667" s="2"/>
    </row>
    <row r="668" spans="1:6" x14ac:dyDescent="0.3">
      <c r="A668" s="63"/>
      <c r="B668" s="64"/>
      <c r="C668" s="64"/>
      <c r="D668" s="64"/>
      <c r="E668" s="63"/>
      <c r="F668" s="64"/>
    </row>
    <row r="669" spans="1:6" x14ac:dyDescent="0.3">
      <c r="A669" s="2"/>
      <c r="B669" s="65"/>
      <c r="C669" s="65"/>
      <c r="D669" s="2"/>
      <c r="E669" s="2"/>
      <c r="F669" s="2"/>
    </row>
    <row r="670" spans="1:6" x14ac:dyDescent="0.3">
      <c r="A670" s="63"/>
      <c r="B670" s="64"/>
      <c r="C670" s="64"/>
      <c r="D670" s="64"/>
      <c r="E670" s="63"/>
      <c r="F670" s="64"/>
    </row>
    <row r="671" spans="1:6" x14ac:dyDescent="0.3">
      <c r="A671" s="2"/>
      <c r="B671" s="65"/>
      <c r="C671" s="65"/>
      <c r="D671" s="2"/>
      <c r="E671" s="2"/>
      <c r="F671" s="2"/>
    </row>
    <row r="672" spans="1:6" x14ac:dyDescent="0.3">
      <c r="A672" s="63"/>
      <c r="B672" s="64"/>
      <c r="C672" s="64"/>
      <c r="D672" s="64"/>
      <c r="E672" s="63"/>
      <c r="F672" s="64"/>
    </row>
    <row r="673" spans="1:6" x14ac:dyDescent="0.3">
      <c r="A673" s="2"/>
      <c r="B673" s="65"/>
      <c r="C673" s="65"/>
      <c r="D673" s="2"/>
      <c r="E673" s="2"/>
      <c r="F673" s="2"/>
    </row>
    <row r="674" spans="1:6" x14ac:dyDescent="0.3">
      <c r="A674" s="63"/>
      <c r="B674" s="64"/>
      <c r="C674" s="64"/>
      <c r="D674" s="64"/>
      <c r="E674" s="63"/>
      <c r="F674" s="64"/>
    </row>
    <row r="675" spans="1:6" x14ac:dyDescent="0.3">
      <c r="A675" s="2"/>
      <c r="B675" s="65"/>
      <c r="C675" s="65"/>
      <c r="D675" s="2"/>
      <c r="E675" s="2"/>
      <c r="F675" s="2"/>
    </row>
    <row r="676" spans="1:6" x14ac:dyDescent="0.3">
      <c r="A676" s="63"/>
      <c r="B676" s="64"/>
      <c r="C676" s="64"/>
      <c r="D676" s="64"/>
      <c r="E676" s="63"/>
      <c r="F676" s="64"/>
    </row>
    <row r="677" spans="1:6" x14ac:dyDescent="0.3">
      <c r="A677" s="2"/>
      <c r="B677" s="65"/>
      <c r="C677" s="65"/>
      <c r="D677" s="2"/>
      <c r="E677" s="2"/>
      <c r="F677" s="2"/>
    </row>
    <row r="678" spans="1:6" x14ac:dyDescent="0.3">
      <c r="A678" s="63"/>
      <c r="B678" s="64"/>
      <c r="C678" s="64"/>
      <c r="D678" s="64"/>
      <c r="E678" s="63"/>
      <c r="F678" s="64"/>
    </row>
    <row r="679" spans="1:6" x14ac:dyDescent="0.3">
      <c r="A679" s="2"/>
      <c r="B679" s="65"/>
      <c r="C679" s="65"/>
      <c r="D679" s="2"/>
      <c r="E679" s="2"/>
      <c r="F679" s="2"/>
    </row>
    <row r="680" spans="1:6" x14ac:dyDescent="0.3">
      <c r="A680" s="63"/>
      <c r="B680" s="64"/>
      <c r="C680" s="64"/>
      <c r="D680" s="64"/>
      <c r="E680" s="63"/>
      <c r="F680" s="64"/>
    </row>
    <row r="681" spans="1:6" x14ac:dyDescent="0.3">
      <c r="A681" s="2"/>
      <c r="B681" s="65"/>
      <c r="C681" s="65"/>
      <c r="D681" s="2"/>
      <c r="E681" s="2"/>
      <c r="F681" s="2"/>
    </row>
    <row r="682" spans="1:6" x14ac:dyDescent="0.3">
      <c r="A682" s="63"/>
      <c r="B682" s="64"/>
      <c r="C682" s="64"/>
      <c r="D682" s="64"/>
      <c r="E682" s="63"/>
      <c r="F682" s="64"/>
    </row>
    <row r="683" spans="1:6" x14ac:dyDescent="0.3">
      <c r="A683" s="2"/>
      <c r="B683" s="65"/>
      <c r="C683" s="65"/>
      <c r="D683" s="2"/>
      <c r="E683" s="2"/>
      <c r="F683" s="2"/>
    </row>
    <row r="684" spans="1:6" x14ac:dyDescent="0.3">
      <c r="A684" s="63"/>
      <c r="B684" s="64"/>
      <c r="C684" s="64"/>
      <c r="D684" s="64"/>
      <c r="E684" s="63"/>
      <c r="F684" s="64"/>
    </row>
    <row r="685" spans="1:6" x14ac:dyDescent="0.3">
      <c r="A685" s="2"/>
      <c r="B685" s="65"/>
      <c r="C685" s="65"/>
      <c r="D685" s="2"/>
      <c r="E685" s="2"/>
      <c r="F685" s="2"/>
    </row>
    <row r="686" spans="1:6" x14ac:dyDescent="0.3">
      <c r="A686" s="63"/>
      <c r="B686" s="64"/>
      <c r="C686" s="64"/>
      <c r="D686" s="64"/>
      <c r="E686" s="63"/>
      <c r="F686" s="64"/>
    </row>
    <row r="687" spans="1:6" x14ac:dyDescent="0.3">
      <c r="A687" s="2"/>
      <c r="B687" s="65"/>
      <c r="C687" s="65"/>
      <c r="D687" s="2"/>
      <c r="E687" s="2"/>
      <c r="F687" s="2"/>
    </row>
    <row r="688" spans="1:6" x14ac:dyDescent="0.3">
      <c r="A688" s="63"/>
      <c r="B688" s="64"/>
      <c r="C688" s="64"/>
      <c r="D688" s="64"/>
      <c r="E688" s="63"/>
      <c r="F688" s="64"/>
    </row>
    <row r="689" spans="1:6" x14ac:dyDescent="0.3">
      <c r="A689" s="2"/>
      <c r="B689" s="65"/>
      <c r="C689" s="65"/>
      <c r="D689" s="2"/>
      <c r="E689" s="2"/>
      <c r="F689" s="2"/>
    </row>
    <row r="690" spans="1:6" x14ac:dyDescent="0.3">
      <c r="A690" s="63"/>
      <c r="B690" s="64"/>
      <c r="C690" s="64"/>
      <c r="D690" s="64"/>
      <c r="E690" s="63"/>
      <c r="F690" s="64"/>
    </row>
    <row r="691" spans="1:6" x14ac:dyDescent="0.3">
      <c r="A691" s="2"/>
      <c r="B691" s="65"/>
      <c r="C691" s="65"/>
      <c r="D691" s="2"/>
      <c r="E691" s="2"/>
      <c r="F691" s="2"/>
    </row>
    <row r="692" spans="1:6" x14ac:dyDescent="0.3">
      <c r="A692" s="63"/>
      <c r="B692" s="64"/>
      <c r="C692" s="64"/>
      <c r="D692" s="64"/>
      <c r="E692" s="63"/>
      <c r="F692" s="64"/>
    </row>
    <row r="693" spans="1:6" x14ac:dyDescent="0.3">
      <c r="A693" s="2"/>
      <c r="B693" s="65"/>
      <c r="C693" s="65"/>
      <c r="D693" s="2"/>
      <c r="E693" s="2"/>
      <c r="F693" s="2"/>
    </row>
    <row r="694" spans="1:6" x14ac:dyDescent="0.3">
      <c r="A694" s="63"/>
      <c r="B694" s="64"/>
      <c r="C694" s="64"/>
      <c r="D694" s="64"/>
      <c r="E694" s="63"/>
      <c r="F694" s="64"/>
    </row>
    <row r="695" spans="1:6" x14ac:dyDescent="0.3">
      <c r="A695" s="2"/>
      <c r="B695" s="65"/>
      <c r="C695" s="65"/>
      <c r="D695" s="2"/>
      <c r="E695" s="2"/>
      <c r="F695" s="2"/>
    </row>
    <row r="696" spans="1:6" x14ac:dyDescent="0.3">
      <c r="A696" s="63"/>
      <c r="B696" s="64"/>
      <c r="C696" s="64"/>
      <c r="D696" s="64"/>
      <c r="E696" s="63"/>
      <c r="F696" s="64"/>
    </row>
    <row r="697" spans="1:6" x14ac:dyDescent="0.3">
      <c r="A697" s="2"/>
      <c r="B697" s="65"/>
      <c r="C697" s="65"/>
      <c r="D697" s="2"/>
      <c r="E697" s="2"/>
      <c r="F697" s="2"/>
    </row>
    <row r="698" spans="1:6" x14ac:dyDescent="0.3">
      <c r="A698" s="63"/>
      <c r="B698" s="64"/>
      <c r="C698" s="64"/>
      <c r="D698" s="64"/>
      <c r="E698" s="63"/>
      <c r="F698" s="64"/>
    </row>
    <row r="699" spans="1:6" x14ac:dyDescent="0.3">
      <c r="A699" s="2"/>
      <c r="B699" s="65"/>
      <c r="C699" s="65"/>
      <c r="D699" s="2"/>
      <c r="E699" s="2"/>
      <c r="F699" s="2"/>
    </row>
    <row r="700" spans="1:6" x14ac:dyDescent="0.3">
      <c r="A700" s="63"/>
      <c r="B700" s="64"/>
      <c r="C700" s="64"/>
      <c r="D700" s="64"/>
      <c r="E700" s="63"/>
      <c r="F700" s="64"/>
    </row>
    <row r="701" spans="1:6" x14ac:dyDescent="0.3">
      <c r="A701" s="2"/>
      <c r="B701" s="65"/>
      <c r="C701" s="65"/>
      <c r="D701" s="2"/>
      <c r="E701" s="2"/>
      <c r="F701" s="2"/>
    </row>
    <row r="702" spans="1:6" x14ac:dyDescent="0.3">
      <c r="A702" s="63"/>
      <c r="B702" s="64"/>
      <c r="C702" s="64"/>
      <c r="D702" s="64"/>
      <c r="E702" s="63"/>
      <c r="F702" s="64"/>
    </row>
    <row r="703" spans="1:6" x14ac:dyDescent="0.3">
      <c r="A703" s="2"/>
      <c r="B703" s="65"/>
      <c r="C703" s="65"/>
      <c r="D703" s="2"/>
      <c r="E703" s="2"/>
      <c r="F703" s="2"/>
    </row>
    <row r="704" spans="1:6" x14ac:dyDescent="0.3">
      <c r="A704" s="63"/>
      <c r="B704" s="64"/>
      <c r="C704" s="64"/>
      <c r="D704" s="64"/>
      <c r="E704" s="63"/>
      <c r="F704" s="64"/>
    </row>
    <row r="705" spans="1:6" x14ac:dyDescent="0.3">
      <c r="A705" s="2"/>
      <c r="B705" s="65"/>
      <c r="C705" s="65"/>
      <c r="D705" s="2"/>
      <c r="E705" s="2"/>
      <c r="F705" s="2"/>
    </row>
    <row r="706" spans="1:6" x14ac:dyDescent="0.3">
      <c r="A706" s="63"/>
      <c r="B706" s="64"/>
      <c r="C706" s="64"/>
      <c r="D706" s="64"/>
      <c r="E706" s="63"/>
      <c r="F706" s="64"/>
    </row>
    <row r="707" spans="1:6" x14ac:dyDescent="0.3">
      <c r="A707" s="2"/>
      <c r="B707" s="65"/>
      <c r="C707" s="65"/>
      <c r="D707" s="2"/>
      <c r="E707" s="2"/>
      <c r="F707" s="2"/>
    </row>
    <row r="708" spans="1:6" x14ac:dyDescent="0.3">
      <c r="A708" s="63"/>
      <c r="B708" s="64"/>
      <c r="C708" s="64"/>
      <c r="D708" s="64"/>
      <c r="E708" s="63"/>
      <c r="F708" s="64"/>
    </row>
    <row r="709" spans="1:6" x14ac:dyDescent="0.3">
      <c r="A709" s="2"/>
      <c r="B709" s="65"/>
      <c r="C709" s="65"/>
      <c r="D709" s="2"/>
      <c r="E709" s="2"/>
      <c r="F709" s="2"/>
    </row>
    <row r="710" spans="1:6" x14ac:dyDescent="0.3">
      <c r="A710" s="63"/>
      <c r="B710" s="64"/>
      <c r="C710" s="64"/>
      <c r="D710" s="64"/>
      <c r="E710" s="63"/>
      <c r="F710" s="64"/>
    </row>
    <row r="711" spans="1:6" x14ac:dyDescent="0.3">
      <c r="A711" s="2"/>
      <c r="B711" s="65"/>
      <c r="C711" s="65"/>
      <c r="D711" s="2"/>
      <c r="E711" s="2"/>
      <c r="F711" s="2"/>
    </row>
    <row r="712" spans="1:6" x14ac:dyDescent="0.3">
      <c r="A712" s="63"/>
      <c r="B712" s="64"/>
      <c r="C712" s="64"/>
      <c r="D712" s="64"/>
      <c r="E712" s="63"/>
      <c r="F712" s="64"/>
    </row>
    <row r="713" spans="1:6" x14ac:dyDescent="0.3">
      <c r="A713" s="2"/>
      <c r="B713" s="65"/>
      <c r="C713" s="65"/>
      <c r="D713" s="2"/>
      <c r="E713" s="2"/>
      <c r="F713" s="2"/>
    </row>
    <row r="714" spans="1:6" x14ac:dyDescent="0.3">
      <c r="A714" s="63"/>
      <c r="B714" s="64"/>
      <c r="C714" s="64"/>
      <c r="D714" s="64"/>
      <c r="E714" s="63"/>
      <c r="F714" s="64"/>
    </row>
    <row r="715" spans="1:6" x14ac:dyDescent="0.3">
      <c r="A715" s="2"/>
      <c r="B715" s="65"/>
      <c r="C715" s="65"/>
      <c r="D715" s="2"/>
      <c r="E715" s="2"/>
      <c r="F715" s="2"/>
    </row>
    <row r="716" spans="1:6" x14ac:dyDescent="0.3">
      <c r="A716" s="63"/>
      <c r="B716" s="64"/>
      <c r="C716" s="64"/>
      <c r="D716" s="64"/>
      <c r="E716" s="63"/>
      <c r="F716" s="64"/>
    </row>
    <row r="717" spans="1:6" x14ac:dyDescent="0.3">
      <c r="A717" s="2"/>
      <c r="B717" s="65"/>
      <c r="C717" s="65"/>
      <c r="D717" s="2"/>
      <c r="E717" s="2"/>
      <c r="F717" s="2"/>
    </row>
    <row r="718" spans="1:6" x14ac:dyDescent="0.3">
      <c r="A718" s="63"/>
      <c r="B718" s="64"/>
      <c r="C718" s="64"/>
      <c r="D718" s="64"/>
      <c r="E718" s="63"/>
      <c r="F718" s="64"/>
    </row>
    <row r="719" spans="1:6" x14ac:dyDescent="0.3">
      <c r="A719" s="2"/>
      <c r="B719" s="65"/>
      <c r="C719" s="65"/>
      <c r="D719" s="2"/>
      <c r="E719" s="2"/>
      <c r="F719" s="2"/>
    </row>
    <row r="720" spans="1:6" x14ac:dyDescent="0.3">
      <c r="A720" s="63"/>
      <c r="B720" s="64"/>
      <c r="C720" s="64"/>
      <c r="D720" s="64"/>
      <c r="E720" s="63"/>
      <c r="F720" s="64"/>
    </row>
    <row r="721" spans="1:6" x14ac:dyDescent="0.3">
      <c r="A721" s="2"/>
      <c r="B721" s="65"/>
      <c r="C721" s="65"/>
      <c r="D721" s="2"/>
      <c r="E721" s="2"/>
      <c r="F721" s="2"/>
    </row>
    <row r="722" spans="1:6" x14ac:dyDescent="0.3">
      <c r="A722" s="63"/>
      <c r="B722" s="64"/>
      <c r="C722" s="64"/>
      <c r="D722" s="64"/>
      <c r="E722" s="63"/>
      <c r="F722" s="64"/>
    </row>
    <row r="723" spans="1:6" x14ac:dyDescent="0.3">
      <c r="A723" s="2"/>
      <c r="B723" s="65"/>
      <c r="C723" s="65"/>
      <c r="D723" s="2"/>
      <c r="E723" s="2"/>
      <c r="F723" s="2"/>
    </row>
    <row r="724" spans="1:6" x14ac:dyDescent="0.3">
      <c r="A724" s="63"/>
      <c r="B724" s="64"/>
      <c r="C724" s="64"/>
      <c r="D724" s="64"/>
      <c r="E724" s="63"/>
      <c r="F724" s="64"/>
    </row>
    <row r="725" spans="1:6" x14ac:dyDescent="0.3">
      <c r="A725" s="2"/>
      <c r="B725" s="65"/>
      <c r="C725" s="65"/>
      <c r="D725" s="2"/>
      <c r="E725" s="2"/>
      <c r="F725" s="2"/>
    </row>
    <row r="726" spans="1:6" x14ac:dyDescent="0.3">
      <c r="A726" s="63"/>
      <c r="B726" s="64"/>
      <c r="C726" s="64"/>
      <c r="D726" s="64"/>
      <c r="E726" s="63"/>
      <c r="F726" s="64"/>
    </row>
    <row r="727" spans="1:6" x14ac:dyDescent="0.3">
      <c r="A727" s="2"/>
      <c r="B727" s="65"/>
      <c r="C727" s="65"/>
      <c r="D727" s="2"/>
      <c r="E727" s="2"/>
      <c r="F727" s="2"/>
    </row>
    <row r="728" spans="1:6" x14ac:dyDescent="0.3">
      <c r="A728" s="63"/>
      <c r="B728" s="64"/>
      <c r="C728" s="64"/>
      <c r="D728" s="64"/>
      <c r="E728" s="63"/>
      <c r="F728" s="64"/>
    </row>
    <row r="729" spans="1:6" x14ac:dyDescent="0.3">
      <c r="A729" s="2"/>
      <c r="B729" s="65"/>
      <c r="C729" s="65"/>
      <c r="D729" s="2"/>
      <c r="E729" s="2"/>
      <c r="F729" s="2"/>
    </row>
    <row r="730" spans="1:6" x14ac:dyDescent="0.3">
      <c r="A730" s="63"/>
      <c r="B730" s="64"/>
      <c r="C730" s="64"/>
      <c r="D730" s="64"/>
      <c r="E730" s="63"/>
      <c r="F730" s="64"/>
    </row>
    <row r="731" spans="1:6" x14ac:dyDescent="0.3">
      <c r="A731" s="2"/>
      <c r="B731" s="65"/>
      <c r="C731" s="65"/>
      <c r="D731" s="2"/>
      <c r="E731" s="2"/>
      <c r="F731" s="2"/>
    </row>
    <row r="732" spans="1:6" x14ac:dyDescent="0.3">
      <c r="A732" s="63"/>
      <c r="B732" s="64"/>
      <c r="C732" s="64"/>
      <c r="D732" s="64"/>
      <c r="E732" s="63"/>
      <c r="F732" s="64"/>
    </row>
    <row r="733" spans="1:6" x14ac:dyDescent="0.3">
      <c r="A733" s="2"/>
      <c r="B733" s="65"/>
      <c r="C733" s="65"/>
      <c r="D733" s="2"/>
      <c r="E733" s="2"/>
      <c r="F733" s="2"/>
    </row>
    <row r="734" spans="1:6" x14ac:dyDescent="0.3">
      <c r="A734" s="63"/>
      <c r="B734" s="64"/>
      <c r="C734" s="64"/>
      <c r="D734" s="64"/>
      <c r="E734" s="63"/>
      <c r="F734" s="64"/>
    </row>
    <row r="735" spans="1:6" x14ac:dyDescent="0.3">
      <c r="A735" s="2"/>
      <c r="B735" s="65"/>
      <c r="C735" s="65"/>
      <c r="D735" s="2"/>
      <c r="E735" s="2"/>
      <c r="F735" s="2"/>
    </row>
    <row r="736" spans="1:6" x14ac:dyDescent="0.3">
      <c r="A736" s="63"/>
      <c r="B736" s="64"/>
      <c r="C736" s="64"/>
      <c r="D736" s="64"/>
      <c r="E736" s="63"/>
      <c r="F736" s="64"/>
    </row>
    <row r="737" spans="1:6" x14ac:dyDescent="0.3">
      <c r="A737" s="2"/>
      <c r="B737" s="65"/>
      <c r="C737" s="65"/>
      <c r="D737" s="2"/>
      <c r="E737" s="2"/>
      <c r="F737" s="2"/>
    </row>
    <row r="738" spans="1:6" x14ac:dyDescent="0.3">
      <c r="A738" s="63"/>
      <c r="B738" s="64"/>
      <c r="C738" s="64"/>
      <c r="D738" s="64"/>
      <c r="E738" s="63"/>
      <c r="F738" s="64"/>
    </row>
    <row r="739" spans="1:6" x14ac:dyDescent="0.3">
      <c r="A739" s="2"/>
      <c r="B739" s="65"/>
      <c r="C739" s="65"/>
      <c r="D739" s="2"/>
      <c r="E739" s="2"/>
      <c r="F739" s="2"/>
    </row>
    <row r="740" spans="1:6" x14ac:dyDescent="0.3">
      <c r="A740" s="63"/>
      <c r="B740" s="64"/>
      <c r="C740" s="64"/>
      <c r="D740" s="64"/>
      <c r="E740" s="63"/>
      <c r="F740" s="64"/>
    </row>
    <row r="741" spans="1:6" x14ac:dyDescent="0.3">
      <c r="A741" s="2"/>
      <c r="B741" s="65"/>
      <c r="C741" s="65"/>
      <c r="D741" s="2"/>
      <c r="E741" s="2"/>
      <c r="F741" s="2"/>
    </row>
    <row r="742" spans="1:6" x14ac:dyDescent="0.3">
      <c r="A742" s="63"/>
      <c r="B742" s="64"/>
      <c r="C742" s="64"/>
      <c r="D742" s="64"/>
      <c r="E742" s="63"/>
      <c r="F742" s="64"/>
    </row>
    <row r="743" spans="1:6" x14ac:dyDescent="0.3">
      <c r="A743" s="2"/>
      <c r="B743" s="65"/>
      <c r="C743" s="65"/>
      <c r="D743" s="2"/>
      <c r="E743" s="2"/>
      <c r="F743" s="2"/>
    </row>
    <row r="744" spans="1:6" x14ac:dyDescent="0.3">
      <c r="A744" s="63"/>
      <c r="B744" s="64"/>
      <c r="C744" s="64"/>
      <c r="D744" s="64"/>
      <c r="E744" s="63"/>
      <c r="F744" s="64"/>
    </row>
    <row r="745" spans="1:6" x14ac:dyDescent="0.3">
      <c r="A745" s="2"/>
      <c r="B745" s="65"/>
      <c r="C745" s="65"/>
      <c r="D745" s="2"/>
      <c r="E745" s="2"/>
      <c r="F745" s="2"/>
    </row>
    <row r="746" spans="1:6" x14ac:dyDescent="0.3">
      <c r="A746" s="63"/>
      <c r="B746" s="64"/>
      <c r="C746" s="64"/>
      <c r="D746" s="64"/>
      <c r="E746" s="63"/>
      <c r="F746" s="64"/>
    </row>
    <row r="747" spans="1:6" x14ac:dyDescent="0.3">
      <c r="A747" s="2"/>
      <c r="B747" s="65"/>
      <c r="C747" s="65"/>
      <c r="D747" s="2"/>
      <c r="E747" s="2"/>
      <c r="F747" s="2"/>
    </row>
    <row r="748" spans="1:6" x14ac:dyDescent="0.3">
      <c r="A748" s="63"/>
      <c r="B748" s="64"/>
      <c r="C748" s="64"/>
      <c r="D748" s="64"/>
      <c r="E748" s="63"/>
      <c r="F748" s="64"/>
    </row>
    <row r="749" spans="1:6" x14ac:dyDescent="0.3">
      <c r="A749" s="2"/>
      <c r="B749" s="65"/>
      <c r="C749" s="65"/>
      <c r="D749" s="2"/>
      <c r="E749" s="2"/>
      <c r="F749" s="2"/>
    </row>
    <row r="750" spans="1:6" x14ac:dyDescent="0.3">
      <c r="A750" s="63"/>
      <c r="B750" s="64"/>
      <c r="C750" s="64"/>
      <c r="D750" s="64"/>
      <c r="E750" s="63"/>
      <c r="F750" s="64"/>
    </row>
    <row r="751" spans="1:6" x14ac:dyDescent="0.3">
      <c r="A751" s="2"/>
      <c r="B751" s="65"/>
      <c r="C751" s="65"/>
      <c r="D751" s="2"/>
      <c r="E751" s="2"/>
      <c r="F751" s="2"/>
    </row>
    <row r="752" spans="1:6" x14ac:dyDescent="0.3">
      <c r="A752" s="63"/>
      <c r="B752" s="64"/>
      <c r="C752" s="64"/>
      <c r="D752" s="64"/>
      <c r="E752" s="63"/>
      <c r="F752" s="64"/>
    </row>
    <row r="753" spans="1:6" x14ac:dyDescent="0.3">
      <c r="A753" s="2"/>
      <c r="B753" s="65"/>
      <c r="C753" s="65"/>
      <c r="D753" s="2"/>
      <c r="E753" s="2"/>
      <c r="F753" s="2"/>
    </row>
    <row r="754" spans="1:6" x14ac:dyDescent="0.3">
      <c r="A754" s="63"/>
      <c r="B754" s="64"/>
      <c r="C754" s="64"/>
      <c r="D754" s="64"/>
      <c r="E754" s="63"/>
      <c r="F754" s="64"/>
    </row>
    <row r="755" spans="1:6" x14ac:dyDescent="0.3">
      <c r="A755" s="2"/>
      <c r="B755" s="65"/>
      <c r="C755" s="65"/>
      <c r="D755" s="2"/>
      <c r="E755" s="2"/>
      <c r="F755" s="2"/>
    </row>
    <row r="756" spans="1:6" x14ac:dyDescent="0.3">
      <c r="A756" s="63"/>
      <c r="B756" s="64"/>
      <c r="C756" s="64"/>
      <c r="D756" s="64"/>
      <c r="E756" s="63"/>
      <c r="F756" s="64"/>
    </row>
    <row r="757" spans="1:6" x14ac:dyDescent="0.3">
      <c r="A757" s="2"/>
      <c r="B757" s="65"/>
      <c r="C757" s="65"/>
      <c r="D757" s="2"/>
      <c r="E757" s="2"/>
      <c r="F757" s="2"/>
    </row>
    <row r="758" spans="1:6" x14ac:dyDescent="0.3">
      <c r="A758" s="63"/>
      <c r="B758" s="64"/>
      <c r="C758" s="64"/>
      <c r="D758" s="64"/>
      <c r="E758" s="63"/>
      <c r="F758" s="64"/>
    </row>
    <row r="759" spans="1:6" x14ac:dyDescent="0.3">
      <c r="A759" s="2"/>
      <c r="B759" s="65"/>
      <c r="C759" s="65"/>
      <c r="D759" s="2"/>
      <c r="E759" s="2"/>
      <c r="F759" s="2"/>
    </row>
    <row r="760" spans="1:6" x14ac:dyDescent="0.3">
      <c r="A760" s="63"/>
      <c r="B760" s="64"/>
      <c r="C760" s="64"/>
      <c r="D760" s="64"/>
      <c r="E760" s="63"/>
      <c r="F760" s="64"/>
    </row>
    <row r="761" spans="1:6" x14ac:dyDescent="0.3">
      <c r="A761" s="2"/>
      <c r="B761" s="65"/>
      <c r="C761" s="65"/>
      <c r="D761" s="2"/>
      <c r="E761" s="2"/>
      <c r="F761" s="2"/>
    </row>
    <row r="762" spans="1:6" x14ac:dyDescent="0.3">
      <c r="A762" s="63"/>
      <c r="B762" s="64"/>
      <c r="C762" s="64"/>
      <c r="D762" s="64"/>
      <c r="E762" s="63"/>
      <c r="F762" s="64"/>
    </row>
    <row r="763" spans="1:6" x14ac:dyDescent="0.3">
      <c r="A763" s="2"/>
      <c r="B763" s="65"/>
      <c r="C763" s="65"/>
      <c r="D763" s="2"/>
      <c r="E763" s="2"/>
      <c r="F763" s="2"/>
    </row>
    <row r="764" spans="1:6" x14ac:dyDescent="0.3">
      <c r="A764" s="63"/>
      <c r="B764" s="64"/>
      <c r="C764" s="64"/>
      <c r="D764" s="64"/>
      <c r="E764" s="63"/>
      <c r="F764" s="64"/>
    </row>
    <row r="765" spans="1:6" x14ac:dyDescent="0.3">
      <c r="A765" s="2"/>
      <c r="B765" s="65"/>
      <c r="C765" s="65"/>
      <c r="D765" s="2"/>
      <c r="E765" s="2"/>
      <c r="F765" s="2"/>
    </row>
    <row r="766" spans="1:6" x14ac:dyDescent="0.3">
      <c r="A766" s="63"/>
      <c r="B766" s="64"/>
      <c r="C766" s="64"/>
      <c r="D766" s="64"/>
      <c r="E766" s="63"/>
      <c r="F766" s="64"/>
    </row>
    <row r="767" spans="1:6" x14ac:dyDescent="0.3">
      <c r="A767" s="2"/>
      <c r="B767" s="65"/>
      <c r="C767" s="65"/>
      <c r="D767" s="2"/>
      <c r="E767" s="2"/>
      <c r="F767" s="2"/>
    </row>
    <row r="768" spans="1:6" x14ac:dyDescent="0.3">
      <c r="A768" s="63"/>
      <c r="B768" s="64"/>
      <c r="C768" s="64"/>
      <c r="D768" s="64"/>
      <c r="E768" s="63"/>
      <c r="F768" s="64"/>
    </row>
    <row r="769" spans="1:6" x14ac:dyDescent="0.3">
      <c r="A769" s="2"/>
      <c r="B769" s="65"/>
      <c r="C769" s="65"/>
      <c r="D769" s="2"/>
      <c r="E769" s="2"/>
      <c r="F769" s="2"/>
    </row>
    <row r="770" spans="1:6" x14ac:dyDescent="0.3">
      <c r="A770" s="63"/>
      <c r="B770" s="64"/>
      <c r="C770" s="64"/>
      <c r="D770" s="64"/>
      <c r="E770" s="63"/>
      <c r="F770" s="64"/>
    </row>
    <row r="771" spans="1:6" x14ac:dyDescent="0.3">
      <c r="A771" s="2"/>
      <c r="B771" s="65"/>
      <c r="C771" s="65"/>
      <c r="D771" s="2"/>
      <c r="E771" s="2"/>
      <c r="F771" s="2"/>
    </row>
    <row r="772" spans="1:6" x14ac:dyDescent="0.3">
      <c r="A772" s="63"/>
      <c r="B772" s="64"/>
      <c r="C772" s="64"/>
      <c r="D772" s="64"/>
      <c r="E772" s="63"/>
      <c r="F772" s="64"/>
    </row>
    <row r="773" spans="1:6" x14ac:dyDescent="0.3">
      <c r="A773" s="2"/>
      <c r="B773" s="65"/>
      <c r="C773" s="65"/>
      <c r="D773" s="2"/>
      <c r="E773" s="2"/>
      <c r="F773" s="2"/>
    </row>
    <row r="774" spans="1:6" x14ac:dyDescent="0.3">
      <c r="A774" s="63"/>
      <c r="B774" s="64"/>
      <c r="C774" s="64"/>
      <c r="D774" s="64"/>
      <c r="E774" s="63"/>
      <c r="F774" s="64"/>
    </row>
    <row r="775" spans="1:6" x14ac:dyDescent="0.3">
      <c r="A775" s="2"/>
      <c r="B775" s="65"/>
      <c r="C775" s="65"/>
      <c r="D775" s="2"/>
      <c r="E775" s="2"/>
      <c r="F775" s="2"/>
    </row>
    <row r="776" spans="1:6" x14ac:dyDescent="0.3">
      <c r="A776" s="63"/>
      <c r="B776" s="64"/>
      <c r="C776" s="64"/>
      <c r="D776" s="64"/>
      <c r="E776" s="63"/>
      <c r="F776" s="64"/>
    </row>
    <row r="777" spans="1:6" x14ac:dyDescent="0.3">
      <c r="A777" s="2"/>
      <c r="B777" s="65"/>
      <c r="C777" s="65"/>
      <c r="D777" s="2"/>
      <c r="E777" s="2"/>
      <c r="F777" s="2"/>
    </row>
    <row r="778" spans="1:6" x14ac:dyDescent="0.3">
      <c r="A778" s="63"/>
      <c r="B778" s="64"/>
      <c r="C778" s="64"/>
      <c r="D778" s="64"/>
      <c r="E778" s="63"/>
      <c r="F778" s="64"/>
    </row>
    <row r="779" spans="1:6" x14ac:dyDescent="0.3">
      <c r="A779" s="2"/>
      <c r="B779" s="65"/>
      <c r="C779" s="65"/>
      <c r="D779" s="2"/>
      <c r="E779" s="2"/>
      <c r="F779" s="2"/>
    </row>
    <row r="780" spans="1:6" x14ac:dyDescent="0.3">
      <c r="A780" s="63"/>
      <c r="B780" s="64"/>
      <c r="C780" s="64"/>
      <c r="D780" s="64"/>
      <c r="E780" s="63"/>
      <c r="F780" s="64"/>
    </row>
    <row r="781" spans="1:6" x14ac:dyDescent="0.3">
      <c r="A781" s="2"/>
      <c r="B781" s="65"/>
      <c r="C781" s="65"/>
      <c r="D781" s="2"/>
      <c r="E781" s="2"/>
      <c r="F781" s="2"/>
    </row>
    <row r="782" spans="1:6" x14ac:dyDescent="0.3">
      <c r="A782" s="63"/>
      <c r="B782" s="64"/>
      <c r="C782" s="64"/>
      <c r="D782" s="64"/>
      <c r="E782" s="63"/>
      <c r="F782" s="64"/>
    </row>
    <row r="783" spans="1:6" x14ac:dyDescent="0.3">
      <c r="A783" s="2"/>
      <c r="B783" s="65"/>
      <c r="C783" s="65"/>
      <c r="D783" s="2"/>
      <c r="E783" s="2"/>
      <c r="F783" s="2"/>
    </row>
    <row r="784" spans="1:6" x14ac:dyDescent="0.3">
      <c r="A784" s="63"/>
      <c r="B784" s="64"/>
      <c r="C784" s="64"/>
      <c r="D784" s="64"/>
      <c r="E784" s="63"/>
      <c r="F784" s="64"/>
    </row>
    <row r="785" spans="1:6" x14ac:dyDescent="0.3">
      <c r="A785" s="2"/>
      <c r="B785" s="65"/>
      <c r="C785" s="65"/>
      <c r="D785" s="2"/>
      <c r="E785" s="2"/>
      <c r="F785" s="2"/>
    </row>
    <row r="786" spans="1:6" x14ac:dyDescent="0.3">
      <c r="A786" s="63"/>
      <c r="B786" s="64"/>
      <c r="C786" s="64"/>
      <c r="D786" s="64"/>
      <c r="E786" s="63"/>
      <c r="F786" s="64"/>
    </row>
    <row r="787" spans="1:6" x14ac:dyDescent="0.3">
      <c r="A787" s="2"/>
      <c r="B787" s="65"/>
      <c r="C787" s="65"/>
      <c r="D787" s="2"/>
      <c r="E787" s="2"/>
      <c r="F787" s="2"/>
    </row>
    <row r="788" spans="1:6" x14ac:dyDescent="0.3">
      <c r="A788" s="63"/>
      <c r="B788" s="64"/>
      <c r="C788" s="64"/>
      <c r="D788" s="64"/>
      <c r="E788" s="63"/>
      <c r="F788" s="64"/>
    </row>
    <row r="789" spans="1:6" x14ac:dyDescent="0.3">
      <c r="A789" s="2"/>
      <c r="B789" s="65"/>
      <c r="C789" s="65"/>
      <c r="D789" s="2"/>
      <c r="E789" s="2"/>
      <c r="F789" s="2"/>
    </row>
    <row r="790" spans="1:6" x14ac:dyDescent="0.3">
      <c r="A790" s="63"/>
      <c r="B790" s="64"/>
      <c r="C790" s="64"/>
      <c r="D790" s="64"/>
      <c r="E790" s="63"/>
      <c r="F790" s="64"/>
    </row>
    <row r="791" spans="1:6" x14ac:dyDescent="0.3">
      <c r="A791" s="2"/>
      <c r="B791" s="65"/>
      <c r="C791" s="65"/>
      <c r="D791" s="2"/>
      <c r="E791" s="2"/>
      <c r="F791" s="2"/>
    </row>
    <row r="792" spans="1:6" x14ac:dyDescent="0.3">
      <c r="A792" s="63"/>
      <c r="B792" s="64"/>
      <c r="C792" s="64"/>
      <c r="D792" s="64"/>
      <c r="E792" s="63"/>
      <c r="F792" s="64"/>
    </row>
    <row r="793" spans="1:6" x14ac:dyDescent="0.3">
      <c r="A793" s="2"/>
      <c r="B793" s="65"/>
      <c r="C793" s="65"/>
      <c r="D793" s="2"/>
      <c r="E793" s="2"/>
      <c r="F793" s="2"/>
    </row>
    <row r="794" spans="1:6" x14ac:dyDescent="0.3">
      <c r="A794" s="63"/>
      <c r="B794" s="64"/>
      <c r="C794" s="64"/>
      <c r="D794" s="64"/>
      <c r="E794" s="63"/>
      <c r="F794" s="64"/>
    </row>
    <row r="795" spans="1:6" x14ac:dyDescent="0.3">
      <c r="A795" s="2"/>
      <c r="B795" s="65"/>
      <c r="C795" s="65"/>
      <c r="D795" s="2"/>
      <c r="E795" s="2"/>
      <c r="F795" s="2"/>
    </row>
    <row r="796" spans="1:6" x14ac:dyDescent="0.3">
      <c r="A796" s="63"/>
      <c r="B796" s="64"/>
      <c r="C796" s="64"/>
      <c r="D796" s="64"/>
      <c r="E796" s="63"/>
      <c r="F796" s="64"/>
    </row>
    <row r="797" spans="1:6" x14ac:dyDescent="0.3">
      <c r="A797" s="2"/>
      <c r="B797" s="65"/>
      <c r="C797" s="65"/>
      <c r="D797" s="2"/>
      <c r="E797" s="2"/>
      <c r="F797" s="2"/>
    </row>
    <row r="798" spans="1:6" x14ac:dyDescent="0.3">
      <c r="A798" s="63"/>
      <c r="B798" s="64"/>
      <c r="C798" s="64"/>
      <c r="D798" s="64"/>
      <c r="E798" s="63"/>
      <c r="F798" s="64"/>
    </row>
    <row r="799" spans="1:6" x14ac:dyDescent="0.3">
      <c r="A799" s="2"/>
      <c r="B799" s="65"/>
      <c r="C799" s="65"/>
      <c r="D799" s="2"/>
      <c r="E799" s="2"/>
      <c r="F799" s="2"/>
    </row>
    <row r="800" spans="1:6" x14ac:dyDescent="0.3">
      <c r="A800" s="63"/>
      <c r="B800" s="64"/>
      <c r="C800" s="64"/>
      <c r="D800" s="64"/>
      <c r="E800" s="63"/>
      <c r="F800" s="64"/>
    </row>
    <row r="801" spans="1:6" x14ac:dyDescent="0.3">
      <c r="A801" s="2"/>
      <c r="B801" s="65"/>
      <c r="C801" s="65"/>
      <c r="D801" s="2"/>
      <c r="E801" s="2"/>
      <c r="F801" s="2"/>
    </row>
    <row r="802" spans="1:6" x14ac:dyDescent="0.3">
      <c r="A802" s="63"/>
      <c r="B802" s="64"/>
      <c r="C802" s="64"/>
      <c r="D802" s="64"/>
      <c r="E802" s="63"/>
      <c r="F802" s="64"/>
    </row>
    <row r="803" spans="1:6" x14ac:dyDescent="0.3">
      <c r="A803" s="2"/>
      <c r="B803" s="65"/>
      <c r="C803" s="65"/>
      <c r="D803" s="2"/>
      <c r="E803" s="2"/>
      <c r="F803" s="2"/>
    </row>
    <row r="804" spans="1:6" x14ac:dyDescent="0.3">
      <c r="A804" s="63"/>
      <c r="B804" s="64"/>
      <c r="C804" s="64"/>
      <c r="D804" s="64"/>
      <c r="E804" s="63"/>
      <c r="F804" s="64"/>
    </row>
    <row r="805" spans="1:6" x14ac:dyDescent="0.3">
      <c r="A805" s="2"/>
      <c r="B805" s="65"/>
      <c r="C805" s="65"/>
      <c r="D805" s="2"/>
      <c r="E805" s="2"/>
      <c r="F805" s="2"/>
    </row>
    <row r="806" spans="1:6" x14ac:dyDescent="0.3">
      <c r="A806" s="63"/>
      <c r="B806" s="64"/>
      <c r="C806" s="64"/>
      <c r="D806" s="64"/>
      <c r="E806" s="63"/>
      <c r="F806" s="64"/>
    </row>
    <row r="807" spans="1:6" x14ac:dyDescent="0.3">
      <c r="A807" s="2"/>
      <c r="B807" s="65"/>
      <c r="C807" s="65"/>
      <c r="D807" s="2"/>
      <c r="E807" s="2"/>
      <c r="F807" s="2"/>
    </row>
    <row r="808" spans="1:6" x14ac:dyDescent="0.3">
      <c r="A808" s="63"/>
      <c r="B808" s="64"/>
      <c r="C808" s="64"/>
      <c r="D808" s="64"/>
      <c r="E808" s="63"/>
      <c r="F808" s="64"/>
    </row>
    <row r="809" spans="1:6" x14ac:dyDescent="0.3">
      <c r="A809" s="2"/>
      <c r="B809" s="65"/>
      <c r="C809" s="65"/>
      <c r="D809" s="2"/>
      <c r="E809" s="2"/>
      <c r="F809" s="2"/>
    </row>
    <row r="810" spans="1:6" x14ac:dyDescent="0.3">
      <c r="A810" s="63"/>
      <c r="B810" s="64"/>
      <c r="C810" s="64"/>
      <c r="D810" s="64"/>
      <c r="E810" s="63"/>
      <c r="F810" s="64"/>
    </row>
    <row r="811" spans="1:6" x14ac:dyDescent="0.3">
      <c r="A811" s="2"/>
      <c r="B811" s="65"/>
      <c r="C811" s="65"/>
      <c r="D811" s="2"/>
      <c r="E811" s="2"/>
      <c r="F811" s="2"/>
    </row>
    <row r="812" spans="1:6" x14ac:dyDescent="0.3">
      <c r="A812" s="63"/>
      <c r="B812" s="64"/>
      <c r="C812" s="64"/>
      <c r="D812" s="64"/>
      <c r="E812" s="63"/>
      <c r="F812" s="64"/>
    </row>
    <row r="813" spans="1:6" x14ac:dyDescent="0.3">
      <c r="A813" s="2"/>
      <c r="B813" s="65"/>
      <c r="C813" s="65"/>
      <c r="D813" s="2"/>
      <c r="E813" s="2"/>
      <c r="F813" s="2"/>
    </row>
    <row r="814" spans="1:6" x14ac:dyDescent="0.3">
      <c r="A814" s="63"/>
      <c r="B814" s="64"/>
      <c r="C814" s="64"/>
      <c r="D814" s="64"/>
      <c r="E814" s="63"/>
      <c r="F814" s="64"/>
    </row>
    <row r="815" spans="1:6" x14ac:dyDescent="0.3">
      <c r="A815" s="2"/>
      <c r="B815" s="65"/>
      <c r="C815" s="65"/>
      <c r="D815" s="2"/>
      <c r="E815" s="2"/>
      <c r="F815" s="2"/>
    </row>
    <row r="816" spans="1:6" x14ac:dyDescent="0.3">
      <c r="A816" s="63"/>
      <c r="B816" s="64"/>
      <c r="C816" s="64"/>
      <c r="D816" s="64"/>
      <c r="E816" s="63"/>
      <c r="F816" s="64"/>
    </row>
    <row r="817" spans="1:6" x14ac:dyDescent="0.3">
      <c r="A817" s="2"/>
      <c r="B817" s="65"/>
      <c r="C817" s="65"/>
      <c r="D817" s="2"/>
      <c r="E817" s="2"/>
      <c r="F817" s="2"/>
    </row>
    <row r="818" spans="1:6" x14ac:dyDescent="0.3">
      <c r="A818" s="63"/>
      <c r="B818" s="64"/>
      <c r="C818" s="64"/>
      <c r="D818" s="64"/>
      <c r="E818" s="63"/>
      <c r="F818" s="64"/>
    </row>
    <row r="819" spans="1:6" x14ac:dyDescent="0.3">
      <c r="A819" s="2"/>
      <c r="B819" s="65"/>
      <c r="C819" s="65"/>
      <c r="D819" s="2"/>
      <c r="E819" s="2"/>
      <c r="F819" s="2"/>
    </row>
    <row r="820" spans="1:6" x14ac:dyDescent="0.3">
      <c r="A820" s="63"/>
      <c r="B820" s="64"/>
      <c r="C820" s="64"/>
      <c r="D820" s="64"/>
      <c r="E820" s="63"/>
      <c r="F820" s="64"/>
    </row>
    <row r="821" spans="1:6" x14ac:dyDescent="0.3">
      <c r="A821" s="2"/>
      <c r="B821" s="65"/>
      <c r="C821" s="65"/>
      <c r="D821" s="2"/>
      <c r="E821" s="2"/>
      <c r="F821" s="2"/>
    </row>
    <row r="822" spans="1:6" x14ac:dyDescent="0.3">
      <c r="A822" s="63"/>
      <c r="B822" s="64"/>
      <c r="C822" s="64"/>
      <c r="D822" s="64"/>
      <c r="E822" s="63"/>
      <c r="F822" s="64"/>
    </row>
    <row r="823" spans="1:6" x14ac:dyDescent="0.3">
      <c r="A823" s="2"/>
      <c r="B823" s="65"/>
      <c r="C823" s="65"/>
      <c r="D823" s="2"/>
      <c r="E823" s="2"/>
      <c r="F823" s="2"/>
    </row>
    <row r="824" spans="1:6" x14ac:dyDescent="0.3">
      <c r="A824" s="63"/>
      <c r="B824" s="64"/>
      <c r="C824" s="64"/>
      <c r="D824" s="64"/>
      <c r="E824" s="63"/>
      <c r="F824" s="64"/>
    </row>
    <row r="825" spans="1:6" x14ac:dyDescent="0.3">
      <c r="A825" s="2"/>
      <c r="B825" s="65"/>
      <c r="C825" s="65"/>
      <c r="D825" s="2"/>
      <c r="E825" s="2"/>
      <c r="F825" s="2"/>
    </row>
    <row r="826" spans="1:6" x14ac:dyDescent="0.3">
      <c r="A826" s="63"/>
      <c r="B826" s="64"/>
      <c r="C826" s="64"/>
      <c r="D826" s="64"/>
      <c r="E826" s="63"/>
      <c r="F826" s="64"/>
    </row>
    <row r="827" spans="1:6" x14ac:dyDescent="0.3">
      <c r="A827" s="2"/>
      <c r="B827" s="65"/>
      <c r="C827" s="65"/>
      <c r="D827" s="2"/>
      <c r="E827" s="2"/>
      <c r="F827" s="2"/>
    </row>
    <row r="828" spans="1:6" x14ac:dyDescent="0.3">
      <c r="A828" s="63"/>
      <c r="B828" s="64"/>
      <c r="C828" s="64"/>
      <c r="D828" s="64"/>
      <c r="E828" s="63"/>
      <c r="F828" s="64"/>
    </row>
    <row r="829" spans="1:6" x14ac:dyDescent="0.3">
      <c r="A829" s="2"/>
      <c r="B829" s="65"/>
      <c r="C829" s="65"/>
      <c r="D829" s="2"/>
      <c r="E829" s="2"/>
      <c r="F829" s="2"/>
    </row>
    <row r="830" spans="1:6" x14ac:dyDescent="0.3">
      <c r="A830" s="63"/>
      <c r="B830" s="64"/>
      <c r="C830" s="64"/>
      <c r="D830" s="64"/>
      <c r="E830" s="63"/>
      <c r="F830" s="64"/>
    </row>
    <row r="831" spans="1:6" x14ac:dyDescent="0.3">
      <c r="A831" s="2"/>
      <c r="B831" s="65"/>
      <c r="C831" s="65"/>
      <c r="D831" s="2"/>
      <c r="E831" s="2"/>
      <c r="F831" s="2"/>
    </row>
    <row r="832" spans="1:6" x14ac:dyDescent="0.3">
      <c r="A832" s="63"/>
      <c r="B832" s="64"/>
      <c r="C832" s="64"/>
      <c r="D832" s="64"/>
      <c r="E832" s="63"/>
      <c r="F832" s="64"/>
    </row>
    <row r="833" spans="1:6" x14ac:dyDescent="0.3">
      <c r="A833" s="2"/>
      <c r="B833" s="65"/>
      <c r="C833" s="65"/>
      <c r="D833" s="2"/>
      <c r="E833" s="2"/>
      <c r="F833" s="2"/>
    </row>
    <row r="834" spans="1:6" x14ac:dyDescent="0.3">
      <c r="A834" s="63"/>
      <c r="B834" s="64"/>
      <c r="C834" s="64"/>
      <c r="D834" s="64"/>
      <c r="E834" s="63"/>
      <c r="F834" s="64"/>
    </row>
    <row r="835" spans="1:6" x14ac:dyDescent="0.3">
      <c r="A835" s="2"/>
      <c r="B835" s="65"/>
      <c r="C835" s="65"/>
      <c r="D835" s="2"/>
      <c r="E835" s="2"/>
      <c r="F835" s="2"/>
    </row>
    <row r="836" spans="1:6" x14ac:dyDescent="0.3">
      <c r="A836" s="63"/>
      <c r="B836" s="64"/>
      <c r="C836" s="64"/>
      <c r="D836" s="64"/>
      <c r="E836" s="63"/>
      <c r="F836" s="64"/>
    </row>
    <row r="837" spans="1:6" x14ac:dyDescent="0.3">
      <c r="A837" s="2"/>
      <c r="B837" s="65"/>
      <c r="C837" s="65"/>
      <c r="D837" s="2"/>
      <c r="E837" s="2"/>
      <c r="F837" s="2"/>
    </row>
    <row r="838" spans="1:6" x14ac:dyDescent="0.3">
      <c r="A838" s="63"/>
      <c r="B838" s="64"/>
      <c r="C838" s="64"/>
      <c r="D838" s="64"/>
      <c r="E838" s="63"/>
      <c r="F838" s="64"/>
    </row>
    <row r="839" spans="1:6" x14ac:dyDescent="0.3">
      <c r="A839" s="2"/>
      <c r="B839" s="65"/>
      <c r="C839" s="65"/>
      <c r="D839" s="2"/>
      <c r="E839" s="2"/>
      <c r="F839" s="2"/>
    </row>
    <row r="840" spans="1:6" x14ac:dyDescent="0.3">
      <c r="A840" s="63"/>
      <c r="B840" s="64"/>
      <c r="C840" s="64"/>
      <c r="D840" s="64"/>
      <c r="E840" s="63"/>
      <c r="F840" s="64"/>
    </row>
    <row r="841" spans="1:6" x14ac:dyDescent="0.3">
      <c r="A841" s="2"/>
      <c r="B841" s="65"/>
      <c r="C841" s="65"/>
      <c r="D841" s="2"/>
      <c r="E841" s="2"/>
      <c r="F841" s="2"/>
    </row>
    <row r="842" spans="1:6" x14ac:dyDescent="0.3">
      <c r="A842" s="63"/>
      <c r="B842" s="64"/>
      <c r="C842" s="64"/>
      <c r="D842" s="64"/>
      <c r="E842" s="63"/>
      <c r="F842" s="64"/>
    </row>
    <row r="843" spans="1:6" x14ac:dyDescent="0.3">
      <c r="A843" s="2"/>
      <c r="B843" s="65"/>
      <c r="C843" s="65"/>
      <c r="D843" s="2"/>
      <c r="E843" s="2"/>
      <c r="F843" s="2"/>
    </row>
    <row r="844" spans="1:6" x14ac:dyDescent="0.3">
      <c r="A844" s="63"/>
      <c r="B844" s="64"/>
      <c r="C844" s="64"/>
      <c r="D844" s="64"/>
      <c r="E844" s="63"/>
      <c r="F844" s="64"/>
    </row>
    <row r="845" spans="1:6" x14ac:dyDescent="0.3">
      <c r="A845" s="2"/>
      <c r="B845" s="65"/>
      <c r="C845" s="65"/>
      <c r="D845" s="2"/>
      <c r="E845" s="2"/>
      <c r="F845" s="2"/>
    </row>
    <row r="846" spans="1:6" x14ac:dyDescent="0.3">
      <c r="A846" s="63"/>
      <c r="B846" s="64"/>
      <c r="C846" s="64"/>
      <c r="D846" s="64"/>
      <c r="E846" s="63"/>
      <c r="F846" s="64"/>
    </row>
    <row r="847" spans="1:6" x14ac:dyDescent="0.3">
      <c r="A847" s="2"/>
      <c r="B847" s="65"/>
      <c r="C847" s="65"/>
      <c r="D847" s="2"/>
      <c r="E847" s="2"/>
      <c r="F847" s="2"/>
    </row>
    <row r="848" spans="1:6" x14ac:dyDescent="0.3">
      <c r="A848" s="63"/>
      <c r="B848" s="64"/>
      <c r="C848" s="64"/>
      <c r="D848" s="64"/>
      <c r="E848" s="63"/>
      <c r="F848" s="64"/>
    </row>
    <row r="849" spans="1:6" x14ac:dyDescent="0.3">
      <c r="A849" s="2"/>
      <c r="B849" s="65"/>
      <c r="C849" s="65"/>
      <c r="D849" s="2"/>
      <c r="E849" s="2"/>
      <c r="F849" s="2"/>
    </row>
    <row r="850" spans="1:6" x14ac:dyDescent="0.3">
      <c r="A850" s="63"/>
      <c r="B850" s="64"/>
      <c r="C850" s="64"/>
      <c r="D850" s="64"/>
      <c r="E850" s="63"/>
      <c r="F850" s="64"/>
    </row>
    <row r="851" spans="1:6" x14ac:dyDescent="0.3">
      <c r="A851" s="2"/>
      <c r="B851" s="65"/>
      <c r="C851" s="65"/>
      <c r="D851" s="2"/>
      <c r="E851" s="2"/>
      <c r="F851" s="2"/>
    </row>
    <row r="852" spans="1:6" x14ac:dyDescent="0.3">
      <c r="A852" s="63"/>
      <c r="B852" s="64"/>
      <c r="C852" s="64"/>
      <c r="D852" s="64"/>
      <c r="E852" s="63"/>
      <c r="F852" s="64"/>
    </row>
    <row r="853" spans="1:6" x14ac:dyDescent="0.3">
      <c r="A853" s="2"/>
      <c r="B853" s="65"/>
      <c r="C853" s="65"/>
      <c r="D853" s="2"/>
      <c r="E853" s="2"/>
      <c r="F853" s="2"/>
    </row>
    <row r="854" spans="1:6" x14ac:dyDescent="0.3">
      <c r="A854" s="63"/>
      <c r="B854" s="64"/>
      <c r="C854" s="64"/>
      <c r="D854" s="64"/>
      <c r="E854" s="63"/>
      <c r="F854" s="64"/>
    </row>
    <row r="855" spans="1:6" x14ac:dyDescent="0.3">
      <c r="A855" s="2"/>
      <c r="B855" s="65"/>
      <c r="C855" s="65"/>
      <c r="D855" s="2"/>
      <c r="E855" s="2"/>
      <c r="F855" s="2"/>
    </row>
    <row r="856" spans="1:6" x14ac:dyDescent="0.3">
      <c r="A856" s="63"/>
      <c r="B856" s="64"/>
      <c r="C856" s="64"/>
      <c r="D856" s="64"/>
      <c r="E856" s="63"/>
      <c r="F856" s="64"/>
    </row>
    <row r="857" spans="1:6" x14ac:dyDescent="0.3">
      <c r="A857" s="2"/>
      <c r="B857" s="65"/>
      <c r="C857" s="65"/>
      <c r="D857" s="2"/>
      <c r="E857" s="2"/>
      <c r="F857" s="2"/>
    </row>
    <row r="858" spans="1:6" x14ac:dyDescent="0.3">
      <c r="A858" s="63"/>
      <c r="B858" s="64"/>
      <c r="C858" s="64"/>
      <c r="D858" s="64"/>
      <c r="E858" s="63"/>
      <c r="F858" s="64"/>
    </row>
    <row r="859" spans="1:6" x14ac:dyDescent="0.3">
      <c r="A859" s="2"/>
      <c r="B859" s="65"/>
      <c r="C859" s="65"/>
      <c r="D859" s="2"/>
      <c r="E859" s="2"/>
      <c r="F859" s="2"/>
    </row>
    <row r="860" spans="1:6" x14ac:dyDescent="0.3">
      <c r="A860" s="63"/>
      <c r="B860" s="64"/>
      <c r="C860" s="64"/>
      <c r="D860" s="64"/>
      <c r="E860" s="63"/>
      <c r="F860" s="64"/>
    </row>
    <row r="861" spans="1:6" x14ac:dyDescent="0.3">
      <c r="A861" s="2"/>
      <c r="B861" s="65"/>
      <c r="C861" s="65"/>
      <c r="D861" s="2"/>
      <c r="E861" s="2"/>
      <c r="F861" s="2"/>
    </row>
    <row r="862" spans="1:6" x14ac:dyDescent="0.3">
      <c r="A862" s="63"/>
      <c r="B862" s="64"/>
      <c r="C862" s="64"/>
      <c r="D862" s="64"/>
      <c r="E862" s="63"/>
      <c r="F862" s="64"/>
    </row>
    <row r="863" spans="1:6" x14ac:dyDescent="0.3">
      <c r="A863" s="2"/>
      <c r="B863" s="65"/>
      <c r="C863" s="65"/>
      <c r="D863" s="2"/>
      <c r="E863" s="2"/>
      <c r="F863" s="2"/>
    </row>
    <row r="864" spans="1:6" x14ac:dyDescent="0.3">
      <c r="A864" s="63"/>
      <c r="B864" s="64"/>
      <c r="C864" s="64"/>
      <c r="D864" s="64"/>
      <c r="E864" s="63"/>
      <c r="F864" s="64"/>
    </row>
    <row r="865" spans="1:6" x14ac:dyDescent="0.3">
      <c r="A865" s="2"/>
      <c r="B865" s="65"/>
      <c r="C865" s="65"/>
      <c r="D865" s="2"/>
      <c r="E865" s="2"/>
      <c r="F865" s="2"/>
    </row>
    <row r="866" spans="1:6" x14ac:dyDescent="0.3">
      <c r="A866" s="63"/>
      <c r="B866" s="64"/>
      <c r="C866" s="64"/>
      <c r="D866" s="64"/>
      <c r="E866" s="63"/>
      <c r="F866" s="64"/>
    </row>
    <row r="867" spans="1:6" x14ac:dyDescent="0.3">
      <c r="A867" s="2"/>
      <c r="B867" s="65"/>
      <c r="C867" s="65"/>
      <c r="D867" s="2"/>
      <c r="E867" s="2"/>
      <c r="F867" s="2"/>
    </row>
    <row r="868" spans="1:6" x14ac:dyDescent="0.3">
      <c r="A868" s="63"/>
      <c r="B868" s="64"/>
      <c r="C868" s="64"/>
      <c r="D868" s="64"/>
      <c r="E868" s="63"/>
      <c r="F868" s="64"/>
    </row>
    <row r="869" spans="1:6" x14ac:dyDescent="0.3">
      <c r="A869" s="2"/>
      <c r="B869" s="65"/>
      <c r="C869" s="65"/>
      <c r="D869" s="2"/>
      <c r="E869" s="2"/>
      <c r="F869" s="2"/>
    </row>
    <row r="870" spans="1:6" x14ac:dyDescent="0.3">
      <c r="A870" s="63"/>
      <c r="B870" s="64"/>
      <c r="C870" s="64"/>
      <c r="D870" s="64"/>
      <c r="E870" s="63"/>
      <c r="F870" s="64"/>
    </row>
    <row r="871" spans="1:6" x14ac:dyDescent="0.3">
      <c r="A871" s="2"/>
      <c r="B871" s="65"/>
      <c r="C871" s="65"/>
      <c r="D871" s="2"/>
      <c r="E871" s="2"/>
      <c r="F871" s="2"/>
    </row>
    <row r="872" spans="1:6" x14ac:dyDescent="0.3">
      <c r="A872" s="63"/>
      <c r="B872" s="64"/>
      <c r="C872" s="64"/>
      <c r="D872" s="64"/>
      <c r="E872" s="63"/>
      <c r="F872" s="64"/>
    </row>
    <row r="873" spans="1:6" x14ac:dyDescent="0.3">
      <c r="A873" s="2"/>
      <c r="B873" s="65"/>
      <c r="C873" s="65"/>
      <c r="D873" s="2"/>
      <c r="E873" s="2"/>
      <c r="F873" s="2"/>
    </row>
    <row r="874" spans="1:6" x14ac:dyDescent="0.3">
      <c r="A874" s="63"/>
      <c r="B874" s="64"/>
      <c r="C874" s="64"/>
      <c r="D874" s="64"/>
      <c r="E874" s="63"/>
      <c r="F874" s="64"/>
    </row>
    <row r="875" spans="1:6" x14ac:dyDescent="0.3">
      <c r="A875" s="2"/>
      <c r="B875" s="65"/>
      <c r="C875" s="65"/>
      <c r="D875" s="2"/>
      <c r="E875" s="2"/>
      <c r="F875" s="2"/>
    </row>
    <row r="876" spans="1:6" x14ac:dyDescent="0.3">
      <c r="A876" s="63"/>
      <c r="B876" s="64"/>
      <c r="C876" s="64"/>
      <c r="D876" s="64"/>
      <c r="E876" s="63"/>
      <c r="F876" s="64"/>
    </row>
    <row r="877" spans="1:6" x14ac:dyDescent="0.3">
      <c r="A877" s="2"/>
      <c r="B877" s="65"/>
      <c r="C877" s="65"/>
      <c r="D877" s="2"/>
      <c r="E877" s="2"/>
      <c r="F877" s="2"/>
    </row>
    <row r="878" spans="1:6" x14ac:dyDescent="0.3">
      <c r="A878" s="63"/>
      <c r="B878" s="64"/>
      <c r="C878" s="64"/>
      <c r="D878" s="64"/>
      <c r="E878" s="63"/>
      <c r="F878" s="64"/>
    </row>
    <row r="879" spans="1:6" x14ac:dyDescent="0.3">
      <c r="A879" s="2"/>
      <c r="B879" s="65"/>
      <c r="C879" s="65"/>
      <c r="D879" s="2"/>
      <c r="E879" s="2"/>
      <c r="F879" s="2"/>
    </row>
    <row r="880" spans="1:6" x14ac:dyDescent="0.3">
      <c r="A880" s="63"/>
      <c r="B880" s="64"/>
      <c r="C880" s="64"/>
      <c r="D880" s="64"/>
      <c r="E880" s="63"/>
      <c r="F880" s="64"/>
    </row>
    <row r="881" spans="1:6" x14ac:dyDescent="0.3">
      <c r="A881" s="2"/>
      <c r="B881" s="65"/>
      <c r="C881" s="65"/>
      <c r="D881" s="2"/>
      <c r="E881" s="2"/>
      <c r="F881" s="2"/>
    </row>
    <row r="882" spans="1:6" x14ac:dyDescent="0.3">
      <c r="A882" s="63"/>
      <c r="B882" s="64"/>
      <c r="C882" s="64"/>
      <c r="D882" s="64"/>
      <c r="E882" s="63"/>
      <c r="F882" s="64"/>
    </row>
    <row r="883" spans="1:6" x14ac:dyDescent="0.3">
      <c r="A883" s="2"/>
      <c r="B883" s="65"/>
      <c r="C883" s="65"/>
      <c r="D883" s="2"/>
      <c r="E883" s="2"/>
      <c r="F883" s="2"/>
    </row>
    <row r="884" spans="1:6" x14ac:dyDescent="0.3">
      <c r="A884" s="63"/>
      <c r="B884" s="64"/>
      <c r="C884" s="64"/>
      <c r="D884" s="64"/>
      <c r="E884" s="63"/>
      <c r="F884" s="64"/>
    </row>
    <row r="885" spans="1:6" x14ac:dyDescent="0.3">
      <c r="A885" s="2"/>
      <c r="B885" s="65"/>
      <c r="C885" s="65"/>
      <c r="D885" s="2"/>
      <c r="E885" s="2"/>
      <c r="F885" s="2"/>
    </row>
    <row r="886" spans="1:6" x14ac:dyDescent="0.3">
      <c r="A886" s="63"/>
      <c r="B886" s="64"/>
      <c r="C886" s="64"/>
      <c r="D886" s="64"/>
      <c r="E886" s="63"/>
      <c r="F886" s="64"/>
    </row>
    <row r="887" spans="1:6" x14ac:dyDescent="0.3">
      <c r="A887" s="2"/>
      <c r="B887" s="65"/>
      <c r="C887" s="65"/>
      <c r="D887" s="2"/>
      <c r="E887" s="2"/>
      <c r="F887" s="2"/>
    </row>
    <row r="888" spans="1:6" x14ac:dyDescent="0.3">
      <c r="A888" s="63"/>
      <c r="B888" s="64"/>
      <c r="C888" s="64"/>
      <c r="D888" s="64"/>
      <c r="E888" s="63"/>
      <c r="F888" s="64"/>
    </row>
    <row r="889" spans="1:6" x14ac:dyDescent="0.3">
      <c r="A889" s="2"/>
      <c r="B889" s="65"/>
      <c r="C889" s="65"/>
      <c r="D889" s="2"/>
      <c r="E889" s="2"/>
      <c r="F889" s="2"/>
    </row>
    <row r="890" spans="1:6" x14ac:dyDescent="0.3">
      <c r="A890" s="63"/>
      <c r="B890" s="64"/>
      <c r="C890" s="64"/>
      <c r="D890" s="64"/>
      <c r="E890" s="63"/>
      <c r="F890" s="64"/>
    </row>
    <row r="891" spans="1:6" x14ac:dyDescent="0.3">
      <c r="A891" s="2"/>
      <c r="B891" s="65"/>
      <c r="C891" s="65"/>
      <c r="D891" s="2"/>
      <c r="E891" s="2"/>
      <c r="F891" s="2"/>
    </row>
    <row r="892" spans="1:6" x14ac:dyDescent="0.3">
      <c r="A892" s="63"/>
      <c r="B892" s="64"/>
      <c r="C892" s="64"/>
      <c r="D892" s="64"/>
      <c r="E892" s="63"/>
      <c r="F892" s="64"/>
    </row>
    <row r="893" spans="1:6" x14ac:dyDescent="0.3">
      <c r="A893" s="2"/>
      <c r="B893" s="65"/>
      <c r="C893" s="65"/>
      <c r="D893" s="2"/>
      <c r="E893" s="2"/>
      <c r="F893" s="2"/>
    </row>
    <row r="894" spans="1:6" x14ac:dyDescent="0.3">
      <c r="A894" s="63"/>
      <c r="B894" s="64"/>
      <c r="C894" s="64"/>
      <c r="D894" s="64"/>
      <c r="E894" s="63"/>
      <c r="F894" s="64"/>
    </row>
    <row r="895" spans="1:6" x14ac:dyDescent="0.3">
      <c r="A895" s="2"/>
      <c r="B895" s="65"/>
      <c r="C895" s="65"/>
      <c r="D895" s="2"/>
      <c r="E895" s="2"/>
      <c r="F895" s="2"/>
    </row>
    <row r="896" spans="1:6" x14ac:dyDescent="0.3">
      <c r="A896" s="63"/>
      <c r="B896" s="64"/>
      <c r="C896" s="64"/>
      <c r="D896" s="64"/>
      <c r="E896" s="63"/>
      <c r="F896" s="64"/>
    </row>
    <row r="897" spans="1:6" x14ac:dyDescent="0.3">
      <c r="A897" s="2"/>
      <c r="B897" s="65"/>
      <c r="C897" s="65"/>
      <c r="D897" s="2"/>
      <c r="E897" s="2"/>
      <c r="F897" s="2"/>
    </row>
    <row r="898" spans="1:6" x14ac:dyDescent="0.3">
      <c r="A898" s="63"/>
      <c r="B898" s="64"/>
      <c r="C898" s="64"/>
      <c r="D898" s="64"/>
      <c r="E898" s="63"/>
      <c r="F898" s="64"/>
    </row>
    <row r="899" spans="1:6" x14ac:dyDescent="0.3">
      <c r="A899" s="2"/>
      <c r="B899" s="65"/>
      <c r="C899" s="65"/>
      <c r="D899" s="2"/>
      <c r="E899" s="2"/>
      <c r="F899" s="2"/>
    </row>
    <row r="900" spans="1:6" x14ac:dyDescent="0.3">
      <c r="A900" s="63"/>
      <c r="B900" s="64"/>
      <c r="C900" s="64"/>
      <c r="D900" s="64"/>
      <c r="E900" s="63"/>
      <c r="F900" s="64"/>
    </row>
    <row r="901" spans="1:6" x14ac:dyDescent="0.3">
      <c r="A901" s="2"/>
      <c r="B901" s="65"/>
      <c r="C901" s="65"/>
      <c r="D901" s="2"/>
      <c r="E901" s="2"/>
      <c r="F901" s="2"/>
    </row>
    <row r="902" spans="1:6" x14ac:dyDescent="0.3">
      <c r="A902" s="63"/>
      <c r="B902" s="64"/>
      <c r="C902" s="64"/>
      <c r="D902" s="64"/>
      <c r="E902" s="63"/>
      <c r="F902" s="64"/>
    </row>
    <row r="903" spans="1:6" x14ac:dyDescent="0.3">
      <c r="A903" s="2"/>
      <c r="B903" s="65"/>
      <c r="C903" s="65"/>
      <c r="D903" s="2"/>
      <c r="E903" s="2"/>
      <c r="F903" s="2"/>
    </row>
    <row r="904" spans="1:6" x14ac:dyDescent="0.3">
      <c r="A904" s="63"/>
      <c r="B904" s="64"/>
      <c r="C904" s="64"/>
      <c r="D904" s="64"/>
      <c r="E904" s="63"/>
      <c r="F904" s="64"/>
    </row>
    <row r="905" spans="1:6" x14ac:dyDescent="0.3">
      <c r="A905" s="2"/>
      <c r="B905" s="65"/>
      <c r="C905" s="65"/>
      <c r="D905" s="2"/>
      <c r="E905" s="2"/>
      <c r="F905" s="2"/>
    </row>
    <row r="906" spans="1:6" x14ac:dyDescent="0.3">
      <c r="A906" s="63"/>
      <c r="B906" s="64"/>
      <c r="C906" s="64"/>
      <c r="D906" s="64"/>
      <c r="E906" s="63"/>
      <c r="F906" s="64"/>
    </row>
    <row r="907" spans="1:6" x14ac:dyDescent="0.3">
      <c r="A907" s="2"/>
      <c r="B907" s="65"/>
      <c r="C907" s="65"/>
      <c r="D907" s="2"/>
      <c r="E907" s="2"/>
      <c r="F907" s="2"/>
    </row>
    <row r="908" spans="1:6" x14ac:dyDescent="0.3">
      <c r="A908" s="63"/>
      <c r="B908" s="64"/>
      <c r="C908" s="64"/>
      <c r="D908" s="64"/>
      <c r="E908" s="63"/>
      <c r="F908" s="64"/>
    </row>
    <row r="909" spans="1:6" x14ac:dyDescent="0.3">
      <c r="A909" s="2"/>
      <c r="B909" s="65"/>
      <c r="C909" s="65"/>
      <c r="D909" s="2"/>
      <c r="E909" s="2"/>
      <c r="F909" s="2"/>
    </row>
    <row r="910" spans="1:6" x14ac:dyDescent="0.3">
      <c r="A910" s="63"/>
      <c r="B910" s="64"/>
      <c r="C910" s="64"/>
      <c r="D910" s="64"/>
      <c r="E910" s="63"/>
      <c r="F910" s="64"/>
    </row>
    <row r="911" spans="1:6" x14ac:dyDescent="0.3">
      <c r="A911" s="2"/>
      <c r="B911" s="65"/>
      <c r="C911" s="65"/>
      <c r="D911" s="2"/>
      <c r="E911" s="2"/>
      <c r="F911" s="2"/>
    </row>
    <row r="912" spans="1:6" x14ac:dyDescent="0.3">
      <c r="A912" s="63"/>
      <c r="B912" s="64"/>
      <c r="C912" s="64"/>
      <c r="D912" s="64"/>
      <c r="E912" s="63"/>
      <c r="F912" s="64"/>
    </row>
    <row r="913" spans="1:6" x14ac:dyDescent="0.3">
      <c r="A913" s="2"/>
      <c r="B913" s="65"/>
      <c r="C913" s="65"/>
      <c r="D913" s="2"/>
      <c r="E913" s="2"/>
      <c r="F913" s="2"/>
    </row>
    <row r="914" spans="1:6" x14ac:dyDescent="0.3">
      <c r="A914" s="63"/>
      <c r="B914" s="64"/>
      <c r="C914" s="64"/>
      <c r="D914" s="64"/>
      <c r="E914" s="63"/>
      <c r="F914" s="64"/>
    </row>
    <row r="915" spans="1:6" x14ac:dyDescent="0.3">
      <c r="A915" s="2"/>
      <c r="B915" s="65"/>
      <c r="C915" s="65"/>
      <c r="D915" s="2"/>
      <c r="E915" s="2"/>
      <c r="F915" s="2"/>
    </row>
    <row r="916" spans="1:6" x14ac:dyDescent="0.3">
      <c r="A916" s="63"/>
      <c r="B916" s="64"/>
      <c r="C916" s="64"/>
      <c r="D916" s="64"/>
      <c r="E916" s="63"/>
      <c r="F916" s="64"/>
    </row>
    <row r="917" spans="1:6" x14ac:dyDescent="0.3">
      <c r="A917" s="2"/>
      <c r="B917" s="65"/>
      <c r="C917" s="65"/>
      <c r="D917" s="2"/>
      <c r="E917" s="2"/>
      <c r="F917" s="2"/>
    </row>
    <row r="918" spans="1:6" x14ac:dyDescent="0.3">
      <c r="A918" s="63"/>
      <c r="B918" s="64"/>
      <c r="C918" s="64"/>
      <c r="D918" s="64"/>
      <c r="E918" s="63"/>
      <c r="F918" s="64"/>
    </row>
    <row r="919" spans="1:6" x14ac:dyDescent="0.3">
      <c r="A919" s="2"/>
      <c r="B919" s="65"/>
      <c r="C919" s="65"/>
      <c r="D919" s="2"/>
      <c r="E919" s="2"/>
      <c r="F919" s="2"/>
    </row>
    <row r="920" spans="1:6" x14ac:dyDescent="0.3">
      <c r="A920" s="63"/>
      <c r="B920" s="64"/>
      <c r="C920" s="64"/>
      <c r="D920" s="64"/>
      <c r="E920" s="63"/>
      <c r="F920" s="64"/>
    </row>
    <row r="921" spans="1:6" x14ac:dyDescent="0.3">
      <c r="A921" s="2"/>
      <c r="B921" s="65"/>
      <c r="C921" s="65"/>
      <c r="D921" s="2"/>
      <c r="E921" s="2"/>
      <c r="F921" s="2"/>
    </row>
    <row r="922" spans="1:6" x14ac:dyDescent="0.3">
      <c r="A922" s="63"/>
      <c r="B922" s="64"/>
      <c r="C922" s="64"/>
      <c r="D922" s="64"/>
      <c r="E922" s="63"/>
      <c r="F922" s="64"/>
    </row>
    <row r="923" spans="1:6" x14ac:dyDescent="0.3">
      <c r="A923" s="2"/>
      <c r="B923" s="65"/>
      <c r="C923" s="65"/>
      <c r="D923" s="2"/>
      <c r="E923" s="2"/>
      <c r="F923" s="2"/>
    </row>
    <row r="924" spans="1:6" x14ac:dyDescent="0.3">
      <c r="A924" s="63"/>
      <c r="B924" s="64"/>
      <c r="C924" s="64"/>
      <c r="D924" s="64"/>
      <c r="E924" s="63"/>
      <c r="F924" s="64"/>
    </row>
    <row r="925" spans="1:6" x14ac:dyDescent="0.3">
      <c r="A925" s="2"/>
      <c r="B925" s="65"/>
      <c r="C925" s="65"/>
      <c r="D925" s="2"/>
      <c r="E925" s="2"/>
      <c r="F925" s="2"/>
    </row>
    <row r="926" spans="1:6" x14ac:dyDescent="0.3">
      <c r="A926" s="63"/>
      <c r="B926" s="64"/>
      <c r="C926" s="64"/>
      <c r="D926" s="64"/>
      <c r="E926" s="63"/>
      <c r="F926" s="64"/>
    </row>
    <row r="927" spans="1:6" x14ac:dyDescent="0.3">
      <c r="A927" s="2"/>
      <c r="B927" s="65"/>
      <c r="C927" s="65"/>
      <c r="D927" s="2"/>
      <c r="E927" s="2"/>
      <c r="F927" s="2"/>
    </row>
    <row r="928" spans="1:6" x14ac:dyDescent="0.3">
      <c r="A928" s="63"/>
      <c r="B928" s="64"/>
      <c r="C928" s="64"/>
      <c r="D928" s="64"/>
      <c r="E928" s="63"/>
      <c r="F928" s="64"/>
    </row>
    <row r="929" spans="1:6" x14ac:dyDescent="0.3">
      <c r="A929" s="2"/>
      <c r="B929" s="65"/>
      <c r="C929" s="65"/>
      <c r="D929" s="2"/>
      <c r="E929" s="2"/>
      <c r="F929" s="2"/>
    </row>
    <row r="930" spans="1:6" x14ac:dyDescent="0.3">
      <c r="A930" s="63"/>
      <c r="B930" s="64"/>
      <c r="C930" s="64"/>
      <c r="D930" s="64"/>
      <c r="E930" s="63"/>
      <c r="F930" s="64"/>
    </row>
    <row r="931" spans="1:6" x14ac:dyDescent="0.3">
      <c r="A931" s="2"/>
      <c r="B931" s="65"/>
      <c r="C931" s="65"/>
      <c r="D931" s="2"/>
      <c r="E931" s="2"/>
      <c r="F931" s="2"/>
    </row>
    <row r="932" spans="1:6" x14ac:dyDescent="0.3">
      <c r="A932" s="63"/>
      <c r="B932" s="64"/>
      <c r="C932" s="64"/>
      <c r="D932" s="64"/>
      <c r="E932" s="63"/>
      <c r="F932" s="64"/>
    </row>
    <row r="933" spans="1:6" x14ac:dyDescent="0.3">
      <c r="A933" s="2"/>
      <c r="B933" s="65"/>
      <c r="C933" s="65"/>
      <c r="D933" s="2"/>
      <c r="E933" s="2"/>
      <c r="F933" s="2"/>
    </row>
    <row r="934" spans="1:6" x14ac:dyDescent="0.3">
      <c r="A934" s="63"/>
      <c r="B934" s="64"/>
      <c r="C934" s="64"/>
      <c r="D934" s="64"/>
      <c r="E934" s="63"/>
      <c r="F934" s="64"/>
    </row>
    <row r="935" spans="1:6" x14ac:dyDescent="0.3">
      <c r="A935" s="2"/>
      <c r="B935" s="65"/>
      <c r="C935" s="65"/>
      <c r="D935" s="2"/>
      <c r="E935" s="2"/>
      <c r="F935" s="2"/>
    </row>
    <row r="936" spans="1:6" x14ac:dyDescent="0.3">
      <c r="A936" s="63"/>
      <c r="B936" s="64"/>
      <c r="C936" s="64"/>
      <c r="D936" s="64"/>
      <c r="E936" s="63"/>
      <c r="F936" s="64"/>
    </row>
    <row r="937" spans="1:6" x14ac:dyDescent="0.3">
      <c r="A937" s="2"/>
      <c r="B937" s="65"/>
      <c r="C937" s="65"/>
      <c r="D937" s="2"/>
      <c r="E937" s="2"/>
      <c r="F937" s="2"/>
    </row>
    <row r="938" spans="1:6" x14ac:dyDescent="0.3">
      <c r="A938" s="63"/>
      <c r="B938" s="64"/>
      <c r="C938" s="64"/>
      <c r="D938" s="64"/>
      <c r="E938" s="63"/>
      <c r="F938" s="64"/>
    </row>
    <row r="939" spans="1:6" x14ac:dyDescent="0.3">
      <c r="A939" s="2"/>
      <c r="B939" s="65"/>
      <c r="C939" s="65"/>
      <c r="D939" s="2"/>
      <c r="E939" s="2"/>
      <c r="F939" s="2"/>
    </row>
    <row r="940" spans="1:6" x14ac:dyDescent="0.3">
      <c r="A940" s="63"/>
      <c r="B940" s="64"/>
      <c r="C940" s="64"/>
      <c r="D940" s="64"/>
      <c r="E940" s="63"/>
      <c r="F940" s="64"/>
    </row>
    <row r="941" spans="1:6" x14ac:dyDescent="0.3">
      <c r="A941" s="2"/>
      <c r="B941" s="65"/>
      <c r="C941" s="65"/>
      <c r="D941" s="2"/>
      <c r="E941" s="2"/>
      <c r="F941" s="2"/>
    </row>
    <row r="942" spans="1:6" x14ac:dyDescent="0.3">
      <c r="A942" s="63"/>
      <c r="B942" s="64"/>
      <c r="C942" s="64"/>
      <c r="D942" s="64"/>
      <c r="E942" s="63"/>
      <c r="F942" s="64"/>
    </row>
    <row r="943" spans="1:6" x14ac:dyDescent="0.3">
      <c r="A943" s="2"/>
      <c r="B943" s="65"/>
      <c r="C943" s="65"/>
      <c r="D943" s="2"/>
      <c r="E943" s="2"/>
      <c r="F943" s="2"/>
    </row>
    <row r="944" spans="1:6" x14ac:dyDescent="0.3">
      <c r="A944" s="63"/>
      <c r="B944" s="64"/>
      <c r="C944" s="64"/>
      <c r="D944" s="64"/>
      <c r="E944" s="63"/>
      <c r="F944" s="64"/>
    </row>
    <row r="945" spans="1:6" x14ac:dyDescent="0.3">
      <c r="A945" s="2"/>
      <c r="B945" s="65"/>
      <c r="C945" s="65"/>
      <c r="D945" s="2"/>
      <c r="E945" s="2"/>
      <c r="F945" s="2"/>
    </row>
    <row r="946" spans="1:6" x14ac:dyDescent="0.3">
      <c r="A946" s="63"/>
      <c r="B946" s="64"/>
      <c r="C946" s="64"/>
      <c r="D946" s="64"/>
      <c r="E946" s="63"/>
      <c r="F946" s="64"/>
    </row>
    <row r="947" spans="1:6" x14ac:dyDescent="0.3">
      <c r="A947" s="2"/>
      <c r="B947" s="65"/>
      <c r="C947" s="65"/>
      <c r="D947" s="2"/>
      <c r="E947" s="2"/>
      <c r="F947" s="2"/>
    </row>
    <row r="948" spans="1:6" x14ac:dyDescent="0.3">
      <c r="A948" s="63"/>
      <c r="B948" s="64"/>
      <c r="C948" s="64"/>
      <c r="D948" s="64"/>
      <c r="E948" s="63"/>
      <c r="F948" s="64"/>
    </row>
    <row r="949" spans="1:6" x14ac:dyDescent="0.3">
      <c r="A949" s="2"/>
      <c r="B949" s="65"/>
      <c r="C949" s="65"/>
      <c r="D949" s="2"/>
      <c r="E949" s="2"/>
      <c r="F949" s="2"/>
    </row>
    <row r="950" spans="1:6" x14ac:dyDescent="0.3">
      <c r="A950" s="63"/>
      <c r="B950" s="64"/>
      <c r="C950" s="64"/>
      <c r="D950" s="64"/>
      <c r="E950" s="63"/>
      <c r="F950" s="64"/>
    </row>
    <row r="951" spans="1:6" x14ac:dyDescent="0.3">
      <c r="A951" s="2"/>
      <c r="B951" s="65"/>
      <c r="C951" s="65"/>
      <c r="D951" s="2"/>
      <c r="E951" s="2"/>
      <c r="F951" s="2"/>
    </row>
    <row r="952" spans="1:6" x14ac:dyDescent="0.3">
      <c r="A952" s="63"/>
      <c r="B952" s="64"/>
      <c r="C952" s="64"/>
      <c r="D952" s="64"/>
      <c r="E952" s="63"/>
      <c r="F952" s="64"/>
    </row>
    <row r="953" spans="1:6" x14ac:dyDescent="0.3">
      <c r="A953" s="2"/>
      <c r="B953" s="65"/>
      <c r="C953" s="65"/>
      <c r="D953" s="2"/>
      <c r="E953" s="2"/>
      <c r="F953" s="2"/>
    </row>
    <row r="954" spans="1:6" x14ac:dyDescent="0.3">
      <c r="A954" s="63"/>
      <c r="B954" s="64"/>
      <c r="C954" s="64"/>
      <c r="D954" s="64"/>
      <c r="E954" s="63"/>
      <c r="F954" s="64"/>
    </row>
    <row r="955" spans="1:6" x14ac:dyDescent="0.3">
      <c r="A955" s="2"/>
      <c r="B955" s="65"/>
      <c r="C955" s="65"/>
      <c r="D955" s="2"/>
      <c r="E955" s="2"/>
      <c r="F955" s="2"/>
    </row>
    <row r="956" spans="1:6" x14ac:dyDescent="0.3">
      <c r="A956" s="63"/>
      <c r="B956" s="64"/>
      <c r="C956" s="64"/>
      <c r="D956" s="64"/>
      <c r="E956" s="63"/>
      <c r="F956" s="64"/>
    </row>
    <row r="957" spans="1:6" x14ac:dyDescent="0.3">
      <c r="A957" s="2"/>
      <c r="B957" s="65"/>
      <c r="C957" s="65"/>
      <c r="D957" s="2"/>
      <c r="E957" s="2"/>
      <c r="F957" s="2"/>
    </row>
    <row r="958" spans="1:6" x14ac:dyDescent="0.3">
      <c r="A958" s="63"/>
      <c r="B958" s="64"/>
      <c r="C958" s="64"/>
      <c r="D958" s="64"/>
      <c r="E958" s="63"/>
      <c r="F958" s="64"/>
    </row>
    <row r="959" spans="1:6" x14ac:dyDescent="0.3">
      <c r="A959" s="2"/>
      <c r="B959" s="65"/>
      <c r="C959" s="65"/>
      <c r="D959" s="2"/>
      <c r="E959" s="2"/>
      <c r="F959" s="2"/>
    </row>
    <row r="960" spans="1:6" x14ac:dyDescent="0.3">
      <c r="A960" s="63"/>
      <c r="B960" s="64"/>
      <c r="C960" s="64"/>
      <c r="D960" s="64"/>
      <c r="E960" s="63"/>
      <c r="F960" s="64"/>
    </row>
    <row r="961" spans="1:6" x14ac:dyDescent="0.3">
      <c r="A961" s="2"/>
      <c r="B961" s="65"/>
      <c r="C961" s="65"/>
      <c r="D961" s="2"/>
      <c r="E961" s="2"/>
      <c r="F961" s="2"/>
    </row>
    <row r="962" spans="1:6" x14ac:dyDescent="0.3">
      <c r="A962" s="63"/>
      <c r="B962" s="64"/>
      <c r="C962" s="64"/>
      <c r="D962" s="64"/>
      <c r="E962" s="63"/>
      <c r="F962" s="64"/>
    </row>
    <row r="963" spans="1:6" x14ac:dyDescent="0.3">
      <c r="A963" s="2"/>
      <c r="B963" s="65"/>
      <c r="C963" s="65"/>
      <c r="D963" s="2"/>
      <c r="E963" s="2"/>
      <c r="F963" s="2"/>
    </row>
    <row r="964" spans="1:6" x14ac:dyDescent="0.3">
      <c r="A964" s="63"/>
      <c r="B964" s="64"/>
      <c r="C964" s="64"/>
      <c r="D964" s="64"/>
      <c r="E964" s="63"/>
      <c r="F964" s="64"/>
    </row>
    <row r="965" spans="1:6" x14ac:dyDescent="0.3">
      <c r="A965" s="2"/>
      <c r="B965" s="65"/>
      <c r="C965" s="65"/>
      <c r="D965" s="2"/>
      <c r="E965" s="2"/>
      <c r="F965" s="2"/>
    </row>
    <row r="966" spans="1:6" x14ac:dyDescent="0.3">
      <c r="A966" s="63"/>
      <c r="B966" s="64"/>
      <c r="C966" s="64"/>
      <c r="D966" s="64"/>
      <c r="E966" s="63"/>
      <c r="F966" s="64"/>
    </row>
    <row r="967" spans="1:6" x14ac:dyDescent="0.3">
      <c r="A967" s="2"/>
      <c r="B967" s="65"/>
      <c r="C967" s="65"/>
      <c r="D967" s="2"/>
      <c r="E967" s="2"/>
      <c r="F967" s="2"/>
    </row>
    <row r="968" spans="1:6" x14ac:dyDescent="0.3">
      <c r="A968" s="63"/>
      <c r="B968" s="64"/>
      <c r="C968" s="64"/>
      <c r="D968" s="64"/>
      <c r="E968" s="63"/>
      <c r="F968" s="64"/>
    </row>
    <row r="969" spans="1:6" x14ac:dyDescent="0.3">
      <c r="A969" s="2"/>
      <c r="B969" s="65"/>
      <c r="C969" s="65"/>
      <c r="D969" s="2"/>
      <c r="E969" s="2"/>
      <c r="F969" s="2"/>
    </row>
    <row r="970" spans="1:6" x14ac:dyDescent="0.3">
      <c r="A970" s="63"/>
      <c r="B970" s="64"/>
      <c r="C970" s="64"/>
      <c r="D970" s="64"/>
      <c r="E970" s="63"/>
      <c r="F970" s="64"/>
    </row>
    <row r="971" spans="1:6" x14ac:dyDescent="0.3">
      <c r="A971" s="2"/>
      <c r="B971" s="65"/>
      <c r="C971" s="65"/>
      <c r="D971" s="2"/>
      <c r="E971" s="2"/>
      <c r="F971" s="2"/>
    </row>
    <row r="972" spans="1:6" x14ac:dyDescent="0.3">
      <c r="A972" s="63"/>
      <c r="B972" s="64"/>
      <c r="C972" s="64"/>
      <c r="D972" s="64"/>
      <c r="E972" s="63"/>
      <c r="F972" s="64"/>
    </row>
    <row r="973" spans="1:6" x14ac:dyDescent="0.3">
      <c r="A973" s="2"/>
      <c r="B973" s="65"/>
      <c r="C973" s="65"/>
      <c r="D973" s="2"/>
      <c r="E973" s="2"/>
      <c r="F973" s="2"/>
    </row>
    <row r="974" spans="1:6" x14ac:dyDescent="0.3">
      <c r="A974" s="63"/>
      <c r="B974" s="64"/>
      <c r="C974" s="64"/>
      <c r="D974" s="64"/>
      <c r="E974" s="63"/>
      <c r="F974" s="64"/>
    </row>
    <row r="975" spans="1:6" x14ac:dyDescent="0.3">
      <c r="A975" s="2"/>
      <c r="B975" s="65"/>
      <c r="C975" s="65"/>
      <c r="D975" s="2"/>
      <c r="E975" s="2"/>
      <c r="F975" s="2"/>
    </row>
    <row r="976" spans="1:6" x14ac:dyDescent="0.3">
      <c r="A976" s="63"/>
      <c r="B976" s="64"/>
      <c r="C976" s="64"/>
      <c r="D976" s="64"/>
      <c r="E976" s="63"/>
      <c r="F976" s="64"/>
    </row>
    <row r="977" spans="1:6" x14ac:dyDescent="0.3">
      <c r="A977" s="2"/>
      <c r="B977" s="65"/>
      <c r="C977" s="65"/>
      <c r="D977" s="2"/>
      <c r="E977" s="2"/>
      <c r="F977" s="2"/>
    </row>
    <row r="978" spans="1:6" x14ac:dyDescent="0.3">
      <c r="A978" s="63"/>
      <c r="B978" s="64"/>
      <c r="C978" s="64"/>
      <c r="D978" s="64"/>
      <c r="E978" s="63"/>
      <c r="F978" s="64"/>
    </row>
    <row r="979" spans="1:6" x14ac:dyDescent="0.3">
      <c r="A979" s="2"/>
      <c r="B979" s="65"/>
      <c r="C979" s="65"/>
      <c r="D979" s="2"/>
      <c r="E979" s="2"/>
      <c r="F979" s="2"/>
    </row>
    <row r="980" spans="1:6" x14ac:dyDescent="0.3">
      <c r="A980" s="63"/>
      <c r="B980" s="64"/>
      <c r="C980" s="64"/>
      <c r="D980" s="64"/>
      <c r="E980" s="63"/>
      <c r="F980" s="64"/>
    </row>
    <row r="981" spans="1:6" x14ac:dyDescent="0.3">
      <c r="A981" s="2"/>
      <c r="B981" s="65"/>
      <c r="C981" s="65"/>
      <c r="D981" s="2"/>
      <c r="E981" s="2"/>
      <c r="F981" s="2"/>
    </row>
    <row r="982" spans="1:6" x14ac:dyDescent="0.3">
      <c r="A982" s="63"/>
      <c r="B982" s="64"/>
      <c r="C982" s="64"/>
      <c r="D982" s="64"/>
      <c r="E982" s="63"/>
      <c r="F982" s="64"/>
    </row>
    <row r="983" spans="1:6" x14ac:dyDescent="0.3">
      <c r="A983" s="2"/>
      <c r="B983" s="65"/>
      <c r="C983" s="65"/>
      <c r="D983" s="2"/>
      <c r="E983" s="2"/>
      <c r="F983" s="2"/>
    </row>
    <row r="984" spans="1:6" x14ac:dyDescent="0.3">
      <c r="A984" s="63"/>
      <c r="B984" s="64"/>
      <c r="C984" s="64"/>
      <c r="D984" s="64"/>
      <c r="E984" s="63"/>
      <c r="F984" s="64"/>
    </row>
    <row r="985" spans="1:6" x14ac:dyDescent="0.3">
      <c r="A985" s="2"/>
      <c r="B985" s="65"/>
      <c r="C985" s="65"/>
      <c r="D985" s="2"/>
      <c r="E985" s="2"/>
      <c r="F985" s="2"/>
    </row>
    <row r="986" spans="1:6" x14ac:dyDescent="0.3">
      <c r="A986" s="63"/>
      <c r="B986" s="64"/>
      <c r="C986" s="64"/>
      <c r="D986" s="64"/>
      <c r="E986" s="63"/>
      <c r="F986" s="64"/>
    </row>
    <row r="987" spans="1:6" x14ac:dyDescent="0.3">
      <c r="A987" s="2"/>
      <c r="B987" s="65"/>
      <c r="C987" s="65"/>
      <c r="D987" s="2"/>
      <c r="E987" s="2"/>
      <c r="F987" s="2"/>
    </row>
    <row r="988" spans="1:6" x14ac:dyDescent="0.3">
      <c r="A988" s="63"/>
      <c r="B988" s="64"/>
      <c r="C988" s="64"/>
      <c r="D988" s="64"/>
      <c r="E988" s="63"/>
      <c r="F988" s="64"/>
    </row>
    <row r="989" spans="1:6" x14ac:dyDescent="0.3">
      <c r="A989" s="2"/>
      <c r="B989" s="65"/>
      <c r="C989" s="65"/>
      <c r="D989" s="2"/>
      <c r="E989" s="2"/>
      <c r="F989" s="2"/>
    </row>
    <row r="990" spans="1:6" x14ac:dyDescent="0.3">
      <c r="A990" s="63"/>
      <c r="B990" s="64"/>
      <c r="C990" s="64"/>
      <c r="D990" s="64"/>
      <c r="E990" s="63"/>
      <c r="F990" s="64"/>
    </row>
    <row r="991" spans="1:6" x14ac:dyDescent="0.3">
      <c r="A991" s="2"/>
      <c r="B991" s="65"/>
      <c r="C991" s="65"/>
      <c r="D991" s="2"/>
      <c r="E991" s="2"/>
      <c r="F991" s="2"/>
    </row>
    <row r="992" spans="1:6" x14ac:dyDescent="0.3">
      <c r="A992" s="63"/>
      <c r="B992" s="64"/>
      <c r="C992" s="64"/>
      <c r="D992" s="64"/>
      <c r="E992" s="63"/>
      <c r="F992" s="64"/>
    </row>
    <row r="993" spans="1:6" x14ac:dyDescent="0.3">
      <c r="A993" s="2"/>
      <c r="B993" s="65"/>
      <c r="C993" s="65"/>
      <c r="D993" s="2"/>
      <c r="E993" s="2"/>
      <c r="F993" s="2"/>
    </row>
    <row r="994" spans="1:6" x14ac:dyDescent="0.3">
      <c r="A994" s="63"/>
      <c r="B994" s="64"/>
      <c r="C994" s="64"/>
      <c r="D994" s="64"/>
      <c r="E994" s="63"/>
      <c r="F994" s="64"/>
    </row>
    <row r="995" spans="1:6" x14ac:dyDescent="0.3">
      <c r="A995" s="2"/>
      <c r="B995" s="65"/>
      <c r="C995" s="65"/>
      <c r="D995" s="2"/>
      <c r="E995" s="2"/>
      <c r="F995" s="2"/>
    </row>
    <row r="996" spans="1:6" x14ac:dyDescent="0.3">
      <c r="A996" s="63"/>
      <c r="B996" s="64"/>
      <c r="C996" s="64"/>
      <c r="D996" s="64"/>
      <c r="E996" s="63"/>
      <c r="F996" s="64"/>
    </row>
    <row r="997" spans="1:6" x14ac:dyDescent="0.3">
      <c r="A997" s="2"/>
      <c r="B997" s="65"/>
      <c r="C997" s="65"/>
      <c r="D997" s="2"/>
      <c r="E997" s="2"/>
      <c r="F997" s="2"/>
    </row>
    <row r="998" spans="1:6" x14ac:dyDescent="0.3">
      <c r="A998" s="63"/>
      <c r="B998" s="64"/>
      <c r="C998" s="64"/>
      <c r="D998" s="64"/>
      <c r="E998" s="63"/>
      <c r="F998" s="64"/>
    </row>
    <row r="999" spans="1:6" x14ac:dyDescent="0.3">
      <c r="A999" s="2"/>
      <c r="B999" s="65"/>
      <c r="C999" s="65"/>
      <c r="D999" s="2"/>
      <c r="E999" s="2"/>
      <c r="F999" s="2"/>
    </row>
    <row r="1000" spans="1:6" x14ac:dyDescent="0.3">
      <c r="A1000" s="63"/>
      <c r="B1000" s="64"/>
      <c r="C1000" s="64"/>
      <c r="D1000" s="64"/>
      <c r="E1000" s="63"/>
      <c r="F1000" s="64"/>
    </row>
    <row r="1001" spans="1:6" x14ac:dyDescent="0.3">
      <c r="A1001" s="2"/>
      <c r="B1001" s="65"/>
      <c r="C1001" s="65"/>
      <c r="D1001" s="2"/>
      <c r="E1001" s="2"/>
      <c r="F1001" s="2"/>
    </row>
    <row r="1002" spans="1:6" x14ac:dyDescent="0.3">
      <c r="A1002" s="63"/>
      <c r="B1002" s="64"/>
      <c r="C1002" s="64"/>
      <c r="D1002" s="64"/>
      <c r="E1002" s="63"/>
      <c r="F1002" s="64"/>
    </row>
    <row r="1003" spans="1:6" x14ac:dyDescent="0.3">
      <c r="A1003" s="2"/>
      <c r="B1003" s="65"/>
      <c r="C1003" s="65"/>
      <c r="D1003" s="2"/>
      <c r="E1003" s="2"/>
      <c r="F1003" s="2"/>
    </row>
    <row r="1004" spans="1:6" x14ac:dyDescent="0.3">
      <c r="A1004" s="63"/>
      <c r="B1004" s="64"/>
      <c r="C1004" s="64"/>
      <c r="D1004" s="64"/>
      <c r="E1004" s="63"/>
      <c r="F1004" s="64"/>
    </row>
    <row r="1005" spans="1:6" x14ac:dyDescent="0.3">
      <c r="A1005" s="2"/>
      <c r="B1005" s="65"/>
      <c r="C1005" s="65"/>
      <c r="D1005" s="2"/>
      <c r="E1005" s="2"/>
      <c r="F1005" s="2"/>
    </row>
    <row r="1006" spans="1:6" x14ac:dyDescent="0.3">
      <c r="A1006" s="63"/>
      <c r="B1006" s="64"/>
      <c r="C1006" s="64"/>
      <c r="D1006" s="64"/>
      <c r="E1006" s="63"/>
      <c r="F1006" s="64"/>
    </row>
    <row r="1007" spans="1:6" x14ac:dyDescent="0.3">
      <c r="A1007" s="2"/>
      <c r="B1007" s="65"/>
      <c r="C1007" s="65"/>
      <c r="D1007" s="2"/>
      <c r="E1007" s="2"/>
      <c r="F1007" s="2"/>
    </row>
    <row r="1008" spans="1:6" x14ac:dyDescent="0.3">
      <c r="A1008" s="63"/>
      <c r="B1008" s="64"/>
      <c r="C1008" s="64"/>
      <c r="D1008" s="64"/>
      <c r="E1008" s="63"/>
      <c r="F1008" s="64"/>
    </row>
    <row r="1009" spans="1:6" x14ac:dyDescent="0.3">
      <c r="A1009" s="2"/>
      <c r="B1009" s="65"/>
      <c r="C1009" s="65"/>
      <c r="D1009" s="2"/>
      <c r="E1009" s="2"/>
      <c r="F1009" s="2"/>
    </row>
    <row r="1010" spans="1:6" x14ac:dyDescent="0.3">
      <c r="A1010" s="63"/>
      <c r="B1010" s="64"/>
      <c r="C1010" s="64"/>
      <c r="D1010" s="64"/>
      <c r="E1010" s="63"/>
      <c r="F1010" s="64"/>
    </row>
    <row r="1011" spans="1:6" x14ac:dyDescent="0.3">
      <c r="A1011" s="2"/>
      <c r="B1011" s="65"/>
      <c r="C1011" s="65"/>
      <c r="D1011" s="2"/>
      <c r="E1011" s="2"/>
      <c r="F1011" s="2"/>
    </row>
    <row r="1012" spans="1:6" x14ac:dyDescent="0.3">
      <c r="A1012" s="63"/>
      <c r="B1012" s="64"/>
      <c r="C1012" s="64"/>
      <c r="D1012" s="64"/>
      <c r="E1012" s="63"/>
      <c r="F1012" s="64"/>
    </row>
    <row r="1013" spans="1:6" x14ac:dyDescent="0.3">
      <c r="A1013" s="2"/>
      <c r="B1013" s="65"/>
      <c r="C1013" s="65"/>
      <c r="D1013" s="2"/>
      <c r="E1013" s="2"/>
      <c r="F1013" s="2"/>
    </row>
    <row r="1014" spans="1:6" x14ac:dyDescent="0.3">
      <c r="A1014" s="63"/>
      <c r="B1014" s="64"/>
      <c r="C1014" s="64"/>
      <c r="D1014" s="64"/>
      <c r="E1014" s="63"/>
      <c r="F1014" s="64"/>
    </row>
    <row r="1015" spans="1:6" x14ac:dyDescent="0.3">
      <c r="A1015" s="2"/>
      <c r="B1015" s="65"/>
      <c r="C1015" s="65"/>
      <c r="D1015" s="2"/>
      <c r="E1015" s="2"/>
      <c r="F1015" s="2"/>
    </row>
    <row r="1016" spans="1:6" x14ac:dyDescent="0.3">
      <c r="A1016" s="63"/>
      <c r="B1016" s="64"/>
      <c r="C1016" s="64"/>
      <c r="D1016" s="64"/>
      <c r="E1016" s="63"/>
      <c r="F1016" s="64"/>
    </row>
    <row r="1017" spans="1:6" x14ac:dyDescent="0.3">
      <c r="A1017" s="2"/>
      <c r="B1017" s="65"/>
      <c r="C1017" s="65"/>
      <c r="D1017" s="2"/>
      <c r="E1017" s="2"/>
      <c r="F1017" s="2"/>
    </row>
    <row r="1018" spans="1:6" x14ac:dyDescent="0.3">
      <c r="A1018" s="63"/>
      <c r="B1018" s="64"/>
      <c r="C1018" s="64"/>
      <c r="D1018" s="64"/>
      <c r="E1018" s="63"/>
      <c r="F1018" s="64"/>
    </row>
    <row r="1019" spans="1:6" x14ac:dyDescent="0.3">
      <c r="A1019" s="2"/>
      <c r="B1019" s="65"/>
      <c r="C1019" s="65"/>
      <c r="D1019" s="2"/>
      <c r="E1019" s="2"/>
      <c r="F1019" s="2"/>
    </row>
    <row r="1020" spans="1:6" x14ac:dyDescent="0.3">
      <c r="A1020" s="63"/>
      <c r="B1020" s="64"/>
      <c r="C1020" s="64"/>
      <c r="D1020" s="64"/>
      <c r="E1020" s="63"/>
      <c r="F1020" s="64"/>
    </row>
    <row r="1021" spans="1:6" x14ac:dyDescent="0.3">
      <c r="A1021" s="2"/>
      <c r="B1021" s="65"/>
      <c r="C1021" s="65"/>
      <c r="D1021" s="2"/>
      <c r="E1021" s="2"/>
      <c r="F1021" s="2"/>
    </row>
    <row r="1022" spans="1:6" x14ac:dyDescent="0.3">
      <c r="A1022" s="63"/>
      <c r="B1022" s="64"/>
      <c r="C1022" s="64"/>
      <c r="D1022" s="64"/>
      <c r="E1022" s="63"/>
      <c r="F1022" s="64"/>
    </row>
    <row r="1023" spans="1:6" x14ac:dyDescent="0.3">
      <c r="A1023" s="2"/>
      <c r="B1023" s="65"/>
      <c r="C1023" s="65"/>
      <c r="D1023" s="2"/>
      <c r="E1023" s="2"/>
      <c r="F1023" s="2"/>
    </row>
    <row r="1024" spans="1:6" x14ac:dyDescent="0.3">
      <c r="A1024" s="63"/>
      <c r="B1024" s="64"/>
      <c r="C1024" s="64"/>
      <c r="D1024" s="64"/>
      <c r="E1024" s="63"/>
      <c r="F1024" s="64"/>
    </row>
    <row r="1025" spans="1:6" x14ac:dyDescent="0.3">
      <c r="A1025" s="2"/>
      <c r="B1025" s="65"/>
      <c r="C1025" s="65"/>
      <c r="D1025" s="2"/>
      <c r="E1025" s="2"/>
      <c r="F1025" s="2"/>
    </row>
    <row r="1026" spans="1:6" x14ac:dyDescent="0.3">
      <c r="A1026" s="63"/>
      <c r="B1026" s="64"/>
      <c r="C1026" s="64"/>
      <c r="D1026" s="64"/>
      <c r="E1026" s="63"/>
      <c r="F1026" s="64"/>
    </row>
    <row r="1027" spans="1:6" x14ac:dyDescent="0.3">
      <c r="A1027" s="2"/>
      <c r="B1027" s="65"/>
      <c r="C1027" s="65"/>
      <c r="D1027" s="2"/>
      <c r="E1027" s="2"/>
      <c r="F1027" s="2"/>
    </row>
    <row r="1028" spans="1:6" x14ac:dyDescent="0.3">
      <c r="A1028" s="63"/>
      <c r="B1028" s="64"/>
      <c r="C1028" s="64"/>
      <c r="D1028" s="64"/>
      <c r="E1028" s="63"/>
      <c r="F1028" s="64"/>
    </row>
    <row r="1029" spans="1:6" x14ac:dyDescent="0.3">
      <c r="A1029" s="2"/>
      <c r="B1029" s="65"/>
      <c r="C1029" s="65"/>
      <c r="D1029" s="2"/>
      <c r="E1029" s="2"/>
      <c r="F1029" s="2"/>
    </row>
    <row r="1030" spans="1:6" x14ac:dyDescent="0.3">
      <c r="A1030" s="63"/>
      <c r="B1030" s="64"/>
      <c r="C1030" s="64"/>
      <c r="D1030" s="64"/>
      <c r="E1030" s="63"/>
      <c r="F1030" s="64"/>
    </row>
    <row r="1031" spans="1:6" x14ac:dyDescent="0.3">
      <c r="A1031" s="2"/>
      <c r="B1031" s="65"/>
      <c r="C1031" s="65"/>
      <c r="D1031" s="2"/>
      <c r="E1031" s="2"/>
      <c r="F1031" s="2"/>
    </row>
    <row r="1032" spans="1:6" x14ac:dyDescent="0.3">
      <c r="A1032" s="63"/>
      <c r="B1032" s="64"/>
      <c r="C1032" s="64"/>
      <c r="D1032" s="64"/>
      <c r="E1032" s="63"/>
      <c r="F1032" s="64"/>
    </row>
    <row r="1033" spans="1:6" x14ac:dyDescent="0.3">
      <c r="A1033" s="2"/>
      <c r="B1033" s="65"/>
      <c r="C1033" s="65"/>
      <c r="D1033" s="2"/>
      <c r="E1033" s="2"/>
      <c r="F1033" s="2"/>
    </row>
    <row r="1034" spans="1:6" x14ac:dyDescent="0.3">
      <c r="A1034" s="63"/>
      <c r="B1034" s="64"/>
      <c r="C1034" s="64"/>
      <c r="D1034" s="64"/>
      <c r="E1034" s="63"/>
      <c r="F1034" s="64"/>
    </row>
    <row r="1035" spans="1:6" x14ac:dyDescent="0.3">
      <c r="A1035" s="2"/>
      <c r="B1035" s="65"/>
      <c r="C1035" s="65"/>
      <c r="D1035" s="2"/>
      <c r="E1035" s="2"/>
      <c r="F1035" s="2"/>
    </row>
    <row r="1036" spans="1:6" x14ac:dyDescent="0.3">
      <c r="A1036" s="63"/>
      <c r="B1036" s="64"/>
      <c r="C1036" s="64"/>
      <c r="D1036" s="64"/>
      <c r="E1036" s="63"/>
      <c r="F1036" s="64"/>
    </row>
    <row r="1037" spans="1:6" x14ac:dyDescent="0.3">
      <c r="A1037" s="2"/>
      <c r="B1037" s="65"/>
      <c r="C1037" s="65"/>
      <c r="D1037" s="2"/>
      <c r="E1037" s="2"/>
      <c r="F1037" s="2"/>
    </row>
    <row r="1038" spans="1:6" x14ac:dyDescent="0.3">
      <c r="A1038" s="63"/>
      <c r="B1038" s="64"/>
      <c r="C1038" s="64"/>
      <c r="D1038" s="64"/>
      <c r="E1038" s="63"/>
      <c r="F1038" s="64"/>
    </row>
    <row r="1039" spans="1:6" x14ac:dyDescent="0.3">
      <c r="A1039" s="2"/>
      <c r="B1039" s="65"/>
      <c r="C1039" s="65"/>
      <c r="D1039" s="2"/>
      <c r="E1039" s="2"/>
      <c r="F1039" s="2"/>
    </row>
    <row r="1040" spans="1:6" x14ac:dyDescent="0.3">
      <c r="A1040" s="63"/>
      <c r="B1040" s="64"/>
      <c r="C1040" s="64"/>
      <c r="D1040" s="64"/>
      <c r="E1040" s="63"/>
      <c r="F1040" s="64"/>
    </row>
    <row r="1041" spans="1:6" x14ac:dyDescent="0.3">
      <c r="A1041" s="2"/>
      <c r="B1041" s="65"/>
      <c r="C1041" s="65"/>
      <c r="D1041" s="2"/>
      <c r="E1041" s="2"/>
      <c r="F1041" s="2"/>
    </row>
    <row r="1042" spans="1:6" x14ac:dyDescent="0.3">
      <c r="A1042" s="63"/>
      <c r="B1042" s="64"/>
      <c r="C1042" s="64"/>
      <c r="D1042" s="64"/>
      <c r="E1042" s="63"/>
      <c r="F1042" s="64"/>
    </row>
    <row r="1043" spans="1:6" x14ac:dyDescent="0.3">
      <c r="A1043" s="2"/>
      <c r="B1043" s="65"/>
      <c r="C1043" s="65"/>
      <c r="D1043" s="2"/>
      <c r="E1043" s="2"/>
      <c r="F1043" s="2"/>
    </row>
    <row r="1044" spans="1:6" x14ac:dyDescent="0.3">
      <c r="A1044" s="63"/>
      <c r="B1044" s="64"/>
      <c r="C1044" s="64"/>
      <c r="D1044" s="64"/>
      <c r="E1044" s="63"/>
      <c r="F1044" s="64"/>
    </row>
    <row r="1045" spans="1:6" x14ac:dyDescent="0.3">
      <c r="A1045" s="2"/>
      <c r="B1045" s="65"/>
      <c r="C1045" s="65"/>
      <c r="D1045" s="2"/>
      <c r="E1045" s="2"/>
      <c r="F1045" s="2"/>
    </row>
    <row r="1046" spans="1:6" x14ac:dyDescent="0.3">
      <c r="A1046" s="63"/>
      <c r="B1046" s="64"/>
      <c r="C1046" s="64"/>
      <c r="D1046" s="64"/>
      <c r="E1046" s="63"/>
      <c r="F1046" s="64"/>
    </row>
    <row r="1047" spans="1:6" x14ac:dyDescent="0.3">
      <c r="A1047" s="2"/>
      <c r="B1047" s="65"/>
      <c r="C1047" s="65"/>
      <c r="D1047" s="2"/>
      <c r="E1047" s="2"/>
      <c r="F1047" s="2"/>
    </row>
    <row r="1048" spans="1:6" x14ac:dyDescent="0.3">
      <c r="A1048" s="63"/>
      <c r="B1048" s="64"/>
      <c r="C1048" s="64"/>
      <c r="D1048" s="64"/>
      <c r="E1048" s="63"/>
      <c r="F1048" s="64"/>
    </row>
    <row r="1049" spans="1:6" x14ac:dyDescent="0.3">
      <c r="A1049" s="2"/>
      <c r="B1049" s="65"/>
      <c r="C1049" s="65"/>
      <c r="D1049" s="2"/>
      <c r="E1049" s="2"/>
      <c r="F1049" s="2"/>
    </row>
    <row r="1050" spans="1:6" x14ac:dyDescent="0.3">
      <c r="A1050" s="63"/>
      <c r="B1050" s="64"/>
      <c r="C1050" s="64"/>
      <c r="D1050" s="64"/>
      <c r="E1050" s="63"/>
      <c r="F1050" s="64"/>
    </row>
    <row r="1051" spans="1:6" x14ac:dyDescent="0.3">
      <c r="A1051" s="2"/>
      <c r="B1051" s="65"/>
      <c r="C1051" s="65"/>
      <c r="D1051" s="2"/>
      <c r="E1051" s="2"/>
      <c r="F1051" s="2"/>
    </row>
    <row r="1052" spans="1:6" x14ac:dyDescent="0.3">
      <c r="A1052" s="63"/>
      <c r="B1052" s="64"/>
      <c r="C1052" s="64"/>
      <c r="D1052" s="64"/>
      <c r="E1052" s="63"/>
      <c r="F1052" s="64"/>
    </row>
    <row r="1053" spans="1:6" x14ac:dyDescent="0.3">
      <c r="A1053" s="2"/>
      <c r="B1053" s="65"/>
      <c r="C1053" s="65"/>
      <c r="D1053" s="2"/>
      <c r="E1053" s="2"/>
      <c r="F1053" s="2"/>
    </row>
    <row r="1054" spans="1:6" x14ac:dyDescent="0.3">
      <c r="A1054" s="63"/>
      <c r="B1054" s="64"/>
      <c r="C1054" s="64"/>
      <c r="D1054" s="64"/>
      <c r="E1054" s="63"/>
      <c r="F1054" s="64"/>
    </row>
    <row r="1055" spans="1:6" x14ac:dyDescent="0.3">
      <c r="A1055" s="2"/>
      <c r="B1055" s="65"/>
      <c r="C1055" s="65"/>
      <c r="D1055" s="2"/>
      <c r="E1055" s="2"/>
      <c r="F1055" s="2"/>
    </row>
    <row r="1056" spans="1:6" x14ac:dyDescent="0.3">
      <c r="A1056" s="63"/>
      <c r="B1056" s="64"/>
      <c r="C1056" s="64"/>
      <c r="D1056" s="64"/>
      <c r="E1056" s="63"/>
      <c r="F1056" s="64"/>
    </row>
    <row r="1057" spans="1:6" x14ac:dyDescent="0.3">
      <c r="A1057" s="2"/>
      <c r="B1057" s="65"/>
      <c r="C1057" s="65"/>
      <c r="D1057" s="2"/>
      <c r="E1057" s="2"/>
      <c r="F1057" s="2"/>
    </row>
    <row r="1058" spans="1:6" x14ac:dyDescent="0.3">
      <c r="A1058" s="63"/>
      <c r="B1058" s="64"/>
      <c r="C1058" s="64"/>
      <c r="D1058" s="64"/>
      <c r="E1058" s="63"/>
      <c r="F1058" s="64"/>
    </row>
    <row r="1059" spans="1:6" x14ac:dyDescent="0.3">
      <c r="A1059" s="2"/>
      <c r="B1059" s="65"/>
      <c r="C1059" s="65"/>
      <c r="D1059" s="2"/>
      <c r="E1059" s="2"/>
      <c r="F1059" s="2"/>
    </row>
    <row r="1060" spans="1:6" x14ac:dyDescent="0.3">
      <c r="A1060" s="63"/>
      <c r="B1060" s="64"/>
      <c r="C1060" s="64"/>
      <c r="D1060" s="64"/>
      <c r="E1060" s="63"/>
      <c r="F1060" s="64"/>
    </row>
    <row r="1061" spans="1:6" x14ac:dyDescent="0.3">
      <c r="A1061" s="2"/>
      <c r="B1061" s="65"/>
      <c r="C1061" s="65"/>
      <c r="D1061" s="2"/>
      <c r="E1061" s="2"/>
      <c r="F1061" s="2"/>
    </row>
    <row r="1062" spans="1:6" x14ac:dyDescent="0.3">
      <c r="A1062" s="63"/>
      <c r="B1062" s="64"/>
      <c r="C1062" s="64"/>
      <c r="D1062" s="64"/>
      <c r="E1062" s="63"/>
      <c r="F1062" s="64"/>
    </row>
    <row r="1063" spans="1:6" x14ac:dyDescent="0.3">
      <c r="A1063" s="2"/>
      <c r="B1063" s="65"/>
      <c r="C1063" s="65"/>
      <c r="D1063" s="2"/>
      <c r="E1063" s="2"/>
      <c r="F1063" s="2"/>
    </row>
    <row r="1064" spans="1:6" x14ac:dyDescent="0.3">
      <c r="A1064" s="63"/>
      <c r="B1064" s="64"/>
      <c r="C1064" s="64"/>
      <c r="D1064" s="64"/>
      <c r="E1064" s="63"/>
      <c r="F1064" s="64"/>
    </row>
    <row r="1065" spans="1:6" x14ac:dyDescent="0.3">
      <c r="A1065" s="2"/>
      <c r="B1065" s="65"/>
      <c r="C1065" s="65"/>
      <c r="D1065" s="2"/>
      <c r="E1065" s="2"/>
      <c r="F1065" s="2"/>
    </row>
    <row r="1066" spans="1:6" x14ac:dyDescent="0.3">
      <c r="A1066" s="63"/>
      <c r="B1066" s="64"/>
      <c r="C1066" s="64"/>
      <c r="D1066" s="64"/>
      <c r="E1066" s="63"/>
      <c r="F1066" s="64"/>
    </row>
    <row r="1067" spans="1:6" x14ac:dyDescent="0.3">
      <c r="A1067" s="2"/>
      <c r="B1067" s="65"/>
      <c r="C1067" s="65"/>
      <c r="D1067" s="2"/>
      <c r="E1067" s="2"/>
      <c r="F1067" s="2"/>
    </row>
    <row r="1068" spans="1:6" x14ac:dyDescent="0.3">
      <c r="A1068" s="63"/>
      <c r="B1068" s="64"/>
      <c r="C1068" s="64"/>
      <c r="D1068" s="64"/>
      <c r="E1068" s="63"/>
      <c r="F1068" s="64"/>
    </row>
    <row r="1069" spans="1:6" x14ac:dyDescent="0.3">
      <c r="A1069" s="2"/>
      <c r="B1069" s="65"/>
      <c r="C1069" s="65"/>
      <c r="D1069" s="2"/>
      <c r="E1069" s="2"/>
      <c r="F1069" s="2"/>
    </row>
    <row r="1070" spans="1:6" x14ac:dyDescent="0.3">
      <c r="A1070" s="63"/>
      <c r="B1070" s="64"/>
      <c r="C1070" s="64"/>
      <c r="D1070" s="64"/>
      <c r="E1070" s="63"/>
      <c r="F1070" s="64"/>
    </row>
    <row r="1071" spans="1:6" x14ac:dyDescent="0.3">
      <c r="A1071" s="2"/>
      <c r="B1071" s="65"/>
      <c r="C1071" s="65"/>
      <c r="D1071" s="2"/>
      <c r="E1071" s="2"/>
      <c r="F1071" s="2"/>
    </row>
    <row r="1072" spans="1:6" x14ac:dyDescent="0.3">
      <c r="A1072" s="63"/>
      <c r="B1072" s="64"/>
      <c r="C1072" s="64"/>
      <c r="D1072" s="64"/>
      <c r="E1072" s="63"/>
      <c r="F1072" s="64"/>
    </row>
    <row r="1073" spans="1:6" x14ac:dyDescent="0.3">
      <c r="A1073" s="2"/>
      <c r="B1073" s="65"/>
      <c r="C1073" s="65"/>
      <c r="D1073" s="2"/>
      <c r="E1073" s="2"/>
      <c r="F1073" s="2"/>
    </row>
    <row r="1074" spans="1:6" x14ac:dyDescent="0.3">
      <c r="A1074" s="63"/>
      <c r="B1074" s="64"/>
      <c r="C1074" s="64"/>
      <c r="D1074" s="64"/>
      <c r="E1074" s="63"/>
      <c r="F1074" s="64"/>
    </row>
    <row r="1075" spans="1:6" x14ac:dyDescent="0.3">
      <c r="A1075" s="2"/>
      <c r="B1075" s="65"/>
      <c r="C1075" s="65"/>
      <c r="D1075" s="2"/>
      <c r="E1075" s="2"/>
      <c r="F1075" s="2"/>
    </row>
    <row r="1076" spans="1:6" x14ac:dyDescent="0.3">
      <c r="A1076" s="63"/>
      <c r="B1076" s="64"/>
      <c r="C1076" s="64"/>
      <c r="D1076" s="64"/>
      <c r="E1076" s="63"/>
      <c r="F1076" s="64"/>
    </row>
    <row r="1077" spans="1:6" x14ac:dyDescent="0.3">
      <c r="A1077" s="2"/>
      <c r="B1077" s="65"/>
      <c r="C1077" s="65"/>
      <c r="D1077" s="2"/>
      <c r="E1077" s="2"/>
      <c r="F1077" s="2"/>
    </row>
    <row r="1078" spans="1:6" x14ac:dyDescent="0.3">
      <c r="A1078" s="63"/>
      <c r="B1078" s="64"/>
      <c r="C1078" s="64"/>
      <c r="D1078" s="64"/>
      <c r="E1078" s="63"/>
      <c r="F1078" s="64"/>
    </row>
    <row r="1079" spans="1:6" x14ac:dyDescent="0.3">
      <c r="A1079" s="2"/>
      <c r="B1079" s="65"/>
      <c r="C1079" s="65"/>
      <c r="D1079" s="2"/>
      <c r="E1079" s="2"/>
      <c r="F1079" s="2"/>
    </row>
    <row r="1080" spans="1:6" x14ac:dyDescent="0.3">
      <c r="A1080" s="63"/>
      <c r="B1080" s="64"/>
      <c r="C1080" s="64"/>
      <c r="D1080" s="64"/>
      <c r="E1080" s="63"/>
      <c r="F1080" s="64"/>
    </row>
    <row r="1081" spans="1:6" x14ac:dyDescent="0.3">
      <c r="A1081" s="2"/>
      <c r="B1081" s="65"/>
      <c r="C1081" s="65"/>
      <c r="D1081" s="2"/>
      <c r="E1081" s="2"/>
      <c r="F1081" s="2"/>
    </row>
    <row r="1082" spans="1:6" x14ac:dyDescent="0.3">
      <c r="A1082" s="63"/>
      <c r="B1082" s="64"/>
      <c r="C1082" s="64"/>
      <c r="D1082" s="64"/>
      <c r="E1082" s="63"/>
      <c r="F1082" s="64"/>
    </row>
    <row r="1083" spans="1:6" x14ac:dyDescent="0.3">
      <c r="A1083" s="2"/>
      <c r="B1083" s="65"/>
      <c r="C1083" s="65"/>
      <c r="D1083" s="2"/>
      <c r="E1083" s="2"/>
      <c r="F1083" s="2"/>
    </row>
    <row r="1084" spans="1:6" x14ac:dyDescent="0.3">
      <c r="A1084" s="63"/>
      <c r="B1084" s="64"/>
      <c r="C1084" s="64"/>
      <c r="D1084" s="64"/>
      <c r="E1084" s="63"/>
      <c r="F1084" s="64"/>
    </row>
    <row r="1085" spans="1:6" x14ac:dyDescent="0.3">
      <c r="A1085" s="2"/>
      <c r="B1085" s="65"/>
      <c r="C1085" s="65"/>
      <c r="D1085" s="2"/>
      <c r="E1085" s="2"/>
      <c r="F1085" s="2"/>
    </row>
    <row r="1086" spans="1:6" x14ac:dyDescent="0.3">
      <c r="A1086" s="63"/>
      <c r="B1086" s="64"/>
      <c r="C1086" s="64"/>
      <c r="D1086" s="64"/>
      <c r="E1086" s="63"/>
      <c r="F1086" s="64"/>
    </row>
    <row r="1087" spans="1:6" x14ac:dyDescent="0.3">
      <c r="A1087" s="2"/>
      <c r="B1087" s="65"/>
      <c r="C1087" s="65"/>
      <c r="D1087" s="2"/>
      <c r="E1087" s="2"/>
      <c r="F1087" s="2"/>
    </row>
    <row r="1088" spans="1:6" x14ac:dyDescent="0.3">
      <c r="A1088" s="63"/>
      <c r="B1088" s="64"/>
      <c r="C1088" s="64"/>
      <c r="D1088" s="64"/>
      <c r="E1088" s="63"/>
      <c r="F1088" s="64"/>
    </row>
    <row r="1089" spans="1:6" x14ac:dyDescent="0.3">
      <c r="A1089" s="2"/>
      <c r="B1089" s="65"/>
      <c r="C1089" s="65"/>
      <c r="D1089" s="2"/>
      <c r="E1089" s="2"/>
      <c r="F1089" s="2"/>
    </row>
    <row r="1090" spans="1:6" x14ac:dyDescent="0.3">
      <c r="A1090" s="63"/>
      <c r="B1090" s="64"/>
      <c r="C1090" s="64"/>
      <c r="D1090" s="64"/>
      <c r="E1090" s="63"/>
      <c r="F1090" s="64"/>
    </row>
    <row r="1091" spans="1:6" x14ac:dyDescent="0.3">
      <c r="A1091" s="2"/>
      <c r="B1091" s="65"/>
      <c r="C1091" s="65"/>
      <c r="D1091" s="2"/>
      <c r="E1091" s="2"/>
      <c r="F1091" s="2"/>
    </row>
    <row r="1092" spans="1:6" x14ac:dyDescent="0.3">
      <c r="A1092" s="63"/>
      <c r="B1092" s="64"/>
      <c r="C1092" s="64"/>
      <c r="D1092" s="64"/>
      <c r="E1092" s="63"/>
      <c r="F1092" s="64"/>
    </row>
    <row r="1093" spans="1:6" x14ac:dyDescent="0.3">
      <c r="A1093" s="2"/>
      <c r="B1093" s="65"/>
      <c r="C1093" s="65"/>
      <c r="D1093" s="2"/>
      <c r="E1093" s="2"/>
      <c r="F1093" s="2"/>
    </row>
    <row r="1094" spans="1:6" x14ac:dyDescent="0.3">
      <c r="A1094" s="63"/>
      <c r="B1094" s="64"/>
      <c r="C1094" s="64"/>
      <c r="D1094" s="64"/>
      <c r="E1094" s="63"/>
      <c r="F1094" s="64"/>
    </row>
    <row r="1095" spans="1:6" x14ac:dyDescent="0.3">
      <c r="A1095" s="2"/>
      <c r="B1095" s="65"/>
      <c r="C1095" s="65"/>
      <c r="D1095" s="2"/>
      <c r="E1095" s="2"/>
      <c r="F1095" s="2"/>
    </row>
    <row r="1096" spans="1:6" x14ac:dyDescent="0.3">
      <c r="A1096" s="63"/>
      <c r="B1096" s="64"/>
      <c r="C1096" s="64"/>
      <c r="D1096" s="64"/>
      <c r="E1096" s="63"/>
      <c r="F1096" s="64"/>
    </row>
    <row r="1097" spans="1:6" x14ac:dyDescent="0.3">
      <c r="A1097" s="2"/>
      <c r="B1097" s="65"/>
      <c r="C1097" s="65"/>
      <c r="D1097" s="2"/>
      <c r="E1097" s="2"/>
      <c r="F1097" s="2"/>
    </row>
    <row r="1098" spans="1:6" x14ac:dyDescent="0.3">
      <c r="A1098" s="63"/>
      <c r="B1098" s="64"/>
      <c r="C1098" s="64"/>
      <c r="D1098" s="64"/>
      <c r="E1098" s="63"/>
      <c r="F1098" s="64"/>
    </row>
    <row r="1099" spans="1:6" x14ac:dyDescent="0.3">
      <c r="A1099" s="2"/>
      <c r="B1099" s="65"/>
      <c r="C1099" s="65"/>
      <c r="D1099" s="2"/>
      <c r="E1099" s="2"/>
      <c r="F1099" s="2"/>
    </row>
    <row r="1100" spans="1:6" x14ac:dyDescent="0.3">
      <c r="A1100" s="63"/>
      <c r="B1100" s="64"/>
      <c r="C1100" s="64"/>
      <c r="D1100" s="64"/>
      <c r="E1100" s="63"/>
      <c r="F1100" s="64"/>
    </row>
    <row r="1101" spans="1:6" x14ac:dyDescent="0.3">
      <c r="A1101" s="2"/>
      <c r="B1101" s="65"/>
      <c r="C1101" s="65"/>
      <c r="D1101" s="2"/>
      <c r="E1101" s="2"/>
      <c r="F1101" s="2"/>
    </row>
    <row r="1102" spans="1:6" x14ac:dyDescent="0.3">
      <c r="A1102" s="63"/>
      <c r="B1102" s="64"/>
      <c r="C1102" s="64"/>
      <c r="D1102" s="64"/>
      <c r="E1102" s="63"/>
      <c r="F1102" s="64"/>
    </row>
    <row r="1103" spans="1:6" x14ac:dyDescent="0.3">
      <c r="A1103" s="2"/>
      <c r="B1103" s="65"/>
      <c r="C1103" s="65"/>
      <c r="D1103" s="2"/>
      <c r="E1103" s="2"/>
      <c r="F1103" s="2"/>
    </row>
    <row r="1104" spans="1:6" x14ac:dyDescent="0.3">
      <c r="A1104" s="63"/>
      <c r="B1104" s="64"/>
      <c r="C1104" s="64"/>
      <c r="D1104" s="64"/>
      <c r="E1104" s="63"/>
      <c r="F1104" s="64"/>
    </row>
    <row r="1105" spans="1:6" x14ac:dyDescent="0.3">
      <c r="A1105" s="2"/>
      <c r="B1105" s="65"/>
      <c r="C1105" s="65"/>
      <c r="D1105" s="2"/>
      <c r="E1105" s="2"/>
      <c r="F1105" s="2"/>
    </row>
    <row r="1106" spans="1:6" x14ac:dyDescent="0.3">
      <c r="A1106" s="63"/>
      <c r="B1106" s="64"/>
      <c r="C1106" s="64"/>
      <c r="D1106" s="64"/>
      <c r="E1106" s="63"/>
      <c r="F1106" s="64"/>
    </row>
    <row r="1107" spans="1:6" x14ac:dyDescent="0.3">
      <c r="A1107" s="2"/>
      <c r="B1107" s="65"/>
      <c r="C1107" s="65"/>
      <c r="D1107" s="2"/>
      <c r="E1107" s="2"/>
      <c r="F1107" s="2"/>
    </row>
    <row r="1108" spans="1:6" x14ac:dyDescent="0.3">
      <c r="A1108" s="63"/>
      <c r="B1108" s="64"/>
      <c r="C1108" s="64"/>
      <c r="D1108" s="64"/>
      <c r="E1108" s="63"/>
      <c r="F1108" s="64"/>
    </row>
    <row r="1109" spans="1:6" x14ac:dyDescent="0.3">
      <c r="A1109" s="2"/>
      <c r="B1109" s="65"/>
      <c r="C1109" s="65"/>
      <c r="D1109" s="2"/>
      <c r="E1109" s="2"/>
      <c r="F1109" s="2"/>
    </row>
    <row r="1110" spans="1:6" x14ac:dyDescent="0.3">
      <c r="A1110" s="63"/>
      <c r="B1110" s="64"/>
      <c r="C1110" s="64"/>
      <c r="D1110" s="64"/>
      <c r="E1110" s="63"/>
      <c r="F1110" s="64"/>
    </row>
    <row r="1111" spans="1:6" x14ac:dyDescent="0.3">
      <c r="A1111" s="2"/>
      <c r="B1111" s="65"/>
      <c r="C1111" s="65"/>
      <c r="D1111" s="2"/>
      <c r="E1111" s="2"/>
      <c r="F1111" s="2"/>
    </row>
    <row r="1112" spans="1:6" x14ac:dyDescent="0.3">
      <c r="A1112" s="63"/>
      <c r="B1112" s="64"/>
      <c r="C1112" s="64"/>
      <c r="D1112" s="64"/>
      <c r="E1112" s="63"/>
      <c r="F1112" s="64"/>
    </row>
    <row r="1113" spans="1:6" x14ac:dyDescent="0.3">
      <c r="A1113" s="2"/>
      <c r="B1113" s="65"/>
      <c r="C1113" s="65"/>
      <c r="D1113" s="2"/>
      <c r="E1113" s="2"/>
      <c r="F1113" s="2"/>
    </row>
    <row r="1114" spans="1:6" x14ac:dyDescent="0.3">
      <c r="A1114" s="63"/>
      <c r="B1114" s="64"/>
      <c r="C1114" s="64"/>
      <c r="D1114" s="64"/>
      <c r="E1114" s="63"/>
      <c r="F1114" s="64"/>
    </row>
    <row r="1115" spans="1:6" x14ac:dyDescent="0.3">
      <c r="A1115" s="2"/>
      <c r="B1115" s="65"/>
      <c r="C1115" s="65"/>
      <c r="D1115" s="2"/>
      <c r="E1115" s="2"/>
      <c r="F1115" s="2"/>
    </row>
    <row r="1116" spans="1:6" x14ac:dyDescent="0.3">
      <c r="A1116" s="63"/>
      <c r="B1116" s="64"/>
      <c r="C1116" s="64"/>
      <c r="D1116" s="64"/>
      <c r="E1116" s="63"/>
      <c r="F1116" s="64"/>
    </row>
    <row r="1117" spans="1:6" x14ac:dyDescent="0.3">
      <c r="A1117" s="2"/>
      <c r="B1117" s="65"/>
      <c r="C1117" s="65"/>
      <c r="D1117" s="2"/>
      <c r="E1117" s="2"/>
      <c r="F1117" s="2"/>
    </row>
    <row r="1118" spans="1:6" x14ac:dyDescent="0.3">
      <c r="A1118" s="63"/>
      <c r="B1118" s="64"/>
      <c r="C1118" s="64"/>
      <c r="D1118" s="64"/>
      <c r="E1118" s="63"/>
      <c r="F1118" s="64"/>
    </row>
    <row r="1119" spans="1:6" x14ac:dyDescent="0.3">
      <c r="A1119" s="2"/>
      <c r="B1119" s="65"/>
      <c r="C1119" s="65"/>
      <c r="D1119" s="2"/>
      <c r="E1119" s="2"/>
      <c r="F1119" s="2"/>
    </row>
    <row r="1120" spans="1:6" x14ac:dyDescent="0.3">
      <c r="A1120" s="63"/>
      <c r="B1120" s="64"/>
      <c r="C1120" s="64"/>
      <c r="D1120" s="64"/>
      <c r="E1120" s="63"/>
      <c r="F1120" s="64"/>
    </row>
    <row r="1121" spans="1:6" x14ac:dyDescent="0.3">
      <c r="A1121" s="2"/>
      <c r="B1121" s="65"/>
      <c r="C1121" s="65"/>
      <c r="D1121" s="2"/>
      <c r="E1121" s="2"/>
      <c r="F1121" s="2"/>
    </row>
    <row r="1122" spans="1:6" x14ac:dyDescent="0.3">
      <c r="A1122" s="63"/>
      <c r="B1122" s="64"/>
      <c r="C1122" s="64"/>
      <c r="D1122" s="64"/>
      <c r="E1122" s="63"/>
      <c r="F1122" s="64"/>
    </row>
    <row r="1123" spans="1:6" x14ac:dyDescent="0.3">
      <c r="A1123" s="2"/>
      <c r="B1123" s="65"/>
      <c r="C1123" s="65"/>
      <c r="D1123" s="2"/>
      <c r="E1123" s="2"/>
      <c r="F1123" s="2"/>
    </row>
    <row r="1124" spans="1:6" x14ac:dyDescent="0.3">
      <c r="A1124" s="63"/>
      <c r="B1124" s="64"/>
      <c r="C1124" s="64"/>
      <c r="D1124" s="64"/>
      <c r="E1124" s="63"/>
      <c r="F1124" s="64"/>
    </row>
    <row r="1125" spans="1:6" x14ac:dyDescent="0.3">
      <c r="A1125" s="2"/>
      <c r="B1125" s="65"/>
      <c r="C1125" s="65"/>
      <c r="D1125" s="2"/>
      <c r="E1125" s="2"/>
      <c r="F1125" s="2"/>
    </row>
    <row r="1126" spans="1:6" x14ac:dyDescent="0.3">
      <c r="A1126" s="63"/>
      <c r="B1126" s="64"/>
      <c r="C1126" s="64"/>
      <c r="D1126" s="64"/>
      <c r="E1126" s="63"/>
      <c r="F1126" s="64"/>
    </row>
    <row r="1127" spans="1:6" x14ac:dyDescent="0.3">
      <c r="A1127" s="2"/>
      <c r="B1127" s="65"/>
      <c r="C1127" s="65"/>
      <c r="D1127" s="2"/>
      <c r="E1127" s="2"/>
      <c r="F1127" s="2"/>
    </row>
    <row r="1128" spans="1:6" x14ac:dyDescent="0.3">
      <c r="A1128" s="63"/>
      <c r="B1128" s="64"/>
      <c r="C1128" s="64"/>
      <c r="D1128" s="64"/>
      <c r="E1128" s="63"/>
      <c r="F1128" s="64"/>
    </row>
    <row r="1129" spans="1:6" x14ac:dyDescent="0.3">
      <c r="A1129" s="2"/>
      <c r="B1129" s="65"/>
      <c r="C1129" s="65"/>
      <c r="D1129" s="2"/>
      <c r="E1129" s="2"/>
      <c r="F1129" s="2"/>
    </row>
    <row r="1130" spans="1:6" x14ac:dyDescent="0.3">
      <c r="A1130" s="63"/>
      <c r="B1130" s="64"/>
      <c r="C1130" s="64"/>
      <c r="D1130" s="64"/>
      <c r="E1130" s="63"/>
      <c r="F1130" s="64"/>
    </row>
    <row r="1131" spans="1:6" x14ac:dyDescent="0.3">
      <c r="A1131" s="2"/>
      <c r="B1131" s="65"/>
      <c r="C1131" s="65"/>
      <c r="D1131" s="2"/>
      <c r="E1131" s="2"/>
      <c r="F1131" s="2"/>
    </row>
    <row r="1132" spans="1:6" x14ac:dyDescent="0.3">
      <c r="A1132" s="63"/>
      <c r="B1132" s="64"/>
      <c r="C1132" s="64"/>
      <c r="D1132" s="64"/>
      <c r="E1132" s="63"/>
      <c r="F1132" s="64"/>
    </row>
    <row r="1133" spans="1:6" x14ac:dyDescent="0.3">
      <c r="A1133" s="2"/>
      <c r="B1133" s="65"/>
      <c r="C1133" s="65"/>
      <c r="D1133" s="2"/>
      <c r="E1133" s="2"/>
      <c r="F1133" s="2"/>
    </row>
    <row r="1134" spans="1:6" x14ac:dyDescent="0.3">
      <c r="A1134" s="63"/>
      <c r="B1134" s="64"/>
      <c r="C1134" s="64"/>
      <c r="D1134" s="64"/>
      <c r="E1134" s="63"/>
      <c r="F1134" s="64"/>
    </row>
    <row r="1135" spans="1:6" x14ac:dyDescent="0.3">
      <c r="A1135" s="2"/>
      <c r="B1135" s="65"/>
      <c r="C1135" s="65"/>
      <c r="D1135" s="2"/>
      <c r="E1135" s="2"/>
      <c r="F1135" s="2"/>
    </row>
    <row r="1136" spans="1:6" x14ac:dyDescent="0.3">
      <c r="A1136" s="63"/>
      <c r="B1136" s="64"/>
      <c r="C1136" s="64"/>
      <c r="D1136" s="64"/>
      <c r="E1136" s="63"/>
      <c r="F1136" s="64"/>
    </row>
    <row r="1137" spans="1:6" x14ac:dyDescent="0.3">
      <c r="A1137" s="2"/>
      <c r="B1137" s="65"/>
      <c r="C1137" s="65"/>
      <c r="D1137" s="2"/>
      <c r="E1137" s="2"/>
      <c r="F1137" s="2"/>
    </row>
    <row r="1138" spans="1:6" x14ac:dyDescent="0.3">
      <c r="A1138" s="63"/>
      <c r="B1138" s="64"/>
      <c r="C1138" s="64"/>
      <c r="D1138" s="64"/>
      <c r="E1138" s="63"/>
      <c r="F1138" s="64"/>
    </row>
    <row r="1139" spans="1:6" x14ac:dyDescent="0.3">
      <c r="A1139" s="2"/>
      <c r="B1139" s="65"/>
      <c r="C1139" s="65"/>
      <c r="D1139" s="2"/>
      <c r="E1139" s="2"/>
      <c r="F1139" s="2"/>
    </row>
    <row r="1140" spans="1:6" x14ac:dyDescent="0.3">
      <c r="A1140" s="63"/>
      <c r="B1140" s="64"/>
      <c r="C1140" s="64"/>
      <c r="D1140" s="64"/>
      <c r="E1140" s="63"/>
      <c r="F1140" s="64"/>
    </row>
    <row r="1141" spans="1:6" x14ac:dyDescent="0.3">
      <c r="A1141" s="2"/>
      <c r="B1141" s="65"/>
      <c r="C1141" s="65"/>
      <c r="D1141" s="2"/>
      <c r="E1141" s="2"/>
      <c r="F1141" s="2"/>
    </row>
    <row r="1142" spans="1:6" x14ac:dyDescent="0.3">
      <c r="A1142" s="63"/>
      <c r="B1142" s="64"/>
      <c r="C1142" s="64"/>
      <c r="D1142" s="64"/>
      <c r="E1142" s="63"/>
      <c r="F1142" s="64"/>
    </row>
    <row r="1143" spans="1:6" x14ac:dyDescent="0.3">
      <c r="A1143" s="2"/>
      <c r="B1143" s="65"/>
      <c r="C1143" s="65"/>
      <c r="D1143" s="2"/>
      <c r="E1143" s="2"/>
      <c r="F1143" s="2"/>
    </row>
    <row r="1144" spans="1:6" x14ac:dyDescent="0.3">
      <c r="A1144" s="63"/>
      <c r="B1144" s="64"/>
      <c r="C1144" s="64"/>
      <c r="D1144" s="64"/>
      <c r="E1144" s="63"/>
      <c r="F1144" s="64"/>
    </row>
    <row r="1145" spans="1:6" x14ac:dyDescent="0.3">
      <c r="A1145" s="2"/>
      <c r="B1145" s="65"/>
      <c r="C1145" s="65"/>
      <c r="D1145" s="2"/>
      <c r="E1145" s="2"/>
      <c r="F1145" s="2"/>
    </row>
    <row r="1146" spans="1:6" x14ac:dyDescent="0.3">
      <c r="A1146" s="63"/>
      <c r="B1146" s="64"/>
      <c r="C1146" s="64"/>
      <c r="D1146" s="64"/>
      <c r="E1146" s="63"/>
      <c r="F1146" s="64"/>
    </row>
    <row r="1147" spans="1:6" x14ac:dyDescent="0.3">
      <c r="A1147" s="2"/>
      <c r="B1147" s="65"/>
      <c r="C1147" s="65"/>
      <c r="D1147" s="2"/>
      <c r="E1147" s="2"/>
      <c r="F1147" s="2"/>
    </row>
    <row r="1148" spans="1:6" x14ac:dyDescent="0.3">
      <c r="A1148" s="63"/>
      <c r="B1148" s="64"/>
      <c r="C1148" s="64"/>
      <c r="D1148" s="64"/>
      <c r="E1148" s="63"/>
      <c r="F1148" s="64"/>
    </row>
    <row r="1149" spans="1:6" x14ac:dyDescent="0.3">
      <c r="A1149" s="2"/>
      <c r="B1149" s="65"/>
      <c r="C1149" s="65"/>
      <c r="D1149" s="2"/>
      <c r="E1149" s="2"/>
      <c r="F1149" s="2"/>
    </row>
    <row r="1150" spans="1:6" x14ac:dyDescent="0.3">
      <c r="A1150" s="63"/>
      <c r="B1150" s="64"/>
      <c r="C1150" s="64"/>
      <c r="D1150" s="64"/>
      <c r="E1150" s="63"/>
      <c r="F1150" s="64"/>
    </row>
    <row r="1151" spans="1:6" x14ac:dyDescent="0.3">
      <c r="A1151" s="2"/>
      <c r="B1151" s="65"/>
      <c r="C1151" s="65"/>
      <c r="D1151" s="2"/>
      <c r="E1151" s="2"/>
      <c r="F1151" s="2"/>
    </row>
    <row r="1152" spans="1:6" x14ac:dyDescent="0.3">
      <c r="A1152" s="63"/>
      <c r="B1152" s="64"/>
      <c r="C1152" s="64"/>
      <c r="D1152" s="64"/>
      <c r="E1152" s="63"/>
      <c r="F1152" s="64"/>
    </row>
    <row r="1153" spans="1:6" x14ac:dyDescent="0.3">
      <c r="A1153" s="2"/>
      <c r="B1153" s="65"/>
      <c r="C1153" s="65"/>
      <c r="D1153" s="2"/>
      <c r="E1153" s="2"/>
      <c r="F1153" s="2"/>
    </row>
    <row r="1154" spans="1:6" x14ac:dyDescent="0.3">
      <c r="A1154" s="63"/>
      <c r="B1154" s="64"/>
      <c r="C1154" s="64"/>
      <c r="D1154" s="64"/>
      <c r="E1154" s="63"/>
      <c r="F1154" s="64"/>
    </row>
    <row r="1155" spans="1:6" x14ac:dyDescent="0.3">
      <c r="A1155" s="2"/>
      <c r="B1155" s="65"/>
      <c r="C1155" s="65"/>
      <c r="D1155" s="2"/>
      <c r="E1155" s="2"/>
      <c r="F1155" s="2"/>
    </row>
    <row r="1156" spans="1:6" x14ac:dyDescent="0.3">
      <c r="A1156" s="63"/>
      <c r="B1156" s="64"/>
      <c r="C1156" s="64"/>
      <c r="D1156" s="64"/>
      <c r="E1156" s="63"/>
      <c r="F1156" s="64"/>
    </row>
    <row r="1157" spans="1:6" x14ac:dyDescent="0.3">
      <c r="A1157" s="2"/>
      <c r="B1157" s="65"/>
      <c r="C1157" s="65"/>
      <c r="D1157" s="2"/>
      <c r="E1157" s="2"/>
      <c r="F1157" s="2"/>
    </row>
    <row r="1158" spans="1:6" x14ac:dyDescent="0.3">
      <c r="A1158" s="63"/>
      <c r="B1158" s="64"/>
      <c r="C1158" s="64"/>
      <c r="D1158" s="64"/>
      <c r="E1158" s="63"/>
      <c r="F1158" s="64"/>
    </row>
    <row r="1159" spans="1:6" x14ac:dyDescent="0.3">
      <c r="A1159" s="2"/>
      <c r="B1159" s="65"/>
      <c r="C1159" s="65"/>
      <c r="D1159" s="2"/>
      <c r="E1159" s="2"/>
      <c r="F1159" s="2"/>
    </row>
    <row r="1160" spans="1:6" x14ac:dyDescent="0.3">
      <c r="A1160" s="63"/>
      <c r="B1160" s="64"/>
      <c r="C1160" s="64"/>
      <c r="D1160" s="64"/>
      <c r="E1160" s="63"/>
      <c r="F1160" s="64"/>
    </row>
    <row r="1161" spans="1:6" x14ac:dyDescent="0.3">
      <c r="A1161" s="2"/>
      <c r="B1161" s="65"/>
      <c r="C1161" s="65"/>
      <c r="D1161" s="2"/>
      <c r="E1161" s="2"/>
      <c r="F1161" s="2"/>
    </row>
    <row r="1162" spans="1:6" x14ac:dyDescent="0.3">
      <c r="A1162" s="63"/>
      <c r="B1162" s="64"/>
      <c r="C1162" s="64"/>
      <c r="D1162" s="64"/>
      <c r="E1162" s="63"/>
      <c r="F1162" s="64"/>
    </row>
    <row r="1163" spans="1:6" x14ac:dyDescent="0.3">
      <c r="A1163" s="2"/>
      <c r="B1163" s="65"/>
      <c r="C1163" s="65"/>
      <c r="D1163" s="2"/>
      <c r="E1163" s="2"/>
      <c r="F1163" s="2"/>
    </row>
    <row r="1164" spans="1:6" x14ac:dyDescent="0.3">
      <c r="A1164" s="63"/>
      <c r="B1164" s="64"/>
      <c r="C1164" s="64"/>
      <c r="D1164" s="64"/>
      <c r="E1164" s="63"/>
      <c r="F1164" s="64"/>
    </row>
    <row r="1165" spans="1:6" x14ac:dyDescent="0.3">
      <c r="A1165" s="2"/>
      <c r="B1165" s="65"/>
      <c r="C1165" s="65"/>
      <c r="D1165" s="2"/>
      <c r="E1165" s="2"/>
      <c r="F1165" s="2"/>
    </row>
    <row r="1166" spans="1:6" x14ac:dyDescent="0.3">
      <c r="A1166" s="63"/>
      <c r="B1166" s="64"/>
      <c r="C1166" s="64"/>
      <c r="D1166" s="64"/>
      <c r="E1166" s="63"/>
      <c r="F1166" s="64"/>
    </row>
    <row r="1167" spans="1:6" x14ac:dyDescent="0.3">
      <c r="A1167" s="2"/>
      <c r="B1167" s="65"/>
      <c r="C1167" s="65"/>
      <c r="D1167" s="2"/>
      <c r="E1167" s="2"/>
      <c r="F1167" s="2"/>
    </row>
    <row r="1168" spans="1:6" x14ac:dyDescent="0.3">
      <c r="A1168" s="63"/>
      <c r="B1168" s="64"/>
      <c r="C1168" s="64"/>
      <c r="D1168" s="64"/>
      <c r="E1168" s="63"/>
      <c r="F1168" s="64"/>
    </row>
    <row r="1169" spans="1:6" x14ac:dyDescent="0.3">
      <c r="A1169" s="2"/>
      <c r="B1169" s="65"/>
      <c r="C1169" s="65"/>
      <c r="D1169" s="2"/>
      <c r="E1169" s="2"/>
      <c r="F1169" s="2"/>
    </row>
    <row r="1170" spans="1:6" x14ac:dyDescent="0.3">
      <c r="A1170" s="63"/>
      <c r="B1170" s="64"/>
      <c r="C1170" s="64"/>
      <c r="D1170" s="64"/>
      <c r="E1170" s="63"/>
      <c r="F1170" s="64"/>
    </row>
    <row r="1171" spans="1:6" x14ac:dyDescent="0.3">
      <c r="A1171" s="2"/>
      <c r="B1171" s="65"/>
      <c r="C1171" s="65"/>
      <c r="D1171" s="2"/>
      <c r="E1171" s="2"/>
      <c r="F1171" s="2"/>
    </row>
    <row r="1172" spans="1:6" x14ac:dyDescent="0.3">
      <c r="A1172" s="63"/>
      <c r="B1172" s="64"/>
      <c r="C1172" s="64"/>
      <c r="D1172" s="64"/>
      <c r="E1172" s="63"/>
      <c r="F1172" s="64"/>
    </row>
    <row r="1173" spans="1:6" x14ac:dyDescent="0.3">
      <c r="A1173" s="2"/>
      <c r="B1173" s="65"/>
      <c r="C1173" s="65"/>
      <c r="D1173" s="2"/>
      <c r="E1173" s="2"/>
      <c r="F1173" s="2"/>
    </row>
    <row r="1174" spans="1:6" x14ac:dyDescent="0.3">
      <c r="A1174" s="63"/>
      <c r="B1174" s="64"/>
      <c r="C1174" s="64"/>
      <c r="D1174" s="64"/>
      <c r="E1174" s="63"/>
      <c r="F1174" s="64"/>
    </row>
    <row r="1175" spans="1:6" x14ac:dyDescent="0.3">
      <c r="A1175" s="2"/>
      <c r="B1175" s="65"/>
      <c r="C1175" s="65"/>
      <c r="D1175" s="2"/>
      <c r="E1175" s="2"/>
      <c r="F1175" s="2"/>
    </row>
    <row r="1176" spans="1:6" x14ac:dyDescent="0.3">
      <c r="A1176" s="63"/>
      <c r="B1176" s="64"/>
      <c r="C1176" s="64"/>
      <c r="D1176" s="64"/>
      <c r="E1176" s="63"/>
      <c r="F1176" s="64"/>
    </row>
    <row r="1177" spans="1:6" x14ac:dyDescent="0.3">
      <c r="A1177" s="2"/>
      <c r="B1177" s="65"/>
      <c r="C1177" s="65"/>
      <c r="D1177" s="2"/>
      <c r="E1177" s="2"/>
      <c r="F1177" s="2"/>
    </row>
    <row r="1178" spans="1:6" x14ac:dyDescent="0.3">
      <c r="A1178" s="63"/>
      <c r="B1178" s="64"/>
      <c r="C1178" s="64"/>
      <c r="D1178" s="64"/>
      <c r="E1178" s="63"/>
      <c r="F1178" s="64"/>
    </row>
    <row r="1179" spans="1:6" x14ac:dyDescent="0.3">
      <c r="A1179" s="2"/>
      <c r="B1179" s="65"/>
      <c r="C1179" s="65"/>
      <c r="D1179" s="2"/>
      <c r="E1179" s="2"/>
      <c r="F1179" s="2"/>
    </row>
    <row r="1180" spans="1:6" x14ac:dyDescent="0.3">
      <c r="A1180" s="63"/>
      <c r="B1180" s="64"/>
      <c r="C1180" s="64"/>
      <c r="D1180" s="64"/>
      <c r="E1180" s="63"/>
      <c r="F1180" s="64"/>
    </row>
    <row r="1181" spans="1:6" x14ac:dyDescent="0.3">
      <c r="A1181" s="2"/>
      <c r="B1181" s="65"/>
      <c r="C1181" s="65"/>
      <c r="D1181" s="2"/>
      <c r="E1181" s="2"/>
      <c r="F1181" s="2"/>
    </row>
    <row r="1182" spans="1:6" x14ac:dyDescent="0.3">
      <c r="A1182" s="63"/>
      <c r="B1182" s="64"/>
      <c r="C1182" s="64"/>
      <c r="D1182" s="64"/>
      <c r="E1182" s="63"/>
      <c r="F1182" s="64"/>
    </row>
    <row r="1183" spans="1:6" x14ac:dyDescent="0.3">
      <c r="A1183" s="2"/>
      <c r="B1183" s="65"/>
      <c r="C1183" s="65"/>
      <c r="D1183" s="2"/>
      <c r="E1183" s="2"/>
      <c r="F1183" s="2"/>
    </row>
    <row r="1184" spans="1:6" x14ac:dyDescent="0.3">
      <c r="A1184" s="63"/>
      <c r="B1184" s="64"/>
      <c r="C1184" s="64"/>
      <c r="D1184" s="64"/>
      <c r="E1184" s="63"/>
      <c r="F1184" s="64"/>
    </row>
    <row r="1185" spans="1:6" x14ac:dyDescent="0.3">
      <c r="A1185" s="2"/>
      <c r="B1185" s="65"/>
      <c r="C1185" s="65"/>
      <c r="D1185" s="2"/>
      <c r="E1185" s="2"/>
      <c r="F1185" s="2"/>
    </row>
    <row r="1186" spans="1:6" x14ac:dyDescent="0.3">
      <c r="A1186" s="63"/>
      <c r="B1186" s="64"/>
      <c r="C1186" s="64"/>
      <c r="D1186" s="64"/>
      <c r="E1186" s="63"/>
      <c r="F1186" s="64"/>
    </row>
    <row r="1187" spans="1:6" x14ac:dyDescent="0.3">
      <c r="A1187" s="2"/>
      <c r="B1187" s="65"/>
      <c r="C1187" s="65"/>
      <c r="D1187" s="2"/>
      <c r="E1187" s="2"/>
      <c r="F1187" s="2"/>
    </row>
    <row r="1188" spans="1:6" x14ac:dyDescent="0.3">
      <c r="A1188" s="63"/>
      <c r="B1188" s="64"/>
      <c r="C1188" s="64"/>
      <c r="D1188" s="64"/>
      <c r="E1188" s="63"/>
      <c r="F1188" s="64"/>
    </row>
    <row r="1189" spans="1:6" x14ac:dyDescent="0.3">
      <c r="A1189" s="2"/>
      <c r="B1189" s="65"/>
      <c r="C1189" s="65"/>
      <c r="D1189" s="2"/>
      <c r="E1189" s="2"/>
      <c r="F1189" s="2"/>
    </row>
    <row r="1190" spans="1:6" x14ac:dyDescent="0.3">
      <c r="A1190" s="63"/>
      <c r="B1190" s="64"/>
      <c r="C1190" s="64"/>
      <c r="D1190" s="64"/>
      <c r="E1190" s="63"/>
      <c r="F1190" s="64"/>
    </row>
    <row r="1191" spans="1:6" x14ac:dyDescent="0.3">
      <c r="A1191" s="2"/>
      <c r="B1191" s="65"/>
      <c r="C1191" s="65"/>
      <c r="D1191" s="2"/>
      <c r="E1191" s="2"/>
      <c r="F1191" s="2"/>
    </row>
    <row r="1192" spans="1:6" x14ac:dyDescent="0.3">
      <c r="A1192" s="63"/>
      <c r="B1192" s="64"/>
      <c r="C1192" s="64"/>
      <c r="D1192" s="64"/>
      <c r="E1192" s="63"/>
      <c r="F1192" s="64"/>
    </row>
    <row r="1193" spans="1:6" x14ac:dyDescent="0.3">
      <c r="A1193" s="2"/>
      <c r="B1193" s="65"/>
      <c r="C1193" s="65"/>
      <c r="D1193" s="2"/>
      <c r="E1193" s="2"/>
      <c r="F1193" s="2"/>
    </row>
    <row r="1194" spans="1:6" x14ac:dyDescent="0.3">
      <c r="A1194" s="63"/>
      <c r="B1194" s="64"/>
      <c r="C1194" s="64"/>
      <c r="D1194" s="64"/>
      <c r="E1194" s="63"/>
      <c r="F1194" s="64"/>
    </row>
    <row r="1195" spans="1:6" x14ac:dyDescent="0.3">
      <c r="A1195" s="2"/>
      <c r="B1195" s="65"/>
      <c r="C1195" s="65"/>
      <c r="D1195" s="2"/>
      <c r="E1195" s="2"/>
      <c r="F1195" s="2"/>
    </row>
    <row r="1196" spans="1:6" x14ac:dyDescent="0.3">
      <c r="A1196" s="63"/>
      <c r="B1196" s="64"/>
      <c r="C1196" s="64"/>
      <c r="D1196" s="64"/>
      <c r="E1196" s="63"/>
      <c r="F1196" s="64"/>
    </row>
    <row r="1197" spans="1:6" x14ac:dyDescent="0.3">
      <c r="A1197" s="2"/>
      <c r="B1197" s="65"/>
      <c r="C1197" s="65"/>
      <c r="D1197" s="2"/>
      <c r="E1197" s="2"/>
      <c r="F1197" s="2"/>
    </row>
    <row r="1198" spans="1:6" x14ac:dyDescent="0.3">
      <c r="A1198" s="63"/>
      <c r="B1198" s="64"/>
      <c r="C1198" s="64"/>
      <c r="D1198" s="64"/>
      <c r="E1198" s="63"/>
      <c r="F1198" s="64"/>
    </row>
    <row r="1199" spans="1:6" x14ac:dyDescent="0.3">
      <c r="A1199" s="2"/>
      <c r="B1199" s="65"/>
      <c r="C1199" s="65"/>
      <c r="D1199" s="2"/>
      <c r="E1199" s="2"/>
      <c r="F1199" s="2"/>
    </row>
    <row r="1200" spans="1:6" x14ac:dyDescent="0.3">
      <c r="A1200" s="63"/>
      <c r="B1200" s="64"/>
      <c r="C1200" s="64"/>
      <c r="D1200" s="64"/>
      <c r="E1200" s="63"/>
      <c r="F1200" s="64"/>
    </row>
    <row r="1201" spans="1:6" x14ac:dyDescent="0.3">
      <c r="A1201" s="2"/>
      <c r="B1201" s="65"/>
      <c r="C1201" s="65"/>
      <c r="D1201" s="2"/>
      <c r="E1201" s="2"/>
      <c r="F1201" s="2"/>
    </row>
    <row r="1202" spans="1:6" x14ac:dyDescent="0.3">
      <c r="A1202" s="63"/>
      <c r="B1202" s="64"/>
      <c r="C1202" s="64"/>
      <c r="D1202" s="64"/>
      <c r="E1202" s="63"/>
      <c r="F1202" s="64"/>
    </row>
    <row r="1203" spans="1:6" x14ac:dyDescent="0.3">
      <c r="A1203" s="2"/>
      <c r="B1203" s="65"/>
      <c r="C1203" s="65"/>
      <c r="D1203" s="2"/>
      <c r="E1203" s="2"/>
      <c r="F1203" s="2"/>
    </row>
    <row r="1204" spans="1:6" x14ac:dyDescent="0.3">
      <c r="A1204" s="63"/>
      <c r="B1204" s="64"/>
      <c r="C1204" s="64"/>
      <c r="D1204" s="64"/>
      <c r="E1204" s="63"/>
      <c r="F1204" s="64"/>
    </row>
    <row r="1205" spans="1:6" x14ac:dyDescent="0.3">
      <c r="A1205" s="2"/>
      <c r="B1205" s="65"/>
      <c r="C1205" s="65"/>
      <c r="D1205" s="2"/>
      <c r="E1205" s="2"/>
      <c r="F1205" s="2"/>
    </row>
    <row r="1206" spans="1:6" x14ac:dyDescent="0.3">
      <c r="A1206" s="63"/>
      <c r="B1206" s="64"/>
      <c r="C1206" s="64"/>
      <c r="D1206" s="64"/>
      <c r="E1206" s="63"/>
      <c r="F1206" s="64"/>
    </row>
    <row r="1207" spans="1:6" x14ac:dyDescent="0.3">
      <c r="A1207" s="2"/>
      <c r="B1207" s="65"/>
      <c r="C1207" s="65"/>
      <c r="D1207" s="2"/>
      <c r="E1207" s="2"/>
      <c r="F1207" s="2"/>
    </row>
    <row r="1208" spans="1:6" x14ac:dyDescent="0.3">
      <c r="A1208" s="63"/>
      <c r="B1208" s="64"/>
      <c r="C1208" s="64"/>
      <c r="D1208" s="64"/>
      <c r="E1208" s="63"/>
      <c r="F1208" s="64"/>
    </row>
    <row r="1209" spans="1:6" x14ac:dyDescent="0.3">
      <c r="A1209" s="2"/>
      <c r="B1209" s="65"/>
      <c r="C1209" s="65"/>
      <c r="D1209" s="2"/>
      <c r="E1209" s="2"/>
      <c r="F1209" s="2"/>
    </row>
    <row r="1210" spans="1:6" x14ac:dyDescent="0.3">
      <c r="A1210" s="63"/>
      <c r="B1210" s="64"/>
      <c r="C1210" s="64"/>
      <c r="D1210" s="64"/>
      <c r="E1210" s="63"/>
      <c r="F1210" s="64"/>
    </row>
    <row r="1211" spans="1:6" x14ac:dyDescent="0.3">
      <c r="A1211" s="2"/>
      <c r="B1211" s="65"/>
      <c r="C1211" s="65"/>
      <c r="D1211" s="2"/>
      <c r="E1211" s="2"/>
      <c r="F1211" s="2"/>
    </row>
    <row r="1212" spans="1:6" x14ac:dyDescent="0.3">
      <c r="A1212" s="63"/>
      <c r="B1212" s="64"/>
      <c r="C1212" s="64"/>
      <c r="D1212" s="64"/>
      <c r="E1212" s="63"/>
      <c r="F1212" s="64"/>
    </row>
    <row r="1213" spans="1:6" x14ac:dyDescent="0.3">
      <c r="A1213" s="2"/>
      <c r="B1213" s="65"/>
      <c r="C1213" s="65"/>
      <c r="D1213" s="2"/>
      <c r="E1213" s="2"/>
      <c r="F1213" s="2"/>
    </row>
    <row r="1214" spans="1:6" x14ac:dyDescent="0.3">
      <c r="A1214" s="63"/>
      <c r="B1214" s="64"/>
      <c r="C1214" s="64"/>
      <c r="D1214" s="64"/>
      <c r="E1214" s="63"/>
      <c r="F1214" s="64"/>
    </row>
    <row r="1215" spans="1:6" x14ac:dyDescent="0.3">
      <c r="A1215" s="2"/>
      <c r="B1215" s="65"/>
      <c r="C1215" s="65"/>
      <c r="D1215" s="2"/>
      <c r="E1215" s="2"/>
      <c r="F1215" s="2"/>
    </row>
    <row r="1216" spans="1:6" x14ac:dyDescent="0.3">
      <c r="A1216" s="63"/>
      <c r="B1216" s="64"/>
      <c r="C1216" s="64"/>
      <c r="D1216" s="64"/>
      <c r="E1216" s="63"/>
      <c r="F1216" s="64"/>
    </row>
    <row r="1217" spans="1:6" x14ac:dyDescent="0.3">
      <c r="A1217" s="2"/>
      <c r="B1217" s="65"/>
      <c r="C1217" s="65"/>
      <c r="D1217" s="2"/>
      <c r="E1217" s="2"/>
      <c r="F1217" s="2"/>
    </row>
    <row r="1218" spans="1:6" x14ac:dyDescent="0.3">
      <c r="A1218" s="63"/>
      <c r="B1218" s="64"/>
      <c r="C1218" s="64"/>
      <c r="D1218" s="64"/>
      <c r="E1218" s="63"/>
      <c r="F1218" s="64"/>
    </row>
    <row r="1219" spans="1:6" x14ac:dyDescent="0.3">
      <c r="A1219" s="2"/>
      <c r="B1219" s="65"/>
      <c r="C1219" s="65"/>
      <c r="D1219" s="2"/>
      <c r="E1219" s="2"/>
      <c r="F1219" s="2"/>
    </row>
    <row r="1220" spans="1:6" x14ac:dyDescent="0.3">
      <c r="A1220" s="63"/>
      <c r="B1220" s="64"/>
      <c r="C1220" s="64"/>
      <c r="D1220" s="64"/>
      <c r="E1220" s="63"/>
      <c r="F1220" s="64"/>
    </row>
    <row r="1221" spans="1:6" x14ac:dyDescent="0.3">
      <c r="A1221" s="2"/>
      <c r="B1221" s="65"/>
      <c r="C1221" s="65"/>
      <c r="D1221" s="2"/>
      <c r="E1221" s="2"/>
      <c r="F1221" s="2"/>
    </row>
    <row r="1222" spans="1:6" x14ac:dyDescent="0.3">
      <c r="A1222" s="63"/>
      <c r="B1222" s="64"/>
      <c r="C1222" s="64"/>
      <c r="D1222" s="64"/>
      <c r="E1222" s="63"/>
      <c r="F1222" s="64"/>
    </row>
    <row r="1223" spans="1:6" x14ac:dyDescent="0.3">
      <c r="A1223" s="2"/>
      <c r="B1223" s="65"/>
      <c r="C1223" s="65"/>
      <c r="D1223" s="2"/>
      <c r="E1223" s="2"/>
      <c r="F1223" s="2"/>
    </row>
    <row r="1224" spans="1:6" x14ac:dyDescent="0.3">
      <c r="A1224" s="63"/>
      <c r="B1224" s="64"/>
      <c r="C1224" s="64"/>
      <c r="D1224" s="64"/>
      <c r="E1224" s="63"/>
      <c r="F1224" s="64"/>
    </row>
    <row r="1225" spans="1:6" x14ac:dyDescent="0.3">
      <c r="A1225" s="2"/>
      <c r="B1225" s="65"/>
      <c r="C1225" s="65"/>
      <c r="D1225" s="2"/>
      <c r="E1225" s="2"/>
      <c r="F1225" s="2"/>
    </row>
    <row r="1226" spans="1:6" x14ac:dyDescent="0.3">
      <c r="A1226" s="63"/>
      <c r="B1226" s="64"/>
      <c r="C1226" s="64"/>
      <c r="D1226" s="64"/>
      <c r="E1226" s="63"/>
      <c r="F1226" s="64"/>
    </row>
    <row r="1227" spans="1:6" x14ac:dyDescent="0.3">
      <c r="A1227" s="2"/>
      <c r="B1227" s="65"/>
      <c r="C1227" s="65"/>
      <c r="D1227" s="2"/>
      <c r="E1227" s="2"/>
      <c r="F1227" s="2"/>
    </row>
    <row r="1228" spans="1:6" x14ac:dyDescent="0.3">
      <c r="A1228" s="63"/>
      <c r="B1228" s="64"/>
      <c r="C1228" s="64"/>
      <c r="D1228" s="64"/>
      <c r="E1228" s="63"/>
      <c r="F1228" s="64"/>
    </row>
    <row r="1229" spans="1:6" x14ac:dyDescent="0.3">
      <c r="A1229" s="2"/>
      <c r="B1229" s="65"/>
      <c r="C1229" s="65"/>
      <c r="D1229" s="2"/>
      <c r="E1229" s="2"/>
      <c r="F1229" s="2"/>
    </row>
    <row r="1230" spans="1:6" x14ac:dyDescent="0.3">
      <c r="A1230" s="63"/>
      <c r="B1230" s="64"/>
      <c r="C1230" s="64"/>
      <c r="D1230" s="64"/>
      <c r="E1230" s="63"/>
      <c r="F1230" s="64"/>
    </row>
    <row r="1231" spans="1:6" x14ac:dyDescent="0.3">
      <c r="A1231" s="2"/>
      <c r="B1231" s="65"/>
      <c r="C1231" s="65"/>
      <c r="D1231" s="2"/>
      <c r="E1231" s="2"/>
      <c r="F1231" s="2"/>
    </row>
    <row r="1232" spans="1:6" x14ac:dyDescent="0.3">
      <c r="A1232" s="63"/>
      <c r="B1232" s="64"/>
      <c r="C1232" s="64"/>
      <c r="D1232" s="64"/>
      <c r="E1232" s="63"/>
      <c r="F1232" s="64"/>
    </row>
    <row r="1233" spans="1:6" x14ac:dyDescent="0.3">
      <c r="A1233" s="2"/>
      <c r="B1233" s="65"/>
      <c r="C1233" s="65"/>
      <c r="D1233" s="2"/>
      <c r="E1233" s="2"/>
      <c r="F1233" s="2"/>
    </row>
    <row r="1234" spans="1:6" x14ac:dyDescent="0.3">
      <c r="A1234" s="63"/>
      <c r="B1234" s="64"/>
      <c r="C1234" s="64"/>
      <c r="D1234" s="64"/>
      <c r="E1234" s="63"/>
      <c r="F1234" s="64"/>
    </row>
    <row r="1235" spans="1:6" x14ac:dyDescent="0.3">
      <c r="A1235" s="2"/>
      <c r="B1235" s="65"/>
      <c r="C1235" s="65"/>
      <c r="D1235" s="2"/>
      <c r="E1235" s="2"/>
      <c r="F1235" s="2"/>
    </row>
    <row r="1236" spans="1:6" x14ac:dyDescent="0.3">
      <c r="A1236" s="63"/>
      <c r="B1236" s="64"/>
      <c r="C1236" s="64"/>
      <c r="D1236" s="64"/>
      <c r="E1236" s="63"/>
      <c r="F1236" s="64"/>
    </row>
    <row r="1237" spans="1:6" x14ac:dyDescent="0.3">
      <c r="A1237" s="2"/>
      <c r="B1237" s="65"/>
      <c r="C1237" s="65"/>
      <c r="D1237" s="2"/>
      <c r="E1237" s="2"/>
      <c r="F1237" s="2"/>
    </row>
    <row r="1238" spans="1:6" x14ac:dyDescent="0.3">
      <c r="A1238" s="63"/>
      <c r="B1238" s="64"/>
      <c r="C1238" s="64"/>
      <c r="D1238" s="64"/>
      <c r="E1238" s="63"/>
      <c r="F1238" s="64"/>
    </row>
    <row r="1239" spans="1:6" x14ac:dyDescent="0.3">
      <c r="A1239" s="2"/>
      <c r="B1239" s="65"/>
      <c r="C1239" s="65"/>
      <c r="D1239" s="2"/>
      <c r="E1239" s="2"/>
      <c r="F1239" s="2"/>
    </row>
    <row r="1240" spans="1:6" x14ac:dyDescent="0.3">
      <c r="A1240" s="63"/>
      <c r="B1240" s="64"/>
      <c r="C1240" s="64"/>
      <c r="D1240" s="64"/>
      <c r="E1240" s="63"/>
      <c r="F1240" s="64"/>
    </row>
    <row r="1241" spans="1:6" x14ac:dyDescent="0.3">
      <c r="A1241" s="2"/>
      <c r="B1241" s="65"/>
      <c r="C1241" s="65"/>
      <c r="D1241" s="2"/>
      <c r="E1241" s="2"/>
      <c r="F1241" s="2"/>
    </row>
    <row r="1242" spans="1:6" x14ac:dyDescent="0.3">
      <c r="A1242" s="63"/>
      <c r="B1242" s="64"/>
      <c r="C1242" s="64"/>
      <c r="D1242" s="64"/>
      <c r="E1242" s="63"/>
      <c r="F1242" s="64"/>
    </row>
    <row r="1243" spans="1:6" x14ac:dyDescent="0.3">
      <c r="A1243" s="2"/>
      <c r="B1243" s="65"/>
      <c r="C1243" s="65"/>
      <c r="D1243" s="2"/>
      <c r="E1243" s="2"/>
      <c r="F1243" s="2"/>
    </row>
    <row r="1244" spans="1:6" x14ac:dyDescent="0.3">
      <c r="A1244" s="63"/>
      <c r="B1244" s="64"/>
      <c r="C1244" s="64"/>
      <c r="D1244" s="64"/>
      <c r="E1244" s="63"/>
      <c r="F1244" s="64"/>
    </row>
    <row r="1245" spans="1:6" x14ac:dyDescent="0.3">
      <c r="A1245" s="2"/>
      <c r="B1245" s="65"/>
      <c r="C1245" s="65"/>
      <c r="D1245" s="2"/>
      <c r="E1245" s="2"/>
      <c r="F1245" s="2"/>
    </row>
    <row r="1246" spans="1:6" x14ac:dyDescent="0.3">
      <c r="A1246" s="63"/>
      <c r="B1246" s="64"/>
      <c r="C1246" s="64"/>
      <c r="D1246" s="64"/>
      <c r="E1246" s="63"/>
      <c r="F1246" s="64"/>
    </row>
    <row r="1247" spans="1:6" x14ac:dyDescent="0.3">
      <c r="A1247" s="2"/>
      <c r="B1247" s="65"/>
      <c r="C1247" s="65"/>
      <c r="D1247" s="2"/>
      <c r="E1247" s="2"/>
      <c r="F1247" s="2"/>
    </row>
    <row r="1248" spans="1:6" x14ac:dyDescent="0.3">
      <c r="A1248" s="63"/>
      <c r="B1248" s="64"/>
      <c r="C1248" s="64"/>
      <c r="D1248" s="64"/>
      <c r="E1248" s="63"/>
      <c r="F1248" s="64"/>
    </row>
    <row r="1249" spans="1:6" x14ac:dyDescent="0.3">
      <c r="A1249" s="2"/>
      <c r="B1249" s="65"/>
      <c r="C1249" s="65"/>
      <c r="D1249" s="2"/>
      <c r="E1249" s="2"/>
      <c r="F1249" s="2"/>
    </row>
    <row r="1250" spans="1:6" x14ac:dyDescent="0.3">
      <c r="A1250" s="63"/>
      <c r="B1250" s="64"/>
      <c r="C1250" s="64"/>
      <c r="D1250" s="64"/>
      <c r="E1250" s="63"/>
      <c r="F1250" s="64"/>
    </row>
    <row r="1251" spans="1:6" x14ac:dyDescent="0.3">
      <c r="A1251" s="2"/>
      <c r="B1251" s="65"/>
      <c r="C1251" s="65"/>
      <c r="D1251" s="2"/>
      <c r="E1251" s="2"/>
      <c r="F1251" s="2"/>
    </row>
    <row r="1252" spans="1:6" x14ac:dyDescent="0.3">
      <c r="A1252" s="63"/>
      <c r="B1252" s="64"/>
      <c r="C1252" s="64"/>
      <c r="D1252" s="64"/>
      <c r="E1252" s="63"/>
      <c r="F1252" s="64"/>
    </row>
    <row r="1253" spans="1:6" x14ac:dyDescent="0.3">
      <c r="A1253" s="2"/>
      <c r="B1253" s="65"/>
      <c r="C1253" s="65"/>
      <c r="D1253" s="2"/>
      <c r="E1253" s="2"/>
      <c r="F1253" s="2"/>
    </row>
    <row r="1254" spans="1:6" x14ac:dyDescent="0.3">
      <c r="A1254" s="63"/>
      <c r="B1254" s="64"/>
      <c r="C1254" s="64"/>
      <c r="D1254" s="64"/>
      <c r="E1254" s="63"/>
      <c r="F1254" s="64"/>
    </row>
    <row r="1255" spans="1:6" x14ac:dyDescent="0.3">
      <c r="A1255" s="2"/>
      <c r="B1255" s="65"/>
      <c r="C1255" s="65"/>
      <c r="D1255" s="2"/>
      <c r="E1255" s="2"/>
      <c r="F1255" s="2"/>
    </row>
    <row r="1256" spans="1:6" x14ac:dyDescent="0.3">
      <c r="A1256" s="63"/>
      <c r="B1256" s="64"/>
      <c r="C1256" s="64"/>
      <c r="D1256" s="64"/>
      <c r="E1256" s="63"/>
      <c r="F1256" s="64"/>
    </row>
    <row r="1257" spans="1:6" x14ac:dyDescent="0.3">
      <c r="A1257" s="2"/>
      <c r="B1257" s="65"/>
      <c r="C1257" s="65"/>
      <c r="D1257" s="2"/>
      <c r="E1257" s="2"/>
      <c r="F1257" s="2"/>
    </row>
    <row r="1258" spans="1:6" x14ac:dyDescent="0.3">
      <c r="A1258" s="63"/>
      <c r="B1258" s="64"/>
      <c r="C1258" s="64"/>
      <c r="D1258" s="64"/>
      <c r="E1258" s="63"/>
      <c r="F1258" s="64"/>
    </row>
    <row r="1259" spans="1:6" x14ac:dyDescent="0.3">
      <c r="A1259" s="2"/>
      <c r="B1259" s="65"/>
      <c r="C1259" s="65"/>
      <c r="D1259" s="2"/>
      <c r="E1259" s="2"/>
      <c r="F1259" s="2"/>
    </row>
    <row r="1260" spans="1:6" x14ac:dyDescent="0.3">
      <c r="A1260" s="63"/>
      <c r="B1260" s="64"/>
      <c r="C1260" s="64"/>
      <c r="D1260" s="64"/>
      <c r="E1260" s="63"/>
      <c r="F1260" s="64"/>
    </row>
    <row r="1261" spans="1:6" x14ac:dyDescent="0.3">
      <c r="A1261" s="2"/>
      <c r="B1261" s="65"/>
      <c r="C1261" s="65"/>
      <c r="D1261" s="2"/>
      <c r="E1261" s="2"/>
      <c r="F1261" s="2"/>
    </row>
    <row r="1262" spans="1:6" x14ac:dyDescent="0.3">
      <c r="A1262" s="63"/>
      <c r="B1262" s="64"/>
      <c r="C1262" s="64"/>
      <c r="D1262" s="64"/>
      <c r="E1262" s="63"/>
      <c r="F1262" s="64"/>
    </row>
    <row r="1263" spans="1:6" x14ac:dyDescent="0.3">
      <c r="A1263" s="2"/>
      <c r="B1263" s="65"/>
      <c r="C1263" s="65"/>
      <c r="D1263" s="2"/>
      <c r="E1263" s="2"/>
      <c r="F1263" s="2"/>
    </row>
    <row r="1264" spans="1:6" x14ac:dyDescent="0.3">
      <c r="A1264" s="63"/>
      <c r="B1264" s="64"/>
      <c r="C1264" s="64"/>
      <c r="D1264" s="64"/>
      <c r="E1264" s="63"/>
      <c r="F1264" s="64"/>
    </row>
    <row r="1265" spans="1:6" x14ac:dyDescent="0.3">
      <c r="A1265" s="2"/>
      <c r="B1265" s="65"/>
      <c r="C1265" s="65"/>
      <c r="D1265" s="2"/>
      <c r="E1265" s="2"/>
      <c r="F1265" s="2"/>
    </row>
    <row r="1266" spans="1:6" x14ac:dyDescent="0.3">
      <c r="A1266" s="63"/>
      <c r="B1266" s="64"/>
      <c r="C1266" s="64"/>
      <c r="D1266" s="64"/>
      <c r="E1266" s="63"/>
      <c r="F1266" s="64"/>
    </row>
    <row r="1267" spans="1:6" x14ac:dyDescent="0.3">
      <c r="A1267" s="2"/>
      <c r="B1267" s="65"/>
      <c r="C1267" s="65"/>
      <c r="D1267" s="2"/>
      <c r="E1267" s="2"/>
      <c r="F1267" s="2"/>
    </row>
    <row r="1268" spans="1:6" x14ac:dyDescent="0.3">
      <c r="A1268" s="63"/>
      <c r="B1268" s="64"/>
      <c r="C1268" s="64"/>
      <c r="D1268" s="64"/>
      <c r="E1268" s="63"/>
      <c r="F1268" s="64"/>
    </row>
    <row r="1269" spans="1:6" x14ac:dyDescent="0.3">
      <c r="A1269" s="2"/>
      <c r="B1269" s="65"/>
      <c r="C1269" s="65"/>
      <c r="D1269" s="2"/>
      <c r="E1269" s="2"/>
      <c r="F1269" s="2"/>
    </row>
    <row r="1270" spans="1:6" x14ac:dyDescent="0.3">
      <c r="A1270" s="63"/>
      <c r="B1270" s="64"/>
      <c r="C1270" s="64"/>
      <c r="D1270" s="64"/>
      <c r="E1270" s="63"/>
      <c r="F1270" s="64"/>
    </row>
    <row r="1271" spans="1:6" x14ac:dyDescent="0.3">
      <c r="A1271" s="2"/>
      <c r="B1271" s="65"/>
      <c r="C1271" s="65"/>
      <c r="D1271" s="2"/>
      <c r="E1271" s="2"/>
      <c r="F1271" s="2"/>
    </row>
    <row r="1272" spans="1:6" x14ac:dyDescent="0.3">
      <c r="A1272" s="63"/>
      <c r="B1272" s="64"/>
      <c r="C1272" s="64"/>
      <c r="D1272" s="64"/>
      <c r="E1272" s="63"/>
      <c r="F1272" s="64"/>
    </row>
    <row r="1273" spans="1:6" x14ac:dyDescent="0.3">
      <c r="A1273" s="2"/>
      <c r="B1273" s="65"/>
      <c r="C1273" s="65"/>
      <c r="D1273" s="2"/>
      <c r="E1273" s="2"/>
      <c r="F1273" s="2"/>
    </row>
    <row r="1274" spans="1:6" x14ac:dyDescent="0.3">
      <c r="A1274" s="63"/>
      <c r="B1274" s="64"/>
      <c r="C1274" s="64"/>
      <c r="D1274" s="64"/>
      <c r="E1274" s="63"/>
      <c r="F1274" s="64"/>
    </row>
    <row r="1275" spans="1:6" x14ac:dyDescent="0.3">
      <c r="A1275" s="2"/>
      <c r="B1275" s="65"/>
      <c r="C1275" s="65"/>
      <c r="D1275" s="2"/>
      <c r="E1275" s="2"/>
      <c r="F1275" s="2"/>
    </row>
    <row r="1276" spans="1:6" x14ac:dyDescent="0.3">
      <c r="A1276" s="63"/>
      <c r="B1276" s="64"/>
      <c r="C1276" s="64"/>
      <c r="D1276" s="64"/>
      <c r="E1276" s="63"/>
      <c r="F1276" s="64"/>
    </row>
    <row r="1277" spans="1:6" x14ac:dyDescent="0.3">
      <c r="A1277" s="2"/>
      <c r="B1277" s="65"/>
      <c r="C1277" s="65"/>
      <c r="D1277" s="2"/>
      <c r="E1277" s="2"/>
      <c r="F1277" s="2"/>
    </row>
    <row r="1278" spans="1:6" x14ac:dyDescent="0.3">
      <c r="A1278" s="63"/>
      <c r="B1278" s="64"/>
      <c r="C1278" s="64"/>
      <c r="D1278" s="64"/>
      <c r="E1278" s="63"/>
      <c r="F1278" s="64"/>
    </row>
    <row r="1279" spans="1:6" x14ac:dyDescent="0.3">
      <c r="A1279" s="2"/>
      <c r="B1279" s="65"/>
      <c r="C1279" s="65"/>
      <c r="D1279" s="2"/>
      <c r="E1279" s="2"/>
      <c r="F1279" s="2"/>
    </row>
    <row r="1280" spans="1:6" x14ac:dyDescent="0.3">
      <c r="A1280" s="63"/>
      <c r="B1280" s="64"/>
      <c r="C1280" s="64"/>
      <c r="D1280" s="64"/>
      <c r="E1280" s="63"/>
      <c r="F1280" s="64"/>
    </row>
    <row r="1281" spans="1:6" x14ac:dyDescent="0.3">
      <c r="A1281" s="2"/>
      <c r="B1281" s="65"/>
      <c r="C1281" s="65"/>
      <c r="D1281" s="2"/>
      <c r="E1281" s="2"/>
      <c r="F1281" s="2"/>
    </row>
    <row r="1282" spans="1:6" x14ac:dyDescent="0.3">
      <c r="A1282" s="63"/>
      <c r="B1282" s="64"/>
      <c r="C1282" s="64"/>
      <c r="D1282" s="64"/>
      <c r="E1282" s="63"/>
      <c r="F1282" s="64"/>
    </row>
    <row r="1283" spans="1:6" x14ac:dyDescent="0.3">
      <c r="A1283" s="2"/>
      <c r="B1283" s="65"/>
      <c r="C1283" s="65"/>
      <c r="D1283" s="2"/>
      <c r="E1283" s="2"/>
      <c r="F1283" s="2"/>
    </row>
    <row r="1284" spans="1:6" x14ac:dyDescent="0.3">
      <c r="A1284" s="63"/>
      <c r="B1284" s="64"/>
      <c r="C1284" s="64"/>
      <c r="D1284" s="64"/>
      <c r="E1284" s="63"/>
      <c r="F1284" s="64"/>
    </row>
    <row r="1285" spans="1:6" x14ac:dyDescent="0.3">
      <c r="A1285" s="2"/>
      <c r="B1285" s="65"/>
      <c r="C1285" s="65"/>
      <c r="D1285" s="2"/>
      <c r="E1285" s="2"/>
      <c r="F1285" s="2"/>
    </row>
    <row r="1286" spans="1:6" x14ac:dyDescent="0.3">
      <c r="A1286" s="63"/>
      <c r="B1286" s="64"/>
      <c r="C1286" s="64"/>
      <c r="D1286" s="64"/>
      <c r="E1286" s="63"/>
      <c r="F1286" s="64"/>
    </row>
    <row r="1287" spans="1:6" x14ac:dyDescent="0.3">
      <c r="A1287" s="2"/>
      <c r="B1287" s="65"/>
      <c r="C1287" s="65"/>
      <c r="D1287" s="2"/>
      <c r="E1287" s="2"/>
      <c r="F1287" s="2"/>
    </row>
    <row r="1288" spans="1:6" x14ac:dyDescent="0.3">
      <c r="A1288" s="63"/>
      <c r="B1288" s="64"/>
      <c r="C1288" s="64"/>
      <c r="D1288" s="64"/>
      <c r="E1288" s="63"/>
      <c r="F1288" s="64"/>
    </row>
    <row r="1289" spans="1:6" x14ac:dyDescent="0.3">
      <c r="A1289" s="2"/>
      <c r="B1289" s="65"/>
      <c r="C1289" s="65"/>
      <c r="D1289" s="2"/>
      <c r="E1289" s="2"/>
      <c r="F1289" s="2"/>
    </row>
    <row r="1290" spans="1:6" x14ac:dyDescent="0.3">
      <c r="A1290" s="63"/>
      <c r="B1290" s="64"/>
      <c r="C1290" s="64"/>
      <c r="D1290" s="64"/>
      <c r="E1290" s="63"/>
      <c r="F1290" s="64"/>
    </row>
    <row r="1291" spans="1:6" x14ac:dyDescent="0.3">
      <c r="A1291" s="2"/>
      <c r="B1291" s="65"/>
      <c r="C1291" s="65"/>
      <c r="D1291" s="2"/>
      <c r="E1291" s="2"/>
      <c r="F1291" s="2"/>
    </row>
    <row r="1292" spans="1:6" x14ac:dyDescent="0.3">
      <c r="A1292" s="63"/>
      <c r="B1292" s="64"/>
      <c r="C1292" s="64"/>
      <c r="D1292" s="64"/>
      <c r="E1292" s="63"/>
      <c r="F1292" s="64"/>
    </row>
    <row r="1293" spans="1:6" x14ac:dyDescent="0.3">
      <c r="A1293" s="2"/>
      <c r="B1293" s="65"/>
      <c r="C1293" s="65"/>
      <c r="D1293" s="2"/>
      <c r="E1293" s="2"/>
      <c r="F1293" s="2"/>
    </row>
    <row r="1294" spans="1:6" x14ac:dyDescent="0.3">
      <c r="A1294" s="63"/>
      <c r="B1294" s="64"/>
      <c r="C1294" s="64"/>
      <c r="D1294" s="64"/>
      <c r="E1294" s="63"/>
      <c r="F1294" s="64"/>
    </row>
    <row r="1295" spans="1:6" x14ac:dyDescent="0.3">
      <c r="A1295" s="2"/>
      <c r="B1295" s="65"/>
      <c r="C1295" s="65"/>
      <c r="D1295" s="2"/>
      <c r="E1295" s="2"/>
      <c r="F1295" s="2"/>
    </row>
    <row r="1296" spans="1:6" x14ac:dyDescent="0.3">
      <c r="A1296" s="63"/>
      <c r="B1296" s="64"/>
      <c r="C1296" s="64"/>
      <c r="D1296" s="64"/>
      <c r="E1296" s="63"/>
      <c r="F1296" s="64"/>
    </row>
    <row r="1297" spans="1:6" x14ac:dyDescent="0.3">
      <c r="A1297" s="2"/>
      <c r="B1297" s="65"/>
      <c r="C1297" s="65"/>
      <c r="D1297" s="2"/>
      <c r="E1297" s="2"/>
      <c r="F1297" s="2"/>
    </row>
    <row r="1298" spans="1:6" x14ac:dyDescent="0.3">
      <c r="A1298" s="63"/>
      <c r="B1298" s="64"/>
      <c r="C1298" s="64"/>
      <c r="D1298" s="64"/>
      <c r="E1298" s="63"/>
      <c r="F1298" s="64"/>
    </row>
    <row r="1299" spans="1:6" x14ac:dyDescent="0.3">
      <c r="A1299" s="2"/>
      <c r="B1299" s="65"/>
      <c r="C1299" s="65"/>
      <c r="D1299" s="2"/>
      <c r="E1299" s="2"/>
      <c r="F1299" s="2"/>
    </row>
    <row r="1300" spans="1:6" x14ac:dyDescent="0.3">
      <c r="A1300" s="63"/>
      <c r="B1300" s="64"/>
      <c r="C1300" s="64"/>
      <c r="D1300" s="64"/>
      <c r="E1300" s="63"/>
      <c r="F1300" s="64"/>
    </row>
    <row r="1301" spans="1:6" x14ac:dyDescent="0.3">
      <c r="A1301" s="2"/>
      <c r="B1301" s="65"/>
      <c r="C1301" s="65"/>
      <c r="D1301" s="2"/>
      <c r="E1301" s="2"/>
      <c r="F1301" s="2"/>
    </row>
    <row r="1302" spans="1:6" x14ac:dyDescent="0.3">
      <c r="A1302" s="63"/>
      <c r="B1302" s="64"/>
      <c r="C1302" s="64"/>
      <c r="D1302" s="64"/>
      <c r="E1302" s="63"/>
      <c r="F1302" s="64"/>
    </row>
    <row r="1303" spans="1:6" x14ac:dyDescent="0.3">
      <c r="A1303" s="2"/>
      <c r="B1303" s="65"/>
      <c r="C1303" s="65"/>
      <c r="D1303" s="2"/>
      <c r="E1303" s="2"/>
      <c r="F1303" s="2"/>
    </row>
    <row r="1304" spans="1:6" x14ac:dyDescent="0.3">
      <c r="A1304" s="63"/>
      <c r="B1304" s="64"/>
      <c r="C1304" s="64"/>
      <c r="D1304" s="64"/>
      <c r="E1304" s="63"/>
      <c r="F1304" s="64"/>
    </row>
    <row r="1305" spans="1:6" x14ac:dyDescent="0.3">
      <c r="A1305" s="2"/>
      <c r="B1305" s="65"/>
      <c r="C1305" s="65"/>
      <c r="D1305" s="2"/>
      <c r="E1305" s="2"/>
      <c r="F1305" s="2"/>
    </row>
    <row r="1306" spans="1:6" x14ac:dyDescent="0.3">
      <c r="A1306" s="63"/>
      <c r="B1306" s="64"/>
      <c r="C1306" s="64"/>
      <c r="D1306" s="64"/>
      <c r="E1306" s="63"/>
      <c r="F1306" s="64"/>
    </row>
    <row r="1307" spans="1:6" x14ac:dyDescent="0.3">
      <c r="A1307" s="2"/>
      <c r="B1307" s="65"/>
      <c r="C1307" s="65"/>
      <c r="D1307" s="2"/>
      <c r="E1307" s="2"/>
      <c r="F1307" s="2"/>
    </row>
    <row r="1308" spans="1:6" x14ac:dyDescent="0.3">
      <c r="A1308" s="63"/>
      <c r="B1308" s="64"/>
      <c r="C1308" s="64"/>
      <c r="D1308" s="64"/>
      <c r="E1308" s="63"/>
      <c r="F1308" s="64"/>
    </row>
    <row r="1309" spans="1:6" x14ac:dyDescent="0.3">
      <c r="A1309" s="2"/>
      <c r="B1309" s="65"/>
      <c r="C1309" s="65"/>
      <c r="D1309" s="2"/>
      <c r="E1309" s="2"/>
      <c r="F1309" s="2"/>
    </row>
    <row r="1310" spans="1:6" x14ac:dyDescent="0.3">
      <c r="A1310" s="63"/>
      <c r="B1310" s="64"/>
      <c r="C1310" s="64"/>
      <c r="D1310" s="64"/>
      <c r="E1310" s="63"/>
      <c r="F1310" s="64"/>
    </row>
    <row r="1311" spans="1:6" x14ac:dyDescent="0.3">
      <c r="A1311" s="2"/>
      <c r="B1311" s="65"/>
      <c r="C1311" s="65"/>
      <c r="D1311" s="2"/>
      <c r="E1311" s="2"/>
      <c r="F1311" s="2"/>
    </row>
    <row r="1312" spans="1:6" x14ac:dyDescent="0.3">
      <c r="A1312" s="63"/>
      <c r="B1312" s="64"/>
      <c r="C1312" s="64"/>
      <c r="D1312" s="64"/>
      <c r="E1312" s="63"/>
      <c r="F1312" s="64"/>
    </row>
    <row r="1313" spans="1:6" x14ac:dyDescent="0.3">
      <c r="A1313" s="2"/>
      <c r="B1313" s="65"/>
      <c r="C1313" s="65"/>
      <c r="D1313" s="2"/>
      <c r="E1313" s="2"/>
      <c r="F1313" s="2"/>
    </row>
    <row r="1314" spans="1:6" x14ac:dyDescent="0.3">
      <c r="A1314" s="63"/>
      <c r="B1314" s="64"/>
      <c r="C1314" s="64"/>
      <c r="D1314" s="64"/>
      <c r="E1314" s="63"/>
      <c r="F1314" s="64"/>
    </row>
    <row r="1315" spans="1:6" x14ac:dyDescent="0.3">
      <c r="A1315" s="2"/>
      <c r="B1315" s="65"/>
      <c r="C1315" s="65"/>
      <c r="D1315" s="2"/>
      <c r="E1315" s="2"/>
      <c r="F1315" s="2"/>
    </row>
    <row r="1316" spans="1:6" x14ac:dyDescent="0.3">
      <c r="A1316" s="63"/>
      <c r="B1316" s="64"/>
      <c r="C1316" s="64"/>
      <c r="D1316" s="64"/>
      <c r="E1316" s="63"/>
      <c r="F1316" s="64"/>
    </row>
    <row r="1317" spans="1:6" x14ac:dyDescent="0.3">
      <c r="A1317" s="2"/>
      <c r="B1317" s="65"/>
      <c r="C1317" s="65"/>
      <c r="D1317" s="2"/>
      <c r="E1317" s="2"/>
      <c r="F1317" s="2"/>
    </row>
    <row r="1318" spans="1:6" x14ac:dyDescent="0.3">
      <c r="A1318" s="63"/>
      <c r="B1318" s="64"/>
      <c r="C1318" s="64"/>
      <c r="D1318" s="64"/>
      <c r="E1318" s="63"/>
      <c r="F1318" s="64"/>
    </row>
    <row r="1319" spans="1:6" x14ac:dyDescent="0.3">
      <c r="A1319" s="2"/>
      <c r="B1319" s="65"/>
      <c r="C1319" s="65"/>
      <c r="D1319" s="2"/>
      <c r="E1319" s="2"/>
      <c r="F1319" s="2"/>
    </row>
    <row r="1320" spans="1:6" x14ac:dyDescent="0.3">
      <c r="A1320" s="63"/>
      <c r="B1320" s="64"/>
      <c r="C1320" s="64"/>
      <c r="D1320" s="64"/>
      <c r="E1320" s="63"/>
      <c r="F1320" s="64"/>
    </row>
    <row r="1321" spans="1:6" x14ac:dyDescent="0.3">
      <c r="A1321" s="2"/>
      <c r="B1321" s="65"/>
      <c r="C1321" s="65"/>
      <c r="D1321" s="2"/>
      <c r="E1321" s="2"/>
      <c r="F1321" s="2"/>
    </row>
    <row r="1322" spans="1:6" x14ac:dyDescent="0.3">
      <c r="A1322" s="63"/>
      <c r="B1322" s="64"/>
      <c r="C1322" s="64"/>
      <c r="D1322" s="64"/>
      <c r="E1322" s="63"/>
      <c r="F1322" s="64"/>
    </row>
    <row r="1323" spans="1:6" x14ac:dyDescent="0.3">
      <c r="A1323" s="2"/>
      <c r="B1323" s="65"/>
      <c r="C1323" s="65"/>
      <c r="D1323" s="2"/>
      <c r="E1323" s="2"/>
      <c r="F1323" s="2"/>
    </row>
    <row r="1324" spans="1:6" x14ac:dyDescent="0.3">
      <c r="A1324" s="63"/>
      <c r="B1324" s="64"/>
      <c r="C1324" s="64"/>
      <c r="D1324" s="64"/>
      <c r="E1324" s="63"/>
      <c r="F1324" s="64"/>
    </row>
    <row r="1325" spans="1:6" x14ac:dyDescent="0.3">
      <c r="A1325" s="2"/>
      <c r="B1325" s="65"/>
      <c r="C1325" s="65"/>
      <c r="D1325" s="2"/>
      <c r="E1325" s="2"/>
      <c r="F1325" s="2"/>
    </row>
    <row r="1326" spans="1:6" x14ac:dyDescent="0.3">
      <c r="A1326" s="63"/>
      <c r="B1326" s="64"/>
      <c r="C1326" s="64"/>
      <c r="D1326" s="64"/>
      <c r="E1326" s="63"/>
      <c r="F1326" s="64"/>
    </row>
    <row r="1327" spans="1:6" x14ac:dyDescent="0.3">
      <c r="A1327" s="2"/>
      <c r="B1327" s="65"/>
      <c r="C1327" s="65"/>
      <c r="D1327" s="2"/>
      <c r="E1327" s="2"/>
      <c r="F1327" s="2"/>
    </row>
    <row r="1328" spans="1:6" x14ac:dyDescent="0.3">
      <c r="A1328" s="63"/>
      <c r="B1328" s="64"/>
      <c r="C1328" s="64"/>
      <c r="D1328" s="64"/>
      <c r="E1328" s="63"/>
      <c r="F1328" s="64"/>
    </row>
    <row r="1329" spans="1:6" x14ac:dyDescent="0.3">
      <c r="A1329" s="2"/>
      <c r="B1329" s="65"/>
      <c r="C1329" s="65"/>
      <c r="D1329" s="2"/>
      <c r="E1329" s="2"/>
      <c r="F1329" s="2"/>
    </row>
    <row r="1330" spans="1:6" x14ac:dyDescent="0.3">
      <c r="A1330" s="63"/>
      <c r="B1330" s="64"/>
      <c r="C1330" s="64"/>
      <c r="D1330" s="64"/>
      <c r="E1330" s="63"/>
      <c r="F1330" s="64"/>
    </row>
    <row r="1331" spans="1:6" x14ac:dyDescent="0.3">
      <c r="A1331" s="2"/>
      <c r="B1331" s="65"/>
      <c r="C1331" s="65"/>
      <c r="D1331" s="2"/>
      <c r="E1331" s="2"/>
      <c r="F1331" s="2"/>
    </row>
    <row r="1332" spans="1:6" x14ac:dyDescent="0.3">
      <c r="A1332" s="63"/>
      <c r="B1332" s="64"/>
      <c r="C1332" s="64"/>
      <c r="D1332" s="64"/>
      <c r="E1332" s="63"/>
      <c r="F1332" s="64"/>
    </row>
    <row r="1333" spans="1:6" x14ac:dyDescent="0.3">
      <c r="A1333" s="2"/>
      <c r="B1333" s="65"/>
      <c r="C1333" s="65"/>
      <c r="D1333" s="2"/>
      <c r="E1333" s="2"/>
      <c r="F1333" s="2"/>
    </row>
    <row r="1334" spans="1:6" x14ac:dyDescent="0.3">
      <c r="A1334" s="63"/>
      <c r="B1334" s="64"/>
      <c r="C1334" s="64"/>
      <c r="D1334" s="64"/>
      <c r="E1334" s="63"/>
      <c r="F1334" s="64"/>
    </row>
    <row r="1335" spans="1:6" x14ac:dyDescent="0.3">
      <c r="A1335" s="2"/>
      <c r="B1335" s="65"/>
      <c r="C1335" s="65"/>
      <c r="D1335" s="2"/>
      <c r="E1335" s="2"/>
      <c r="F1335" s="2"/>
    </row>
    <row r="1336" spans="1:6" x14ac:dyDescent="0.3">
      <c r="A1336" s="63"/>
      <c r="B1336" s="64"/>
      <c r="C1336" s="64"/>
      <c r="D1336" s="64"/>
      <c r="E1336" s="63"/>
      <c r="F1336" s="64"/>
    </row>
    <row r="1337" spans="1:6" x14ac:dyDescent="0.3">
      <c r="A1337" s="2"/>
      <c r="B1337" s="65"/>
      <c r="C1337" s="65"/>
      <c r="D1337" s="2"/>
      <c r="E1337" s="2"/>
      <c r="F1337" s="2"/>
    </row>
    <row r="1338" spans="1:6" x14ac:dyDescent="0.3">
      <c r="A1338" s="63"/>
      <c r="B1338" s="64"/>
      <c r="C1338" s="64"/>
      <c r="D1338" s="64"/>
      <c r="E1338" s="63"/>
      <c r="F1338" s="64"/>
    </row>
    <row r="1339" spans="1:6" x14ac:dyDescent="0.3">
      <c r="A1339" s="2"/>
      <c r="B1339" s="65"/>
      <c r="C1339" s="65"/>
      <c r="D1339" s="2"/>
      <c r="E1339" s="2"/>
      <c r="F1339" s="2"/>
    </row>
    <row r="1340" spans="1:6" x14ac:dyDescent="0.3">
      <c r="A1340" s="63"/>
      <c r="B1340" s="64"/>
      <c r="C1340" s="64"/>
      <c r="D1340" s="64"/>
      <c r="E1340" s="63"/>
      <c r="F1340" s="64"/>
    </row>
    <row r="1341" spans="1:6" x14ac:dyDescent="0.3">
      <c r="A1341" s="2"/>
      <c r="B1341" s="65"/>
      <c r="C1341" s="65"/>
      <c r="D1341" s="2"/>
      <c r="E1341" s="2"/>
      <c r="F1341" s="2"/>
    </row>
    <row r="1342" spans="1:6" x14ac:dyDescent="0.3">
      <c r="A1342" s="63"/>
      <c r="B1342" s="64"/>
      <c r="C1342" s="64"/>
      <c r="D1342" s="64"/>
      <c r="E1342" s="63"/>
      <c r="F1342" s="64"/>
    </row>
    <row r="1343" spans="1:6" x14ac:dyDescent="0.3">
      <c r="A1343" s="2"/>
      <c r="B1343" s="65"/>
      <c r="C1343" s="65"/>
      <c r="D1343" s="2"/>
      <c r="E1343" s="2"/>
      <c r="F1343" s="2"/>
    </row>
    <row r="1344" spans="1:6" x14ac:dyDescent="0.3">
      <c r="A1344" s="63"/>
      <c r="B1344" s="64"/>
      <c r="C1344" s="64"/>
      <c r="D1344" s="64"/>
      <c r="E1344" s="63"/>
      <c r="F1344" s="64"/>
    </row>
    <row r="1345" spans="1:6" x14ac:dyDescent="0.3">
      <c r="A1345" s="2"/>
      <c r="B1345" s="65"/>
      <c r="C1345" s="65"/>
      <c r="D1345" s="2"/>
      <c r="E1345" s="2"/>
      <c r="F1345" s="2"/>
    </row>
    <row r="1346" spans="1:6" x14ac:dyDescent="0.3">
      <c r="A1346" s="63"/>
      <c r="B1346" s="64"/>
      <c r="C1346" s="64"/>
      <c r="D1346" s="64"/>
      <c r="E1346" s="63"/>
      <c r="F1346" s="64"/>
    </row>
    <row r="1347" spans="1:6" x14ac:dyDescent="0.3">
      <c r="A1347" s="2"/>
      <c r="B1347" s="65"/>
      <c r="C1347" s="65"/>
      <c r="D1347" s="2"/>
      <c r="E1347" s="2"/>
      <c r="F1347" s="2"/>
    </row>
    <row r="1348" spans="1:6" x14ac:dyDescent="0.3">
      <c r="A1348" s="63"/>
      <c r="B1348" s="64"/>
      <c r="C1348" s="64"/>
      <c r="D1348" s="64"/>
      <c r="E1348" s="63"/>
      <c r="F1348" s="64"/>
    </row>
    <row r="1349" spans="1:6" x14ac:dyDescent="0.3">
      <c r="A1349" s="2"/>
      <c r="B1349" s="65"/>
      <c r="C1349" s="65"/>
      <c r="D1349" s="2"/>
      <c r="E1349" s="2"/>
      <c r="F1349" s="2"/>
    </row>
    <row r="1350" spans="1:6" x14ac:dyDescent="0.3">
      <c r="A1350" s="63"/>
      <c r="B1350" s="64"/>
      <c r="C1350" s="64"/>
      <c r="D1350" s="64"/>
      <c r="E1350" s="63"/>
      <c r="F1350" s="64"/>
    </row>
    <row r="1351" spans="1:6" x14ac:dyDescent="0.3">
      <c r="A1351" s="2"/>
      <c r="B1351" s="65"/>
      <c r="C1351" s="65"/>
      <c r="D1351" s="2"/>
      <c r="E1351" s="2"/>
      <c r="F1351" s="2"/>
    </row>
    <row r="1352" spans="1:6" x14ac:dyDescent="0.3">
      <c r="A1352" s="63"/>
      <c r="B1352" s="64"/>
      <c r="C1352" s="64"/>
      <c r="D1352" s="64"/>
      <c r="E1352" s="63"/>
      <c r="F1352" s="64"/>
    </row>
    <row r="1353" spans="1:6" x14ac:dyDescent="0.3">
      <c r="A1353" s="2"/>
      <c r="B1353" s="65"/>
      <c r="C1353" s="65"/>
      <c r="D1353" s="2"/>
      <c r="E1353" s="2"/>
      <c r="F1353" s="2"/>
    </row>
    <row r="1354" spans="1:6" x14ac:dyDescent="0.3">
      <c r="A1354" s="63"/>
      <c r="B1354" s="64"/>
      <c r="C1354" s="64"/>
      <c r="D1354" s="64"/>
      <c r="E1354" s="63"/>
      <c r="F1354" s="64"/>
    </row>
    <row r="1355" spans="1:6" x14ac:dyDescent="0.3">
      <c r="A1355" s="2"/>
      <c r="B1355" s="65"/>
      <c r="C1355" s="65"/>
      <c r="D1355" s="2"/>
      <c r="E1355" s="2"/>
      <c r="F1355" s="2"/>
    </row>
    <row r="1356" spans="1:6" x14ac:dyDescent="0.3">
      <c r="A1356" s="63"/>
      <c r="B1356" s="64"/>
      <c r="C1356" s="64"/>
      <c r="D1356" s="64"/>
      <c r="E1356" s="63"/>
      <c r="F1356" s="64"/>
    </row>
    <row r="1357" spans="1:6" x14ac:dyDescent="0.3">
      <c r="A1357" s="2"/>
      <c r="B1357" s="65"/>
      <c r="C1357" s="65"/>
      <c r="D1357" s="2"/>
      <c r="E1357" s="2"/>
      <c r="F1357" s="2"/>
    </row>
    <row r="1358" spans="1:6" x14ac:dyDescent="0.3">
      <c r="A1358" s="63"/>
      <c r="B1358" s="64"/>
      <c r="C1358" s="64"/>
      <c r="D1358" s="64"/>
      <c r="E1358" s="63"/>
      <c r="F1358" s="64"/>
    </row>
    <row r="1359" spans="1:6" x14ac:dyDescent="0.3">
      <c r="A1359" s="2"/>
      <c r="B1359" s="65"/>
      <c r="C1359" s="65"/>
      <c r="D1359" s="2"/>
      <c r="E1359" s="2"/>
      <c r="F1359" s="2"/>
    </row>
    <row r="1360" spans="1:6" x14ac:dyDescent="0.3">
      <c r="A1360" s="63"/>
      <c r="B1360" s="64"/>
      <c r="C1360" s="64"/>
      <c r="D1360" s="64"/>
      <c r="E1360" s="63"/>
      <c r="F1360" s="64"/>
    </row>
    <row r="1361" spans="1:6" x14ac:dyDescent="0.3">
      <c r="A1361" s="2"/>
      <c r="B1361" s="65"/>
      <c r="C1361" s="65"/>
      <c r="D1361" s="2"/>
      <c r="E1361" s="2"/>
      <c r="F1361" s="2"/>
    </row>
    <row r="1362" spans="1:6" x14ac:dyDescent="0.3">
      <c r="A1362" s="63"/>
      <c r="B1362" s="64"/>
      <c r="C1362" s="64"/>
      <c r="D1362" s="64"/>
      <c r="E1362" s="63"/>
      <c r="F1362" s="64"/>
    </row>
    <row r="1363" spans="1:6" x14ac:dyDescent="0.3">
      <c r="A1363" s="2"/>
      <c r="B1363" s="65"/>
      <c r="C1363" s="65"/>
      <c r="D1363" s="2"/>
      <c r="E1363" s="2"/>
      <c r="F1363" s="2"/>
    </row>
    <row r="1364" spans="1:6" x14ac:dyDescent="0.3">
      <c r="A1364" s="63"/>
      <c r="B1364" s="64"/>
      <c r="C1364" s="64"/>
      <c r="D1364" s="64"/>
      <c r="E1364" s="63"/>
      <c r="F1364" s="64"/>
    </row>
    <row r="1365" spans="1:6" x14ac:dyDescent="0.3">
      <c r="A1365" s="2"/>
      <c r="B1365" s="65"/>
      <c r="C1365" s="65"/>
      <c r="D1365" s="2"/>
      <c r="E1365" s="2"/>
      <c r="F1365" s="2"/>
    </row>
    <row r="1366" spans="1:6" x14ac:dyDescent="0.3">
      <c r="A1366" s="63"/>
      <c r="B1366" s="64"/>
      <c r="C1366" s="64"/>
      <c r="D1366" s="64"/>
      <c r="E1366" s="63"/>
      <c r="F1366" s="64"/>
    </row>
    <row r="1367" spans="1:6" x14ac:dyDescent="0.3">
      <c r="A1367" s="2"/>
      <c r="B1367" s="65"/>
      <c r="C1367" s="65"/>
      <c r="D1367" s="2"/>
      <c r="E1367" s="2"/>
      <c r="F1367" s="2"/>
    </row>
    <row r="1368" spans="1:6" x14ac:dyDescent="0.3">
      <c r="A1368" s="63"/>
      <c r="B1368" s="64"/>
      <c r="C1368" s="64"/>
      <c r="D1368" s="64"/>
      <c r="E1368" s="63"/>
      <c r="F1368" s="64"/>
    </row>
    <row r="1369" spans="1:6" x14ac:dyDescent="0.3">
      <c r="A1369" s="2"/>
      <c r="B1369" s="65"/>
      <c r="C1369" s="65"/>
      <c r="D1369" s="2"/>
      <c r="E1369" s="2"/>
      <c r="F1369" s="2"/>
    </row>
    <row r="1370" spans="1:6" x14ac:dyDescent="0.3">
      <c r="A1370" s="63"/>
      <c r="B1370" s="64"/>
      <c r="C1370" s="64"/>
      <c r="D1370" s="64"/>
      <c r="E1370" s="63"/>
      <c r="F1370" s="64"/>
    </row>
    <row r="1371" spans="1:6" x14ac:dyDescent="0.3">
      <c r="A1371" s="2"/>
      <c r="B1371" s="65"/>
      <c r="C1371" s="65"/>
      <c r="D1371" s="2"/>
      <c r="E1371" s="2"/>
      <c r="F1371" s="2"/>
    </row>
    <row r="1372" spans="1:6" x14ac:dyDescent="0.3">
      <c r="A1372" s="63"/>
      <c r="B1372" s="64"/>
      <c r="C1372" s="64"/>
      <c r="D1372" s="64"/>
      <c r="E1372" s="63"/>
      <c r="F1372" s="64"/>
    </row>
    <row r="1373" spans="1:6" x14ac:dyDescent="0.3">
      <c r="A1373" s="2"/>
      <c r="B1373" s="65"/>
      <c r="C1373" s="65"/>
      <c r="D1373" s="2"/>
      <c r="E1373" s="2"/>
      <c r="F1373" s="2"/>
    </row>
    <row r="1374" spans="1:6" x14ac:dyDescent="0.3">
      <c r="A1374" s="63"/>
      <c r="B1374" s="64"/>
      <c r="C1374" s="64"/>
      <c r="D1374" s="64"/>
      <c r="E1374" s="63"/>
      <c r="F1374" s="64"/>
    </row>
    <row r="1375" spans="1:6" x14ac:dyDescent="0.3">
      <c r="A1375" s="2"/>
      <c r="B1375" s="65"/>
      <c r="C1375" s="65"/>
      <c r="D1375" s="2"/>
      <c r="E1375" s="2"/>
      <c r="F1375" s="2"/>
    </row>
    <row r="1376" spans="1:6" x14ac:dyDescent="0.3">
      <c r="A1376" s="63"/>
      <c r="B1376" s="64"/>
      <c r="C1376" s="64"/>
      <c r="D1376" s="64"/>
      <c r="E1376" s="63"/>
      <c r="F1376" s="64"/>
    </row>
    <row r="1377" spans="1:6" x14ac:dyDescent="0.3">
      <c r="A1377" s="2"/>
      <c r="B1377" s="65"/>
      <c r="C1377" s="65"/>
      <c r="D1377" s="2"/>
      <c r="E1377" s="2"/>
      <c r="F1377" s="2"/>
    </row>
    <row r="1378" spans="1:6" x14ac:dyDescent="0.3">
      <c r="A1378" s="63"/>
      <c r="B1378" s="64"/>
      <c r="C1378" s="64"/>
      <c r="D1378" s="64"/>
      <c r="E1378" s="63"/>
      <c r="F1378" s="64"/>
    </row>
    <row r="1379" spans="1:6" x14ac:dyDescent="0.3">
      <c r="A1379" s="2"/>
      <c r="B1379" s="65"/>
      <c r="C1379" s="65"/>
      <c r="D1379" s="2"/>
      <c r="E1379" s="2"/>
      <c r="F1379" s="2"/>
    </row>
    <row r="1380" spans="1:6" x14ac:dyDescent="0.3">
      <c r="A1380" s="63"/>
      <c r="B1380" s="64"/>
      <c r="C1380" s="64"/>
      <c r="D1380" s="64"/>
      <c r="E1380" s="63"/>
      <c r="F1380" s="64"/>
    </row>
    <row r="1381" spans="1:6" x14ac:dyDescent="0.3">
      <c r="A1381" s="2"/>
      <c r="B1381" s="65"/>
      <c r="C1381" s="65"/>
      <c r="D1381" s="2"/>
      <c r="E1381" s="2"/>
      <c r="F1381" s="2"/>
    </row>
    <row r="1382" spans="1:6" x14ac:dyDescent="0.3">
      <c r="A1382" s="63"/>
      <c r="B1382" s="64"/>
      <c r="C1382" s="64"/>
      <c r="D1382" s="64"/>
      <c r="E1382" s="63"/>
      <c r="F1382" s="64"/>
    </row>
    <row r="1383" spans="1:6" x14ac:dyDescent="0.3">
      <c r="A1383" s="2"/>
      <c r="B1383" s="65"/>
      <c r="C1383" s="65"/>
      <c r="D1383" s="2"/>
      <c r="E1383" s="2"/>
      <c r="F1383" s="2"/>
    </row>
    <row r="1384" spans="1:6" x14ac:dyDescent="0.3">
      <c r="A1384" s="63"/>
      <c r="B1384" s="64"/>
      <c r="C1384" s="64"/>
      <c r="D1384" s="64"/>
      <c r="E1384" s="63"/>
      <c r="F1384" s="64"/>
    </row>
    <row r="1385" spans="1:6" x14ac:dyDescent="0.3">
      <c r="A1385" s="2"/>
      <c r="B1385" s="65"/>
      <c r="C1385" s="65"/>
      <c r="D1385" s="2"/>
      <c r="E1385" s="2"/>
      <c r="F1385" s="2"/>
    </row>
    <row r="1386" spans="1:6" x14ac:dyDescent="0.3">
      <c r="A1386" s="63"/>
      <c r="B1386" s="64"/>
      <c r="C1386" s="64"/>
      <c r="D1386" s="64"/>
      <c r="E1386" s="63"/>
      <c r="F1386" s="64"/>
    </row>
    <row r="1387" spans="1:6" x14ac:dyDescent="0.3">
      <c r="A1387" s="2"/>
      <c r="B1387" s="65"/>
      <c r="C1387" s="65"/>
      <c r="D1387" s="2"/>
      <c r="E1387" s="2"/>
      <c r="F1387" s="2"/>
    </row>
    <row r="1388" spans="1:6" x14ac:dyDescent="0.3">
      <c r="A1388" s="63"/>
      <c r="B1388" s="64"/>
      <c r="C1388" s="64"/>
      <c r="D1388" s="64"/>
      <c r="E1388" s="63"/>
      <c r="F1388" s="64"/>
    </row>
    <row r="1389" spans="1:6" x14ac:dyDescent="0.3">
      <c r="A1389" s="2"/>
      <c r="B1389" s="65"/>
      <c r="C1389" s="65"/>
      <c r="D1389" s="2"/>
      <c r="E1389" s="2"/>
      <c r="F1389" s="2"/>
    </row>
    <row r="1390" spans="1:6" x14ac:dyDescent="0.3">
      <c r="A1390" s="63"/>
      <c r="B1390" s="64"/>
      <c r="C1390" s="64"/>
      <c r="D1390" s="64"/>
      <c r="E1390" s="63"/>
      <c r="F1390" s="64"/>
    </row>
    <row r="1391" spans="1:6" x14ac:dyDescent="0.3">
      <c r="A1391" s="2"/>
      <c r="B1391" s="65"/>
      <c r="C1391" s="65"/>
      <c r="D1391" s="2"/>
      <c r="E1391" s="2"/>
      <c r="F1391" s="2"/>
    </row>
    <row r="1392" spans="1:6" x14ac:dyDescent="0.3">
      <c r="A1392" s="63"/>
      <c r="B1392" s="64"/>
      <c r="C1392" s="64"/>
      <c r="D1392" s="64"/>
      <c r="E1392" s="63"/>
      <c r="F1392" s="64"/>
    </row>
    <row r="1393" spans="1:6" x14ac:dyDescent="0.3">
      <c r="A1393" s="2"/>
      <c r="B1393" s="65"/>
      <c r="C1393" s="65"/>
      <c r="D1393" s="2"/>
      <c r="E1393" s="2"/>
      <c r="F1393" s="2"/>
    </row>
    <row r="1394" spans="1:6" x14ac:dyDescent="0.3">
      <c r="A1394" s="63"/>
      <c r="B1394" s="64"/>
      <c r="C1394" s="64"/>
      <c r="D1394" s="64"/>
      <c r="E1394" s="63"/>
      <c r="F1394" s="64"/>
    </row>
    <row r="1395" spans="1:6" x14ac:dyDescent="0.3">
      <c r="A1395" s="2"/>
      <c r="B1395" s="65"/>
      <c r="C1395" s="65"/>
      <c r="D1395" s="2"/>
      <c r="E1395" s="2"/>
      <c r="F1395" s="2"/>
    </row>
    <row r="1396" spans="1:6" x14ac:dyDescent="0.3">
      <c r="A1396" s="63"/>
      <c r="B1396" s="64"/>
      <c r="C1396" s="64"/>
      <c r="D1396" s="64"/>
      <c r="E1396" s="63"/>
      <c r="F1396" s="64"/>
    </row>
    <row r="1397" spans="1:6" x14ac:dyDescent="0.3">
      <c r="A1397" s="2"/>
      <c r="B1397" s="65"/>
      <c r="C1397" s="65"/>
      <c r="D1397" s="2"/>
      <c r="E1397" s="2"/>
      <c r="F1397" s="2"/>
    </row>
    <row r="1398" spans="1:6" x14ac:dyDescent="0.3">
      <c r="A1398" s="63"/>
      <c r="B1398" s="64"/>
      <c r="C1398" s="64"/>
      <c r="D1398" s="64"/>
      <c r="E1398" s="63"/>
      <c r="F1398" s="64"/>
    </row>
    <row r="1399" spans="1:6" x14ac:dyDescent="0.3">
      <c r="A1399" s="2"/>
      <c r="B1399" s="65"/>
      <c r="C1399" s="65"/>
      <c r="D1399" s="2"/>
      <c r="E1399" s="2"/>
      <c r="F1399" s="2"/>
    </row>
    <row r="1400" spans="1:6" x14ac:dyDescent="0.3">
      <c r="A1400" s="63"/>
      <c r="B1400" s="64"/>
      <c r="C1400" s="64"/>
      <c r="D1400" s="64"/>
      <c r="E1400" s="63"/>
      <c r="F1400" s="64"/>
    </row>
    <row r="1401" spans="1:6" x14ac:dyDescent="0.3">
      <c r="A1401" s="2"/>
      <c r="B1401" s="65"/>
      <c r="C1401" s="65"/>
      <c r="D1401" s="2"/>
      <c r="E1401" s="2"/>
      <c r="F1401" s="2"/>
    </row>
    <row r="1402" spans="1:6" x14ac:dyDescent="0.3">
      <c r="A1402" s="63"/>
      <c r="B1402" s="64"/>
      <c r="C1402" s="64"/>
      <c r="D1402" s="64"/>
      <c r="E1402" s="63"/>
      <c r="F1402" s="64"/>
    </row>
    <row r="1403" spans="1:6" x14ac:dyDescent="0.3">
      <c r="A1403" s="2"/>
      <c r="B1403" s="65"/>
      <c r="C1403" s="65"/>
      <c r="D1403" s="2"/>
      <c r="E1403" s="2"/>
      <c r="F1403" s="2"/>
    </row>
    <row r="1404" spans="1:6" x14ac:dyDescent="0.3">
      <c r="A1404" s="63"/>
      <c r="B1404" s="64"/>
      <c r="C1404" s="64"/>
      <c r="D1404" s="64"/>
      <c r="E1404" s="63"/>
      <c r="F1404" s="64"/>
    </row>
    <row r="1405" spans="1:6" x14ac:dyDescent="0.3">
      <c r="A1405" s="2"/>
      <c r="B1405" s="65"/>
      <c r="C1405" s="65"/>
      <c r="D1405" s="2"/>
      <c r="E1405" s="2"/>
      <c r="F1405" s="2"/>
    </row>
    <row r="1406" spans="1:6" x14ac:dyDescent="0.3">
      <c r="A1406" s="63"/>
      <c r="B1406" s="64"/>
      <c r="C1406" s="64"/>
      <c r="D1406" s="64"/>
      <c r="E1406" s="63"/>
      <c r="F1406" s="64"/>
    </row>
    <row r="1407" spans="1:6" x14ac:dyDescent="0.3">
      <c r="A1407" s="2"/>
      <c r="B1407" s="65"/>
      <c r="C1407" s="65"/>
      <c r="D1407" s="2"/>
      <c r="E1407" s="2"/>
      <c r="F1407" s="2"/>
    </row>
    <row r="1408" spans="1:6" x14ac:dyDescent="0.3">
      <c r="A1408" s="63"/>
      <c r="B1408" s="64"/>
      <c r="C1408" s="64"/>
      <c r="D1408" s="64"/>
      <c r="E1408" s="63"/>
      <c r="F1408" s="64"/>
    </row>
    <row r="1409" spans="1:6" x14ac:dyDescent="0.3">
      <c r="A1409" s="2"/>
      <c r="B1409" s="65"/>
      <c r="C1409" s="65"/>
      <c r="D1409" s="2"/>
      <c r="E1409" s="2"/>
      <c r="F1409" s="2"/>
    </row>
    <row r="1410" spans="1:6" x14ac:dyDescent="0.3">
      <c r="A1410" s="63"/>
      <c r="B1410" s="64"/>
      <c r="C1410" s="64"/>
      <c r="D1410" s="64"/>
      <c r="E1410" s="63"/>
      <c r="F1410" s="64"/>
    </row>
    <row r="1411" spans="1:6" x14ac:dyDescent="0.3">
      <c r="A1411" s="2"/>
      <c r="B1411" s="65"/>
      <c r="C1411" s="65"/>
      <c r="D1411" s="2"/>
      <c r="E1411" s="2"/>
      <c r="F1411" s="2"/>
    </row>
    <row r="1412" spans="1:6" x14ac:dyDescent="0.3">
      <c r="A1412" s="63"/>
      <c r="B1412" s="64"/>
      <c r="C1412" s="64"/>
      <c r="D1412" s="64"/>
      <c r="E1412" s="63"/>
      <c r="F1412" s="64"/>
    </row>
    <row r="1413" spans="1:6" x14ac:dyDescent="0.3">
      <c r="A1413" s="2"/>
      <c r="B1413" s="65"/>
      <c r="C1413" s="65"/>
      <c r="D1413" s="2"/>
      <c r="E1413" s="2"/>
      <c r="F1413" s="2"/>
    </row>
    <row r="1414" spans="1:6" x14ac:dyDescent="0.3">
      <c r="A1414" s="63"/>
      <c r="B1414" s="64"/>
      <c r="C1414" s="64"/>
      <c r="D1414" s="64"/>
      <c r="E1414" s="63"/>
      <c r="F1414" s="64"/>
    </row>
    <row r="1415" spans="1:6" x14ac:dyDescent="0.3">
      <c r="A1415" s="2"/>
      <c r="B1415" s="65"/>
      <c r="C1415" s="65"/>
      <c r="D1415" s="2"/>
      <c r="E1415" s="2"/>
      <c r="F1415" s="2"/>
    </row>
    <row r="1416" spans="1:6" x14ac:dyDescent="0.3">
      <c r="A1416" s="63"/>
      <c r="B1416" s="64"/>
      <c r="C1416" s="64"/>
      <c r="D1416" s="64"/>
      <c r="E1416" s="63"/>
      <c r="F1416" s="64"/>
    </row>
    <row r="1417" spans="1:6" x14ac:dyDescent="0.3">
      <c r="A1417" s="2"/>
      <c r="B1417" s="65"/>
      <c r="C1417" s="65"/>
      <c r="D1417" s="2"/>
      <c r="E1417" s="2"/>
      <c r="F1417" s="2"/>
    </row>
    <row r="1418" spans="1:6" x14ac:dyDescent="0.3">
      <c r="A1418" s="63"/>
      <c r="B1418" s="64"/>
      <c r="C1418" s="64"/>
      <c r="D1418" s="64"/>
      <c r="E1418" s="63"/>
      <c r="F1418" s="64"/>
    </row>
    <row r="1419" spans="1:6" x14ac:dyDescent="0.3">
      <c r="A1419" s="2"/>
      <c r="B1419" s="65"/>
      <c r="C1419" s="65"/>
      <c r="D1419" s="2"/>
      <c r="E1419" s="2"/>
      <c r="F1419" s="2"/>
    </row>
    <row r="1420" spans="1:6" x14ac:dyDescent="0.3">
      <c r="A1420" s="63"/>
      <c r="B1420" s="64"/>
      <c r="C1420" s="64"/>
      <c r="D1420" s="64"/>
      <c r="E1420" s="63"/>
      <c r="F1420" s="64"/>
    </row>
    <row r="1421" spans="1:6" x14ac:dyDescent="0.3">
      <c r="A1421" s="2"/>
      <c r="B1421" s="65"/>
      <c r="C1421" s="65"/>
      <c r="D1421" s="2"/>
      <c r="E1421" s="2"/>
      <c r="F1421" s="2"/>
    </row>
    <row r="1422" spans="1:6" x14ac:dyDescent="0.3">
      <c r="A1422" s="63"/>
      <c r="B1422" s="64"/>
      <c r="C1422" s="64"/>
      <c r="D1422" s="64"/>
      <c r="E1422" s="63"/>
      <c r="F1422" s="64"/>
    </row>
    <row r="1423" spans="1:6" x14ac:dyDescent="0.3">
      <c r="A1423" s="2"/>
      <c r="B1423" s="65"/>
      <c r="C1423" s="65"/>
      <c r="D1423" s="2"/>
      <c r="E1423" s="2"/>
      <c r="F1423" s="2"/>
    </row>
    <row r="1424" spans="1:6" x14ac:dyDescent="0.3">
      <c r="A1424" s="63"/>
      <c r="B1424" s="64"/>
      <c r="C1424" s="64"/>
      <c r="D1424" s="64"/>
      <c r="E1424" s="63"/>
      <c r="F1424" s="64"/>
    </row>
    <row r="1425" spans="1:6" x14ac:dyDescent="0.3">
      <c r="A1425" s="2"/>
      <c r="B1425" s="65"/>
      <c r="C1425" s="65"/>
      <c r="D1425" s="2"/>
      <c r="E1425" s="2"/>
      <c r="F1425" s="2"/>
    </row>
    <row r="1426" spans="1:6" x14ac:dyDescent="0.3">
      <c r="A1426" s="63"/>
      <c r="B1426" s="64"/>
      <c r="C1426" s="64"/>
      <c r="D1426" s="64"/>
      <c r="E1426" s="63"/>
      <c r="F1426" s="64"/>
    </row>
    <row r="1427" spans="1:6" x14ac:dyDescent="0.3">
      <c r="A1427" s="2"/>
      <c r="B1427" s="65"/>
      <c r="C1427" s="65"/>
      <c r="D1427" s="2"/>
      <c r="E1427" s="2"/>
      <c r="F1427" s="2"/>
    </row>
    <row r="1428" spans="1:6" x14ac:dyDescent="0.3">
      <c r="A1428" s="63"/>
      <c r="B1428" s="64"/>
      <c r="C1428" s="64"/>
      <c r="D1428" s="64"/>
      <c r="E1428" s="63"/>
      <c r="F1428" s="64"/>
    </row>
    <row r="1429" spans="1:6" x14ac:dyDescent="0.3">
      <c r="A1429" s="2"/>
      <c r="B1429" s="65"/>
      <c r="C1429" s="65"/>
      <c r="D1429" s="2"/>
      <c r="E1429" s="2"/>
      <c r="F1429" s="2"/>
    </row>
    <row r="1430" spans="1:6" x14ac:dyDescent="0.3">
      <c r="A1430" s="63"/>
      <c r="B1430" s="64"/>
      <c r="C1430" s="64"/>
      <c r="D1430" s="64"/>
      <c r="E1430" s="63"/>
      <c r="F1430" s="64"/>
    </row>
    <row r="1431" spans="1:6" x14ac:dyDescent="0.3">
      <c r="A1431" s="2"/>
      <c r="B1431" s="65"/>
      <c r="C1431" s="65"/>
      <c r="D1431" s="2"/>
      <c r="E1431" s="2"/>
      <c r="F1431" s="2"/>
    </row>
    <row r="1432" spans="1:6" x14ac:dyDescent="0.3">
      <c r="A1432" s="63"/>
      <c r="B1432" s="64"/>
      <c r="C1432" s="64"/>
      <c r="D1432" s="64"/>
      <c r="E1432" s="63"/>
      <c r="F1432" s="64"/>
    </row>
    <row r="1433" spans="1:6" x14ac:dyDescent="0.3">
      <c r="A1433" s="2"/>
      <c r="B1433" s="65"/>
      <c r="C1433" s="65"/>
      <c r="D1433" s="2"/>
      <c r="E1433" s="2"/>
      <c r="F1433" s="2"/>
    </row>
    <row r="1434" spans="1:6" x14ac:dyDescent="0.3">
      <c r="A1434" s="63"/>
      <c r="B1434" s="64"/>
      <c r="C1434" s="64"/>
      <c r="D1434" s="64"/>
      <c r="E1434" s="63"/>
      <c r="F1434" s="64"/>
    </row>
    <row r="1435" spans="1:6" x14ac:dyDescent="0.3">
      <c r="A1435" s="2"/>
      <c r="B1435" s="65"/>
      <c r="C1435" s="65"/>
      <c r="D1435" s="2"/>
      <c r="E1435" s="2"/>
      <c r="F1435" s="2"/>
    </row>
    <row r="1436" spans="1:6" x14ac:dyDescent="0.3">
      <c r="A1436" s="63"/>
      <c r="B1436" s="64"/>
      <c r="C1436" s="64"/>
      <c r="D1436" s="64"/>
      <c r="E1436" s="63"/>
      <c r="F1436" s="64"/>
    </row>
    <row r="1437" spans="1:6" x14ac:dyDescent="0.3">
      <c r="A1437" s="2"/>
      <c r="B1437" s="65"/>
      <c r="C1437" s="65"/>
      <c r="D1437" s="2"/>
      <c r="E1437" s="2"/>
      <c r="F1437" s="2"/>
    </row>
    <row r="1438" spans="1:6" x14ac:dyDescent="0.3">
      <c r="A1438" s="63"/>
      <c r="B1438" s="64"/>
      <c r="C1438" s="64"/>
      <c r="D1438" s="64"/>
      <c r="E1438" s="63"/>
      <c r="F1438" s="64"/>
    </row>
    <row r="1439" spans="1:6" x14ac:dyDescent="0.3">
      <c r="A1439" s="2"/>
      <c r="B1439" s="65"/>
      <c r="C1439" s="65"/>
      <c r="D1439" s="2"/>
      <c r="E1439" s="2"/>
      <c r="F1439" s="2"/>
    </row>
    <row r="1440" spans="1:6" x14ac:dyDescent="0.3">
      <c r="A1440" s="63"/>
      <c r="B1440" s="64"/>
      <c r="C1440" s="64"/>
      <c r="D1440" s="64"/>
      <c r="E1440" s="63"/>
      <c r="F1440" s="64"/>
    </row>
    <row r="1441" spans="1:6" x14ac:dyDescent="0.3">
      <c r="A1441" s="2"/>
      <c r="B1441" s="65"/>
      <c r="C1441" s="65"/>
      <c r="D1441" s="2"/>
      <c r="E1441" s="2"/>
      <c r="F1441" s="2"/>
    </row>
    <row r="1442" spans="1:6" x14ac:dyDescent="0.3">
      <c r="A1442" s="63"/>
      <c r="B1442" s="64"/>
      <c r="C1442" s="64"/>
      <c r="D1442" s="64"/>
      <c r="E1442" s="63"/>
      <c r="F1442" s="64"/>
    </row>
    <row r="1443" spans="1:6" x14ac:dyDescent="0.3">
      <c r="A1443" s="2"/>
      <c r="B1443" s="65"/>
      <c r="C1443" s="65"/>
      <c r="D1443" s="2"/>
      <c r="E1443" s="2"/>
      <c r="F1443" s="2"/>
    </row>
    <row r="1444" spans="1:6" x14ac:dyDescent="0.3">
      <c r="A1444" s="63"/>
      <c r="B1444" s="64"/>
      <c r="C1444" s="64"/>
      <c r="D1444" s="64"/>
      <c r="E1444" s="63"/>
      <c r="F1444" s="64"/>
    </row>
    <row r="1445" spans="1:6" x14ac:dyDescent="0.3">
      <c r="A1445" s="2"/>
      <c r="B1445" s="65"/>
      <c r="C1445" s="65"/>
      <c r="D1445" s="2"/>
      <c r="E1445" s="2"/>
      <c r="F1445" s="2"/>
    </row>
    <row r="1446" spans="1:6" x14ac:dyDescent="0.3">
      <c r="A1446" s="63"/>
      <c r="B1446" s="64"/>
      <c r="C1446" s="64"/>
      <c r="D1446" s="64"/>
      <c r="E1446" s="63"/>
      <c r="F1446" s="64"/>
    </row>
    <row r="1447" spans="1:6" x14ac:dyDescent="0.3">
      <c r="A1447" s="2"/>
      <c r="B1447" s="65"/>
      <c r="C1447" s="65"/>
      <c r="D1447" s="2"/>
      <c r="E1447" s="2"/>
      <c r="F1447" s="2"/>
    </row>
    <row r="1448" spans="1:6" x14ac:dyDescent="0.3">
      <c r="A1448" s="63"/>
      <c r="B1448" s="64"/>
      <c r="C1448" s="64"/>
      <c r="D1448" s="64"/>
      <c r="E1448" s="63"/>
      <c r="F1448" s="64"/>
    </row>
    <row r="1449" spans="1:6" x14ac:dyDescent="0.3">
      <c r="A1449" s="2"/>
      <c r="B1449" s="65"/>
      <c r="C1449" s="65"/>
      <c r="D1449" s="2"/>
      <c r="E1449" s="2"/>
      <c r="F1449" s="2"/>
    </row>
    <row r="1450" spans="1:6" x14ac:dyDescent="0.3">
      <c r="A1450" s="63"/>
      <c r="B1450" s="64"/>
      <c r="C1450" s="64"/>
      <c r="D1450" s="64"/>
      <c r="E1450" s="63"/>
      <c r="F1450" s="64"/>
    </row>
    <row r="1451" spans="1:6" x14ac:dyDescent="0.3">
      <c r="A1451" s="2"/>
      <c r="B1451" s="65"/>
      <c r="C1451" s="65"/>
      <c r="D1451" s="2"/>
      <c r="E1451" s="2"/>
      <c r="F1451" s="2"/>
    </row>
    <row r="1452" spans="1:6" x14ac:dyDescent="0.3">
      <c r="A1452" s="63"/>
      <c r="B1452" s="64"/>
      <c r="C1452" s="64"/>
      <c r="D1452" s="64"/>
      <c r="E1452" s="63"/>
      <c r="F1452" s="64"/>
    </row>
    <row r="1453" spans="1:6" x14ac:dyDescent="0.3">
      <c r="A1453" s="2"/>
      <c r="B1453" s="65"/>
      <c r="C1453" s="65"/>
      <c r="D1453" s="2"/>
      <c r="E1453" s="2"/>
      <c r="F1453" s="2"/>
    </row>
    <row r="1454" spans="1:6" x14ac:dyDescent="0.3">
      <c r="A1454" s="63"/>
      <c r="B1454" s="64"/>
      <c r="C1454" s="64"/>
      <c r="D1454" s="64"/>
      <c r="E1454" s="63"/>
      <c r="F1454" s="64"/>
    </row>
    <row r="1455" spans="1:6" x14ac:dyDescent="0.3">
      <c r="A1455" s="2"/>
      <c r="B1455" s="65"/>
      <c r="C1455" s="65"/>
      <c r="D1455" s="2"/>
      <c r="E1455" s="2"/>
      <c r="F1455" s="2"/>
    </row>
    <row r="1456" spans="1:6" x14ac:dyDescent="0.3">
      <c r="A1456" s="63"/>
      <c r="B1456" s="64"/>
      <c r="C1456" s="64"/>
      <c r="D1456" s="64"/>
      <c r="E1456" s="63"/>
      <c r="F1456" s="64"/>
    </row>
    <row r="1457" spans="1:6" x14ac:dyDescent="0.3">
      <c r="A1457" s="2"/>
      <c r="B1457" s="65"/>
      <c r="C1457" s="65"/>
      <c r="D1457" s="2"/>
      <c r="E1457" s="2"/>
      <c r="F1457" s="2"/>
    </row>
    <row r="1458" spans="1:6" x14ac:dyDescent="0.3">
      <c r="A1458" s="63"/>
      <c r="B1458" s="64"/>
      <c r="C1458" s="64"/>
      <c r="D1458" s="64"/>
      <c r="E1458" s="63"/>
      <c r="F1458" s="64"/>
    </row>
    <row r="1459" spans="1:6" x14ac:dyDescent="0.3">
      <c r="A1459" s="2"/>
      <c r="B1459" s="65"/>
      <c r="C1459" s="65"/>
      <c r="D1459" s="2"/>
      <c r="E1459" s="2"/>
      <c r="F1459" s="2"/>
    </row>
    <row r="1460" spans="1:6" x14ac:dyDescent="0.3">
      <c r="A1460" s="63"/>
      <c r="B1460" s="64"/>
      <c r="C1460" s="64"/>
      <c r="D1460" s="64"/>
      <c r="E1460" s="63"/>
      <c r="F1460" s="64"/>
    </row>
    <row r="1461" spans="1:6" x14ac:dyDescent="0.3">
      <c r="A1461" s="2"/>
      <c r="B1461" s="65"/>
      <c r="C1461" s="65"/>
      <c r="D1461" s="2"/>
      <c r="E1461" s="2"/>
      <c r="F1461" s="2"/>
    </row>
    <row r="1462" spans="1:6" x14ac:dyDescent="0.3">
      <c r="A1462" s="63"/>
      <c r="B1462" s="64"/>
      <c r="C1462" s="64"/>
      <c r="D1462" s="64"/>
      <c r="E1462" s="63"/>
      <c r="F1462" s="64"/>
    </row>
    <row r="1463" spans="1:6" x14ac:dyDescent="0.3">
      <c r="A1463" s="2"/>
      <c r="B1463" s="65"/>
      <c r="C1463" s="65"/>
      <c r="D1463" s="2"/>
      <c r="E1463" s="2"/>
      <c r="F1463" s="2"/>
    </row>
    <row r="1464" spans="1:6" x14ac:dyDescent="0.3">
      <c r="A1464" s="63"/>
      <c r="B1464" s="64"/>
      <c r="C1464" s="64"/>
      <c r="D1464" s="64"/>
      <c r="E1464" s="63"/>
      <c r="F1464" s="64"/>
    </row>
    <row r="1465" spans="1:6" x14ac:dyDescent="0.3">
      <c r="A1465" s="2"/>
      <c r="B1465" s="65"/>
      <c r="C1465" s="65"/>
      <c r="D1465" s="2"/>
      <c r="E1465" s="2"/>
      <c r="F1465" s="2"/>
    </row>
    <row r="1466" spans="1:6" x14ac:dyDescent="0.3">
      <c r="A1466" s="63"/>
      <c r="B1466" s="64"/>
      <c r="C1466" s="64"/>
      <c r="D1466" s="64"/>
      <c r="E1466" s="63"/>
      <c r="F1466" s="64"/>
    </row>
    <row r="1467" spans="1:6" x14ac:dyDescent="0.3">
      <c r="A1467" s="2"/>
      <c r="B1467" s="65"/>
      <c r="C1467" s="65"/>
      <c r="D1467" s="2"/>
      <c r="E1467" s="2"/>
      <c r="F1467" s="2"/>
    </row>
    <row r="1468" spans="1:6" x14ac:dyDescent="0.3">
      <c r="A1468" s="63"/>
      <c r="B1468" s="64"/>
      <c r="C1468" s="64"/>
      <c r="D1468" s="64"/>
      <c r="E1468" s="63"/>
      <c r="F1468" s="64"/>
    </row>
    <row r="1469" spans="1:6" x14ac:dyDescent="0.3">
      <c r="A1469" s="2"/>
      <c r="B1469" s="65"/>
      <c r="C1469" s="65"/>
      <c r="D1469" s="2"/>
      <c r="E1469" s="2"/>
      <c r="F1469" s="2"/>
    </row>
    <row r="1470" spans="1:6" x14ac:dyDescent="0.3">
      <c r="A1470" s="63"/>
      <c r="B1470" s="64"/>
      <c r="C1470" s="64"/>
      <c r="D1470" s="64"/>
      <c r="E1470" s="63"/>
      <c r="F1470" s="64"/>
    </row>
    <row r="1471" spans="1:6" x14ac:dyDescent="0.3">
      <c r="A1471" s="2"/>
      <c r="B1471" s="65"/>
      <c r="C1471" s="65"/>
      <c r="D1471" s="2"/>
      <c r="E1471" s="2"/>
      <c r="F1471" s="2"/>
    </row>
    <row r="1472" spans="1:6" x14ac:dyDescent="0.3">
      <c r="A1472" s="63"/>
      <c r="B1472" s="64"/>
      <c r="C1472" s="64"/>
      <c r="D1472" s="64"/>
      <c r="E1472" s="63"/>
      <c r="F1472" s="64"/>
    </row>
    <row r="1473" spans="1:6" x14ac:dyDescent="0.3">
      <c r="A1473" s="2"/>
      <c r="B1473" s="65"/>
      <c r="C1473" s="65"/>
      <c r="D1473" s="2"/>
      <c r="E1473" s="2"/>
      <c r="F1473" s="2"/>
    </row>
    <row r="1474" spans="1:6" x14ac:dyDescent="0.3">
      <c r="A1474" s="63"/>
      <c r="B1474" s="64"/>
      <c r="C1474" s="64"/>
      <c r="D1474" s="64"/>
      <c r="E1474" s="63"/>
      <c r="F1474" s="64"/>
    </row>
    <row r="1475" spans="1:6" x14ac:dyDescent="0.3">
      <c r="A1475" s="2"/>
      <c r="B1475" s="65"/>
      <c r="C1475" s="65"/>
      <c r="D1475" s="2"/>
      <c r="E1475" s="2"/>
      <c r="F1475" s="2"/>
    </row>
    <row r="1476" spans="1:6" x14ac:dyDescent="0.3">
      <c r="A1476" s="63"/>
      <c r="B1476" s="64"/>
      <c r="C1476" s="64"/>
      <c r="D1476" s="64"/>
      <c r="E1476" s="63"/>
      <c r="F1476" s="64"/>
    </row>
    <row r="1477" spans="1:6" x14ac:dyDescent="0.3">
      <c r="A1477" s="2"/>
      <c r="B1477" s="65"/>
      <c r="C1477" s="65"/>
      <c r="D1477" s="2"/>
      <c r="E1477" s="2"/>
      <c r="F1477" s="2"/>
    </row>
    <row r="1478" spans="1:6" x14ac:dyDescent="0.3">
      <c r="A1478" s="63"/>
      <c r="B1478" s="64"/>
      <c r="C1478" s="64"/>
      <c r="D1478" s="64"/>
      <c r="E1478" s="63"/>
      <c r="F1478" s="64"/>
    </row>
    <row r="1479" spans="1:6" x14ac:dyDescent="0.3">
      <c r="A1479" s="2"/>
      <c r="B1479" s="65"/>
      <c r="C1479" s="65"/>
      <c r="D1479" s="2"/>
      <c r="E1479" s="2"/>
      <c r="F1479" s="2"/>
    </row>
    <row r="1480" spans="1:6" x14ac:dyDescent="0.3">
      <c r="A1480" s="63"/>
      <c r="B1480" s="64"/>
      <c r="C1480" s="64"/>
      <c r="D1480" s="64"/>
      <c r="E1480" s="63"/>
      <c r="F1480" s="64"/>
    </row>
    <row r="1481" spans="1:6" x14ac:dyDescent="0.3">
      <c r="A1481" s="2"/>
      <c r="B1481" s="65"/>
      <c r="C1481" s="65"/>
      <c r="D1481" s="2"/>
      <c r="E1481" s="2"/>
      <c r="F1481" s="2"/>
    </row>
    <row r="1482" spans="1:6" x14ac:dyDescent="0.3">
      <c r="A1482" s="63"/>
      <c r="B1482" s="64"/>
      <c r="C1482" s="64"/>
      <c r="D1482" s="64"/>
      <c r="E1482" s="63"/>
      <c r="F1482" s="64"/>
    </row>
    <row r="1483" spans="1:6" x14ac:dyDescent="0.3">
      <c r="A1483" s="2"/>
      <c r="B1483" s="65"/>
      <c r="C1483" s="65"/>
      <c r="D1483" s="2"/>
      <c r="E1483" s="2"/>
      <c r="F1483" s="2"/>
    </row>
    <row r="1484" spans="1:6" x14ac:dyDescent="0.3">
      <c r="A1484" s="63"/>
      <c r="B1484" s="64"/>
      <c r="C1484" s="64"/>
      <c r="D1484" s="64"/>
      <c r="E1484" s="63"/>
      <c r="F1484" s="64"/>
    </row>
    <row r="1485" spans="1:6" x14ac:dyDescent="0.3">
      <c r="A1485" s="2"/>
      <c r="B1485" s="65"/>
      <c r="C1485" s="65"/>
      <c r="D1485" s="2"/>
      <c r="E1485" s="2"/>
      <c r="F1485" s="2"/>
    </row>
    <row r="1486" spans="1:6" x14ac:dyDescent="0.3">
      <c r="A1486" s="63"/>
      <c r="B1486" s="64"/>
      <c r="C1486" s="64"/>
      <c r="D1486" s="64"/>
      <c r="E1486" s="63"/>
      <c r="F1486" s="64"/>
    </row>
    <row r="1487" spans="1:6" x14ac:dyDescent="0.3">
      <c r="A1487" s="2"/>
      <c r="B1487" s="65"/>
      <c r="C1487" s="65"/>
      <c r="D1487" s="2"/>
      <c r="E1487" s="2"/>
      <c r="F1487" s="2"/>
    </row>
    <row r="1488" spans="1:6" x14ac:dyDescent="0.3">
      <c r="A1488" s="63"/>
      <c r="B1488" s="64"/>
      <c r="C1488" s="64"/>
      <c r="D1488" s="64"/>
      <c r="E1488" s="63"/>
      <c r="F1488" s="64"/>
    </row>
    <row r="1489" spans="1:6" x14ac:dyDescent="0.3">
      <c r="A1489" s="2"/>
      <c r="B1489" s="65"/>
      <c r="C1489" s="65"/>
      <c r="D1489" s="2"/>
      <c r="E1489" s="2"/>
      <c r="F1489" s="2"/>
    </row>
    <row r="1490" spans="1:6" x14ac:dyDescent="0.3">
      <c r="A1490" s="63"/>
      <c r="B1490" s="64"/>
      <c r="C1490" s="64"/>
      <c r="D1490" s="64"/>
      <c r="E1490" s="63"/>
      <c r="F1490" s="64"/>
    </row>
    <row r="1491" spans="1:6" x14ac:dyDescent="0.3">
      <c r="A1491" s="2"/>
      <c r="B1491" s="65"/>
      <c r="C1491" s="65"/>
      <c r="D1491" s="2"/>
      <c r="E1491" s="2"/>
      <c r="F1491" s="2"/>
    </row>
    <row r="1492" spans="1:6" x14ac:dyDescent="0.3">
      <c r="A1492" s="63"/>
      <c r="B1492" s="64"/>
      <c r="C1492" s="64"/>
      <c r="D1492" s="64"/>
      <c r="E1492" s="63"/>
      <c r="F1492" s="64"/>
    </row>
    <row r="1493" spans="1:6" x14ac:dyDescent="0.3">
      <c r="A1493" s="2"/>
      <c r="B1493" s="65"/>
      <c r="C1493" s="65"/>
      <c r="D1493" s="2"/>
      <c r="E1493" s="2"/>
      <c r="F1493" s="2"/>
    </row>
    <row r="1494" spans="1:6" x14ac:dyDescent="0.3">
      <c r="A1494" s="63"/>
      <c r="B1494" s="64"/>
      <c r="C1494" s="64"/>
      <c r="D1494" s="64"/>
      <c r="E1494" s="63"/>
      <c r="F1494" s="64"/>
    </row>
    <row r="1495" spans="1:6" x14ac:dyDescent="0.3">
      <c r="A1495" s="2"/>
      <c r="B1495" s="65"/>
      <c r="C1495" s="65"/>
      <c r="D1495" s="2"/>
      <c r="E1495" s="2"/>
      <c r="F1495" s="2"/>
    </row>
    <row r="1496" spans="1:6" x14ac:dyDescent="0.3">
      <c r="A1496" s="63"/>
      <c r="B1496" s="64"/>
      <c r="C1496" s="64"/>
      <c r="D1496" s="64"/>
      <c r="E1496" s="63"/>
      <c r="F1496" s="64"/>
    </row>
    <row r="1497" spans="1:6" x14ac:dyDescent="0.3">
      <c r="A1497" s="2"/>
      <c r="B1497" s="65"/>
      <c r="C1497" s="65"/>
      <c r="D1497" s="2"/>
      <c r="E1497" s="2"/>
      <c r="F1497" s="2"/>
    </row>
    <row r="1498" spans="1:6" x14ac:dyDescent="0.3">
      <c r="A1498" s="63"/>
      <c r="B1498" s="64"/>
      <c r="C1498" s="64"/>
      <c r="D1498" s="64"/>
      <c r="E1498" s="63"/>
      <c r="F1498" s="64"/>
    </row>
    <row r="1499" spans="1:6" x14ac:dyDescent="0.3">
      <c r="A1499" s="2"/>
      <c r="B1499" s="65"/>
      <c r="C1499" s="65"/>
      <c r="D1499" s="2"/>
      <c r="E1499" s="2"/>
      <c r="F1499" s="2"/>
    </row>
    <row r="1500" spans="1:6" x14ac:dyDescent="0.3">
      <c r="A1500" s="63"/>
      <c r="B1500" s="64"/>
      <c r="C1500" s="64"/>
      <c r="D1500" s="64"/>
      <c r="E1500" s="63"/>
      <c r="F1500" s="64"/>
    </row>
    <row r="1501" spans="1:6" x14ac:dyDescent="0.3">
      <c r="A1501" s="2"/>
      <c r="B1501" s="65"/>
      <c r="C1501" s="65"/>
      <c r="D1501" s="2"/>
      <c r="E1501" s="2"/>
      <c r="F1501" s="2"/>
    </row>
    <row r="1502" spans="1:6" x14ac:dyDescent="0.3">
      <c r="A1502" s="63"/>
      <c r="B1502" s="64"/>
      <c r="C1502" s="64"/>
      <c r="D1502" s="64"/>
      <c r="E1502" s="63"/>
      <c r="F1502" s="64"/>
    </row>
    <row r="1503" spans="1:6" x14ac:dyDescent="0.3">
      <c r="A1503" s="2"/>
      <c r="B1503" s="65"/>
      <c r="C1503" s="65"/>
      <c r="D1503" s="2"/>
      <c r="E1503" s="2"/>
      <c r="F1503" s="2"/>
    </row>
    <row r="1504" spans="1:6" x14ac:dyDescent="0.3">
      <c r="A1504" s="63"/>
      <c r="B1504" s="64"/>
      <c r="C1504" s="64"/>
      <c r="D1504" s="64"/>
      <c r="E1504" s="63"/>
      <c r="F1504" s="64"/>
    </row>
    <row r="1505" spans="1:6" x14ac:dyDescent="0.3">
      <c r="A1505" s="2"/>
      <c r="B1505" s="65"/>
      <c r="C1505" s="65"/>
      <c r="D1505" s="2"/>
      <c r="E1505" s="2"/>
      <c r="F1505" s="2"/>
    </row>
    <row r="1506" spans="1:6" x14ac:dyDescent="0.3">
      <c r="A1506" s="63"/>
      <c r="B1506" s="64"/>
      <c r="C1506" s="64"/>
      <c r="D1506" s="64"/>
      <c r="E1506" s="63"/>
      <c r="F1506" s="64"/>
    </row>
    <row r="1507" spans="1:6" x14ac:dyDescent="0.3">
      <c r="A1507" s="2"/>
      <c r="B1507" s="65"/>
      <c r="C1507" s="65"/>
      <c r="D1507" s="2"/>
      <c r="E1507" s="2"/>
      <c r="F1507" s="2"/>
    </row>
    <row r="1508" spans="1:6" x14ac:dyDescent="0.3">
      <c r="A1508" s="63"/>
      <c r="B1508" s="64"/>
      <c r="C1508" s="64"/>
      <c r="D1508" s="64"/>
      <c r="E1508" s="63"/>
      <c r="F1508" s="64"/>
    </row>
    <row r="1509" spans="1:6" x14ac:dyDescent="0.3">
      <c r="A1509" s="2"/>
      <c r="B1509" s="65"/>
      <c r="C1509" s="65"/>
      <c r="D1509" s="2"/>
      <c r="E1509" s="2"/>
      <c r="F1509" s="2"/>
    </row>
    <row r="1510" spans="1:6" x14ac:dyDescent="0.3">
      <c r="A1510" s="63"/>
      <c r="B1510" s="64"/>
      <c r="C1510" s="64"/>
      <c r="D1510" s="64"/>
      <c r="E1510" s="63"/>
      <c r="F1510" s="64"/>
    </row>
    <row r="1511" spans="1:6" x14ac:dyDescent="0.3">
      <c r="A1511" s="2"/>
      <c r="B1511" s="65"/>
      <c r="C1511" s="65"/>
      <c r="D1511" s="2"/>
      <c r="E1511" s="2"/>
      <c r="F1511" s="2"/>
    </row>
    <row r="1512" spans="1:6" x14ac:dyDescent="0.3">
      <c r="A1512" s="63"/>
      <c r="B1512" s="64"/>
      <c r="C1512" s="64"/>
      <c r="D1512" s="64"/>
      <c r="E1512" s="63"/>
      <c r="F1512" s="64"/>
    </row>
    <row r="1513" spans="1:6" x14ac:dyDescent="0.3">
      <c r="A1513" s="2"/>
      <c r="B1513" s="65"/>
      <c r="C1513" s="65"/>
      <c r="D1513" s="2"/>
      <c r="E1513" s="2"/>
      <c r="F1513" s="2"/>
    </row>
    <row r="1514" spans="1:6" x14ac:dyDescent="0.3">
      <c r="A1514" s="63"/>
      <c r="B1514" s="64"/>
      <c r="C1514" s="64"/>
      <c r="D1514" s="64"/>
      <c r="E1514" s="63"/>
      <c r="F1514" s="64"/>
    </row>
    <row r="1515" spans="1:6" x14ac:dyDescent="0.3">
      <c r="A1515" s="2"/>
      <c r="B1515" s="65"/>
      <c r="C1515" s="65"/>
      <c r="D1515" s="2"/>
      <c r="E1515" s="2"/>
      <c r="F1515" s="2"/>
    </row>
    <row r="1516" spans="1:6" x14ac:dyDescent="0.3">
      <c r="A1516" s="63"/>
      <c r="B1516" s="64"/>
      <c r="C1516" s="64"/>
      <c r="D1516" s="64"/>
      <c r="E1516" s="63"/>
      <c r="F1516" s="64"/>
    </row>
    <row r="1517" spans="1:6" x14ac:dyDescent="0.3">
      <c r="A1517" s="2"/>
      <c r="B1517" s="65"/>
      <c r="C1517" s="65"/>
      <c r="D1517" s="2"/>
      <c r="E1517" s="2"/>
      <c r="F1517" s="2"/>
    </row>
    <row r="1518" spans="1:6" x14ac:dyDescent="0.3">
      <c r="A1518" s="63"/>
      <c r="B1518" s="64"/>
      <c r="C1518" s="64"/>
      <c r="D1518" s="64"/>
      <c r="E1518" s="63"/>
      <c r="F1518" s="64"/>
    </row>
    <row r="1519" spans="1:6" x14ac:dyDescent="0.3">
      <c r="A1519" s="2"/>
      <c r="B1519" s="65"/>
      <c r="C1519" s="65"/>
      <c r="D1519" s="2"/>
      <c r="E1519" s="2"/>
      <c r="F1519" s="2"/>
    </row>
    <row r="1520" spans="1:6" x14ac:dyDescent="0.3">
      <c r="A1520" s="63"/>
      <c r="B1520" s="64"/>
      <c r="C1520" s="64"/>
      <c r="D1520" s="64"/>
      <c r="E1520" s="63"/>
      <c r="F1520" s="64"/>
    </row>
    <row r="1521" spans="1:6" x14ac:dyDescent="0.3">
      <c r="A1521" s="2"/>
      <c r="B1521" s="65"/>
      <c r="C1521" s="65"/>
      <c r="D1521" s="2"/>
      <c r="E1521" s="2"/>
      <c r="F1521" s="2"/>
    </row>
    <row r="1522" spans="1:6" x14ac:dyDescent="0.3">
      <c r="A1522" s="63"/>
      <c r="B1522" s="64"/>
      <c r="C1522" s="64"/>
      <c r="D1522" s="64"/>
      <c r="E1522" s="63"/>
      <c r="F1522" s="64"/>
    </row>
    <row r="1523" spans="1:6" x14ac:dyDescent="0.3">
      <c r="A1523" s="2"/>
      <c r="B1523" s="65"/>
      <c r="C1523" s="65"/>
      <c r="D1523" s="2"/>
      <c r="E1523" s="2"/>
      <c r="F1523" s="2"/>
    </row>
    <row r="1524" spans="1:6" x14ac:dyDescent="0.3">
      <c r="A1524" s="63"/>
      <c r="B1524" s="64"/>
      <c r="C1524" s="64"/>
      <c r="D1524" s="64"/>
      <c r="E1524" s="63"/>
      <c r="F1524" s="64"/>
    </row>
    <row r="1525" spans="1:6" x14ac:dyDescent="0.3">
      <c r="A1525" s="2"/>
      <c r="B1525" s="65"/>
      <c r="C1525" s="65"/>
      <c r="D1525" s="2"/>
      <c r="E1525" s="2"/>
      <c r="F1525" s="2"/>
    </row>
    <row r="1526" spans="1:6" x14ac:dyDescent="0.3">
      <c r="A1526" s="63"/>
      <c r="B1526" s="64"/>
      <c r="C1526" s="64"/>
      <c r="D1526" s="64"/>
      <c r="E1526" s="63"/>
      <c r="F1526" s="64"/>
    </row>
    <row r="1527" spans="1:6" x14ac:dyDescent="0.3">
      <c r="A1527" s="2"/>
      <c r="B1527" s="65"/>
      <c r="C1527" s="65"/>
      <c r="D1527" s="2"/>
      <c r="E1527" s="2"/>
      <c r="F1527" s="2"/>
    </row>
    <row r="1528" spans="1:6" x14ac:dyDescent="0.3">
      <c r="A1528" s="63"/>
      <c r="B1528" s="64"/>
      <c r="C1528" s="64"/>
      <c r="D1528" s="64"/>
      <c r="E1528" s="63"/>
      <c r="F1528" s="64"/>
    </row>
    <row r="1529" spans="1:6" x14ac:dyDescent="0.3">
      <c r="A1529" s="2"/>
      <c r="B1529" s="65"/>
      <c r="C1529" s="65"/>
      <c r="D1529" s="2"/>
      <c r="E1529" s="2"/>
      <c r="F1529" s="2"/>
    </row>
    <row r="1530" spans="1:6" x14ac:dyDescent="0.3">
      <c r="A1530" s="63"/>
      <c r="B1530" s="64"/>
      <c r="C1530" s="64"/>
      <c r="D1530" s="64"/>
      <c r="E1530" s="63"/>
      <c r="F1530" s="64"/>
    </row>
    <row r="1531" spans="1:6" x14ac:dyDescent="0.3">
      <c r="A1531" s="2"/>
      <c r="B1531" s="65"/>
      <c r="C1531" s="65"/>
      <c r="D1531" s="2"/>
      <c r="E1531" s="2"/>
      <c r="F1531" s="2"/>
    </row>
    <row r="1532" spans="1:6" x14ac:dyDescent="0.3">
      <c r="A1532" s="63"/>
      <c r="B1532" s="64"/>
      <c r="C1532" s="64"/>
      <c r="D1532" s="64"/>
      <c r="E1532" s="63"/>
      <c r="F1532" s="64"/>
    </row>
    <row r="1533" spans="1:6" x14ac:dyDescent="0.3">
      <c r="A1533" s="2"/>
      <c r="B1533" s="65"/>
      <c r="C1533" s="65"/>
      <c r="D1533" s="2"/>
      <c r="E1533" s="2"/>
      <c r="F1533" s="2"/>
    </row>
    <row r="1534" spans="1:6" x14ac:dyDescent="0.3">
      <c r="A1534" s="63"/>
      <c r="B1534" s="64"/>
      <c r="C1534" s="64"/>
      <c r="D1534" s="64"/>
      <c r="E1534" s="63"/>
      <c r="F1534" s="64"/>
    </row>
    <row r="1535" spans="1:6" x14ac:dyDescent="0.3">
      <c r="A1535" s="2"/>
      <c r="B1535" s="65"/>
      <c r="C1535" s="65"/>
      <c r="D1535" s="2"/>
      <c r="E1535" s="2"/>
      <c r="F1535" s="2"/>
    </row>
    <row r="1536" spans="1:6" x14ac:dyDescent="0.3">
      <c r="A1536" s="63"/>
      <c r="B1536" s="64"/>
      <c r="C1536" s="64"/>
      <c r="D1536" s="64"/>
      <c r="E1536" s="63"/>
      <c r="F1536" s="64"/>
    </row>
    <row r="1537" spans="1:6" x14ac:dyDescent="0.3">
      <c r="A1537" s="2"/>
      <c r="B1537" s="65"/>
      <c r="C1537" s="65"/>
      <c r="D1537" s="2"/>
      <c r="E1537" s="2"/>
      <c r="F1537" s="2"/>
    </row>
    <row r="1538" spans="1:6" x14ac:dyDescent="0.3">
      <c r="A1538" s="63"/>
      <c r="B1538" s="64"/>
      <c r="C1538" s="64"/>
      <c r="D1538" s="64"/>
      <c r="E1538" s="63"/>
      <c r="F1538" s="64"/>
    </row>
    <row r="1539" spans="1:6" x14ac:dyDescent="0.3">
      <c r="A1539" s="2"/>
      <c r="B1539" s="65"/>
      <c r="C1539" s="65"/>
      <c r="D1539" s="2"/>
      <c r="E1539" s="2"/>
      <c r="F1539" s="2"/>
    </row>
    <row r="1540" spans="1:6" x14ac:dyDescent="0.3">
      <c r="A1540" s="63"/>
      <c r="B1540" s="64"/>
      <c r="C1540" s="64"/>
      <c r="D1540" s="64"/>
      <c r="E1540" s="63"/>
      <c r="F1540" s="64"/>
    </row>
    <row r="1541" spans="1:6" x14ac:dyDescent="0.3">
      <c r="A1541" s="2"/>
      <c r="B1541" s="65"/>
      <c r="C1541" s="65"/>
      <c r="D1541" s="2"/>
      <c r="E1541" s="2"/>
      <c r="F1541" s="2"/>
    </row>
    <row r="1542" spans="1:6" x14ac:dyDescent="0.3">
      <c r="A1542" s="63"/>
      <c r="B1542" s="64"/>
      <c r="C1542" s="64"/>
      <c r="D1542" s="64"/>
      <c r="E1542" s="63"/>
      <c r="F1542" s="64"/>
    </row>
    <row r="1543" spans="1:6" x14ac:dyDescent="0.3">
      <c r="A1543" s="2"/>
      <c r="B1543" s="65"/>
      <c r="C1543" s="65"/>
      <c r="D1543" s="2"/>
      <c r="E1543" s="2"/>
      <c r="F1543" s="2"/>
    </row>
    <row r="1544" spans="1:6" x14ac:dyDescent="0.3">
      <c r="A1544" s="63"/>
      <c r="B1544" s="64"/>
      <c r="C1544" s="64"/>
      <c r="D1544" s="64"/>
      <c r="E1544" s="63"/>
      <c r="F1544" s="64"/>
    </row>
    <row r="1545" spans="1:6" x14ac:dyDescent="0.3">
      <c r="A1545" s="2"/>
      <c r="B1545" s="65"/>
      <c r="C1545" s="65"/>
      <c r="D1545" s="2"/>
      <c r="E1545" s="2"/>
      <c r="F1545" s="2"/>
    </row>
    <row r="1546" spans="1:6" x14ac:dyDescent="0.3">
      <c r="A1546" s="63"/>
      <c r="B1546" s="64"/>
      <c r="C1546" s="64"/>
      <c r="D1546" s="64"/>
      <c r="E1546" s="63"/>
      <c r="F1546" s="64"/>
    </row>
    <row r="1547" spans="1:6" x14ac:dyDescent="0.3">
      <c r="A1547" s="2"/>
      <c r="B1547" s="65"/>
      <c r="C1547" s="65"/>
      <c r="D1547" s="2"/>
      <c r="E1547" s="2"/>
      <c r="F1547" s="2"/>
    </row>
    <row r="1548" spans="1:6" x14ac:dyDescent="0.3">
      <c r="A1548" s="63"/>
      <c r="B1548" s="64"/>
      <c r="C1548" s="64"/>
      <c r="D1548" s="64"/>
      <c r="E1548" s="63"/>
      <c r="F1548" s="64"/>
    </row>
    <row r="1549" spans="1:6" x14ac:dyDescent="0.3">
      <c r="A1549" s="2"/>
      <c r="B1549" s="65"/>
      <c r="C1549" s="65"/>
      <c r="D1549" s="2"/>
      <c r="E1549" s="2"/>
      <c r="F1549" s="2"/>
    </row>
    <row r="1550" spans="1:6" x14ac:dyDescent="0.3">
      <c r="A1550" s="63"/>
      <c r="B1550" s="64"/>
      <c r="C1550" s="64"/>
      <c r="D1550" s="64"/>
      <c r="E1550" s="63"/>
      <c r="F1550" s="64"/>
    </row>
    <row r="1551" spans="1:6" x14ac:dyDescent="0.3">
      <c r="A1551" s="2"/>
      <c r="B1551" s="65"/>
      <c r="C1551" s="65"/>
      <c r="D1551" s="2"/>
      <c r="E1551" s="2"/>
      <c r="F1551" s="2"/>
    </row>
    <row r="1552" spans="1:6" x14ac:dyDescent="0.3">
      <c r="A1552" s="63"/>
      <c r="B1552" s="64"/>
      <c r="C1552" s="64"/>
      <c r="D1552" s="64"/>
      <c r="E1552" s="63"/>
      <c r="F1552" s="64"/>
    </row>
    <row r="1553" spans="1:6" x14ac:dyDescent="0.3">
      <c r="A1553" s="2"/>
      <c r="B1553" s="65"/>
      <c r="C1553" s="65"/>
      <c r="D1553" s="2"/>
      <c r="E1553" s="2"/>
      <c r="F1553" s="2"/>
    </row>
    <row r="1554" spans="1:6" x14ac:dyDescent="0.3">
      <c r="A1554" s="63"/>
      <c r="B1554" s="64"/>
      <c r="C1554" s="64"/>
      <c r="D1554" s="64"/>
      <c r="E1554" s="63"/>
      <c r="F1554" s="64"/>
    </row>
    <row r="1555" spans="1:6" x14ac:dyDescent="0.3">
      <c r="A1555" s="2"/>
      <c r="B1555" s="65"/>
      <c r="C1555" s="65"/>
      <c r="D1555" s="2"/>
      <c r="E1555" s="2"/>
      <c r="F1555" s="2"/>
    </row>
    <row r="1556" spans="1:6" x14ac:dyDescent="0.3">
      <c r="A1556" s="63"/>
      <c r="B1556" s="64"/>
      <c r="C1556" s="64"/>
      <c r="D1556" s="64"/>
      <c r="E1556" s="63"/>
      <c r="F1556" s="64"/>
    </row>
    <row r="1557" spans="1:6" x14ac:dyDescent="0.3">
      <c r="A1557" s="2"/>
      <c r="B1557" s="65"/>
      <c r="C1557" s="65"/>
      <c r="D1557" s="2"/>
      <c r="E1557" s="2"/>
      <c r="F1557" s="2"/>
    </row>
    <row r="1558" spans="1:6" x14ac:dyDescent="0.3">
      <c r="A1558" s="63"/>
      <c r="B1558" s="64"/>
      <c r="C1558" s="64"/>
      <c r="D1558" s="64"/>
      <c r="E1558" s="63"/>
      <c r="F1558" s="64"/>
    </row>
    <row r="1559" spans="1:6" x14ac:dyDescent="0.3">
      <c r="A1559" s="2"/>
      <c r="B1559" s="65"/>
      <c r="C1559" s="65"/>
      <c r="D1559" s="2"/>
      <c r="E1559" s="2"/>
      <c r="F1559" s="2"/>
    </row>
    <row r="1560" spans="1:6" x14ac:dyDescent="0.3">
      <c r="A1560" s="63"/>
      <c r="B1560" s="64"/>
      <c r="C1560" s="64"/>
      <c r="D1560" s="64"/>
      <c r="E1560" s="63"/>
      <c r="F1560" s="64"/>
    </row>
    <row r="1561" spans="1:6" x14ac:dyDescent="0.3">
      <c r="A1561" s="2"/>
      <c r="B1561" s="65"/>
      <c r="C1561" s="65"/>
      <c r="D1561" s="2"/>
      <c r="E1561" s="2"/>
      <c r="F1561" s="2"/>
    </row>
    <row r="1562" spans="1:6" x14ac:dyDescent="0.3">
      <c r="A1562" s="63"/>
      <c r="B1562" s="64"/>
      <c r="C1562" s="64"/>
      <c r="D1562" s="64"/>
      <c r="E1562" s="63"/>
      <c r="F1562" s="64"/>
    </row>
    <row r="1563" spans="1:6" x14ac:dyDescent="0.3">
      <c r="A1563" s="2"/>
      <c r="B1563" s="65"/>
      <c r="C1563" s="65"/>
      <c r="D1563" s="2"/>
      <c r="E1563" s="2"/>
      <c r="F1563" s="2"/>
    </row>
    <row r="1564" spans="1:6" x14ac:dyDescent="0.3">
      <c r="A1564" s="63"/>
      <c r="B1564" s="64"/>
      <c r="C1564" s="64"/>
      <c r="D1564" s="64"/>
      <c r="E1564" s="63"/>
      <c r="F1564" s="64"/>
    </row>
    <row r="1565" spans="1:6" x14ac:dyDescent="0.3">
      <c r="A1565" s="2"/>
      <c r="B1565" s="65"/>
      <c r="C1565" s="65"/>
      <c r="D1565" s="2"/>
      <c r="E1565" s="2"/>
      <c r="F1565" s="2"/>
    </row>
    <row r="1566" spans="1:6" x14ac:dyDescent="0.3">
      <c r="A1566" s="63"/>
      <c r="B1566" s="64"/>
      <c r="C1566" s="64"/>
      <c r="D1566" s="64"/>
      <c r="E1566" s="63"/>
      <c r="F1566" s="64"/>
    </row>
    <row r="1567" spans="1:6" x14ac:dyDescent="0.3">
      <c r="A1567" s="2"/>
      <c r="B1567" s="65"/>
      <c r="C1567" s="65"/>
      <c r="D1567" s="2"/>
      <c r="E1567" s="2"/>
      <c r="F1567" s="2"/>
    </row>
    <row r="1568" spans="1:6" x14ac:dyDescent="0.3">
      <c r="A1568" s="63"/>
      <c r="B1568" s="64"/>
      <c r="C1568" s="64"/>
      <c r="D1568" s="64"/>
      <c r="E1568" s="63"/>
      <c r="F1568" s="64"/>
    </row>
    <row r="1569" spans="1:6" x14ac:dyDescent="0.3">
      <c r="A1569" s="2"/>
      <c r="B1569" s="65"/>
      <c r="C1569" s="65"/>
      <c r="D1569" s="2"/>
      <c r="E1569" s="2"/>
      <c r="F1569" s="2"/>
    </row>
    <row r="1570" spans="1:6" x14ac:dyDescent="0.3">
      <c r="A1570" s="63"/>
      <c r="B1570" s="64"/>
      <c r="C1570" s="64"/>
      <c r="D1570" s="64"/>
      <c r="E1570" s="63"/>
      <c r="F1570" s="64"/>
    </row>
    <row r="1571" spans="1:6" x14ac:dyDescent="0.3">
      <c r="A1571" s="2"/>
      <c r="B1571" s="65"/>
      <c r="C1571" s="65"/>
      <c r="D1571" s="2"/>
      <c r="E1571" s="2"/>
      <c r="F1571" s="2"/>
    </row>
    <row r="1572" spans="1:6" x14ac:dyDescent="0.3">
      <c r="A1572" s="63"/>
      <c r="B1572" s="64"/>
      <c r="C1572" s="64"/>
      <c r="D1572" s="64"/>
      <c r="E1572" s="63"/>
      <c r="F1572" s="64"/>
    </row>
    <row r="1573" spans="1:6" x14ac:dyDescent="0.3">
      <c r="A1573" s="2"/>
      <c r="B1573" s="65"/>
      <c r="C1573" s="65"/>
      <c r="D1573" s="2"/>
      <c r="E1573" s="2"/>
      <c r="F1573" s="2"/>
    </row>
    <row r="1574" spans="1:6" x14ac:dyDescent="0.3">
      <c r="A1574" s="63"/>
      <c r="B1574" s="64"/>
      <c r="C1574" s="64"/>
      <c r="D1574" s="64"/>
      <c r="E1574" s="63"/>
      <c r="F1574" s="64"/>
    </row>
    <row r="1575" spans="1:6" x14ac:dyDescent="0.3">
      <c r="A1575" s="2"/>
      <c r="B1575" s="65"/>
      <c r="C1575" s="65"/>
      <c r="D1575" s="2"/>
      <c r="E1575" s="2"/>
      <c r="F1575" s="2"/>
    </row>
    <row r="1576" spans="1:6" x14ac:dyDescent="0.3">
      <c r="A1576" s="63"/>
      <c r="B1576" s="64"/>
      <c r="C1576" s="64"/>
      <c r="D1576" s="64"/>
      <c r="E1576" s="63"/>
      <c r="F1576" s="64"/>
    </row>
    <row r="1577" spans="1:6" x14ac:dyDescent="0.3">
      <c r="A1577" s="2"/>
      <c r="B1577" s="65"/>
      <c r="C1577" s="65"/>
      <c r="D1577" s="2"/>
      <c r="E1577" s="2"/>
      <c r="F1577" s="2"/>
    </row>
    <row r="1578" spans="1:6" x14ac:dyDescent="0.3">
      <c r="A1578" s="63"/>
      <c r="B1578" s="64"/>
      <c r="C1578" s="64"/>
      <c r="D1578" s="64"/>
      <c r="E1578" s="63"/>
      <c r="F1578" s="64"/>
    </row>
    <row r="1579" spans="1:6" x14ac:dyDescent="0.3">
      <c r="A1579" s="2"/>
      <c r="B1579" s="65"/>
      <c r="C1579" s="65"/>
      <c r="D1579" s="2"/>
      <c r="E1579" s="2"/>
      <c r="F1579" s="2"/>
    </row>
    <row r="1580" spans="1:6" x14ac:dyDescent="0.3">
      <c r="A1580" s="63"/>
      <c r="B1580" s="64"/>
      <c r="C1580" s="64"/>
      <c r="D1580" s="64"/>
      <c r="E1580" s="63"/>
      <c r="F1580" s="64"/>
    </row>
    <row r="1581" spans="1:6" x14ac:dyDescent="0.3">
      <c r="A1581" s="2"/>
      <c r="B1581" s="65"/>
      <c r="C1581" s="65"/>
      <c r="D1581" s="2"/>
      <c r="E1581" s="2"/>
      <c r="F1581" s="2"/>
    </row>
    <row r="1582" spans="1:6" x14ac:dyDescent="0.3">
      <c r="A1582" s="63"/>
      <c r="B1582" s="64"/>
      <c r="C1582" s="64"/>
      <c r="D1582" s="64"/>
      <c r="E1582" s="63"/>
      <c r="F1582" s="64"/>
    </row>
    <row r="1583" spans="1:6" x14ac:dyDescent="0.3">
      <c r="A1583" s="2"/>
      <c r="B1583" s="65"/>
      <c r="C1583" s="65"/>
      <c r="D1583" s="2"/>
      <c r="E1583" s="2"/>
      <c r="F1583" s="2"/>
    </row>
    <row r="1584" spans="1:6" x14ac:dyDescent="0.3">
      <c r="A1584" s="63"/>
      <c r="B1584" s="64"/>
      <c r="C1584" s="64"/>
      <c r="D1584" s="64"/>
      <c r="E1584" s="63"/>
      <c r="F1584" s="64"/>
    </row>
    <row r="1585" spans="1:6" x14ac:dyDescent="0.3">
      <c r="A1585" s="2"/>
      <c r="B1585" s="65"/>
      <c r="C1585" s="65"/>
      <c r="D1585" s="2"/>
      <c r="E1585" s="2"/>
      <c r="F1585" s="2"/>
    </row>
    <row r="1586" spans="1:6" x14ac:dyDescent="0.3">
      <c r="A1586" s="63"/>
      <c r="B1586" s="64"/>
      <c r="C1586" s="64"/>
      <c r="D1586" s="64"/>
      <c r="E1586" s="63"/>
      <c r="F1586" s="64"/>
    </row>
    <row r="1587" spans="1:6" x14ac:dyDescent="0.3">
      <c r="A1587" s="2"/>
      <c r="B1587" s="65"/>
      <c r="C1587" s="65"/>
      <c r="D1587" s="2"/>
      <c r="E1587" s="2"/>
      <c r="F1587" s="2"/>
    </row>
    <row r="1588" spans="1:6" x14ac:dyDescent="0.3">
      <c r="A1588" s="63"/>
      <c r="B1588" s="64"/>
      <c r="C1588" s="64"/>
      <c r="D1588" s="64"/>
      <c r="E1588" s="63"/>
      <c r="F1588" s="64"/>
    </row>
    <row r="1589" spans="1:6" x14ac:dyDescent="0.3">
      <c r="A1589" s="2"/>
      <c r="B1589" s="65"/>
      <c r="C1589" s="65"/>
      <c r="D1589" s="2"/>
      <c r="E1589" s="2"/>
      <c r="F1589" s="2"/>
    </row>
    <row r="1590" spans="1:6" x14ac:dyDescent="0.3">
      <c r="A1590" s="63"/>
      <c r="B1590" s="64"/>
      <c r="C1590" s="64"/>
      <c r="D1590" s="64"/>
      <c r="E1590" s="63"/>
      <c r="F1590" s="64"/>
    </row>
    <row r="1591" spans="1:6" x14ac:dyDescent="0.3">
      <c r="A1591" s="2"/>
      <c r="B1591" s="65"/>
      <c r="C1591" s="65"/>
      <c r="D1591" s="2"/>
      <c r="E1591" s="2"/>
      <c r="F1591" s="2"/>
    </row>
    <row r="1592" spans="1:6" x14ac:dyDescent="0.3">
      <c r="A1592" s="63"/>
      <c r="B1592" s="64"/>
      <c r="C1592" s="64"/>
      <c r="D1592" s="64"/>
      <c r="E1592" s="63"/>
      <c r="F1592" s="64"/>
    </row>
    <row r="1593" spans="1:6" x14ac:dyDescent="0.3">
      <c r="A1593" s="2"/>
      <c r="B1593" s="65"/>
      <c r="C1593" s="65"/>
      <c r="D1593" s="2"/>
      <c r="E1593" s="2"/>
      <c r="F1593" s="2"/>
    </row>
    <row r="1594" spans="1:6" x14ac:dyDescent="0.3">
      <c r="A1594" s="63"/>
      <c r="B1594" s="64"/>
      <c r="C1594" s="64"/>
      <c r="D1594" s="64"/>
      <c r="E1594" s="63"/>
      <c r="F1594" s="64"/>
    </row>
    <row r="1595" spans="1:6" x14ac:dyDescent="0.3">
      <c r="A1595" s="2"/>
      <c r="B1595" s="65"/>
      <c r="C1595" s="65"/>
      <c r="D1595" s="2"/>
      <c r="E1595" s="2"/>
      <c r="F1595" s="2"/>
    </row>
    <row r="1596" spans="1:6" x14ac:dyDescent="0.3">
      <c r="A1596" s="63"/>
      <c r="B1596" s="64"/>
      <c r="C1596" s="64"/>
      <c r="D1596" s="64"/>
      <c r="E1596" s="63"/>
      <c r="F1596" s="64"/>
    </row>
    <row r="1597" spans="1:6" x14ac:dyDescent="0.3">
      <c r="A1597" s="2"/>
      <c r="B1597" s="65"/>
      <c r="C1597" s="65"/>
      <c r="D1597" s="2"/>
      <c r="E1597" s="2"/>
      <c r="F1597" s="2"/>
    </row>
    <row r="1598" spans="1:6" x14ac:dyDescent="0.3">
      <c r="A1598" s="63"/>
      <c r="B1598" s="64"/>
      <c r="C1598" s="64"/>
      <c r="D1598" s="64"/>
      <c r="E1598" s="63"/>
      <c r="F1598" s="64"/>
    </row>
    <row r="1599" spans="1:6" x14ac:dyDescent="0.3">
      <c r="A1599" s="2"/>
      <c r="B1599" s="65"/>
      <c r="C1599" s="65"/>
      <c r="D1599" s="2"/>
      <c r="E1599" s="2"/>
      <c r="F1599" s="2"/>
    </row>
    <row r="1600" spans="1:6" x14ac:dyDescent="0.3">
      <c r="A1600" s="63"/>
      <c r="B1600" s="64"/>
      <c r="C1600" s="64"/>
      <c r="D1600" s="64"/>
      <c r="E1600" s="63"/>
      <c r="F1600" s="64"/>
    </row>
    <row r="1601" spans="1:6" x14ac:dyDescent="0.3">
      <c r="A1601" s="2"/>
      <c r="B1601" s="65"/>
      <c r="C1601" s="65"/>
      <c r="D1601" s="2"/>
      <c r="E1601" s="2"/>
      <c r="F1601" s="2"/>
    </row>
    <row r="1602" spans="1:6" x14ac:dyDescent="0.3">
      <c r="A1602" s="63"/>
      <c r="B1602" s="64"/>
      <c r="C1602" s="64"/>
      <c r="D1602" s="64"/>
      <c r="E1602" s="63"/>
      <c r="F1602" s="64"/>
    </row>
    <row r="1603" spans="1:6" x14ac:dyDescent="0.3">
      <c r="A1603" s="2"/>
      <c r="B1603" s="65"/>
      <c r="C1603" s="65"/>
      <c r="D1603" s="2"/>
      <c r="E1603" s="2"/>
      <c r="F1603" s="2"/>
    </row>
    <row r="1604" spans="1:6" x14ac:dyDescent="0.3">
      <c r="A1604" s="63"/>
      <c r="B1604" s="64"/>
      <c r="C1604" s="64"/>
      <c r="D1604" s="64"/>
      <c r="E1604" s="63"/>
      <c r="F1604" s="64"/>
    </row>
    <row r="1605" spans="1:6" x14ac:dyDescent="0.3">
      <c r="A1605" s="2"/>
      <c r="B1605" s="65"/>
      <c r="C1605" s="65"/>
      <c r="D1605" s="2"/>
      <c r="E1605" s="2"/>
      <c r="F1605" s="2"/>
    </row>
    <row r="1606" spans="1:6" x14ac:dyDescent="0.3">
      <c r="A1606" s="63"/>
      <c r="B1606" s="64"/>
      <c r="C1606" s="64"/>
      <c r="D1606" s="64"/>
      <c r="E1606" s="63"/>
      <c r="F1606" s="64"/>
    </row>
    <row r="1607" spans="1:6" x14ac:dyDescent="0.3">
      <c r="A1607" s="2"/>
      <c r="B1607" s="65"/>
      <c r="C1607" s="65"/>
      <c r="D1607" s="2"/>
      <c r="E1607" s="2"/>
      <c r="F1607" s="2"/>
    </row>
    <row r="1608" spans="1:6" x14ac:dyDescent="0.3">
      <c r="A1608" s="63"/>
      <c r="B1608" s="64"/>
      <c r="C1608" s="64"/>
      <c r="D1608" s="64"/>
      <c r="E1608" s="63"/>
      <c r="F1608" s="64"/>
    </row>
    <row r="1609" spans="1:6" x14ac:dyDescent="0.3">
      <c r="A1609" s="2"/>
      <c r="B1609" s="65"/>
      <c r="C1609" s="65"/>
      <c r="D1609" s="2"/>
      <c r="E1609" s="2"/>
      <c r="F1609" s="2"/>
    </row>
    <row r="1610" spans="1:6" x14ac:dyDescent="0.3">
      <c r="A1610" s="63"/>
      <c r="B1610" s="64"/>
      <c r="C1610" s="64"/>
      <c r="D1610" s="64"/>
      <c r="E1610" s="63"/>
      <c r="F1610" s="64"/>
    </row>
    <row r="1611" spans="1:6" x14ac:dyDescent="0.3">
      <c r="A1611" s="2"/>
      <c r="B1611" s="65"/>
      <c r="C1611" s="65"/>
      <c r="D1611" s="2"/>
      <c r="E1611" s="2"/>
      <c r="F1611" s="2"/>
    </row>
    <row r="1612" spans="1:6" x14ac:dyDescent="0.3">
      <c r="A1612" s="63"/>
      <c r="B1612" s="64"/>
      <c r="C1612" s="64"/>
      <c r="D1612" s="64"/>
      <c r="E1612" s="63"/>
      <c r="F1612" s="64"/>
    </row>
    <row r="1613" spans="1:6" x14ac:dyDescent="0.3">
      <c r="A1613" s="2"/>
      <c r="B1613" s="65"/>
      <c r="C1613" s="65"/>
      <c r="D1613" s="2"/>
      <c r="E1613" s="2"/>
      <c r="F1613" s="2"/>
    </row>
    <row r="1614" spans="1:6" x14ac:dyDescent="0.3">
      <c r="A1614" s="63"/>
      <c r="B1614" s="64"/>
      <c r="C1614" s="64"/>
      <c r="D1614" s="64"/>
      <c r="E1614" s="63"/>
      <c r="F1614" s="64"/>
    </row>
    <row r="1615" spans="1:6" x14ac:dyDescent="0.3">
      <c r="A1615" s="2"/>
      <c r="B1615" s="65"/>
      <c r="C1615" s="65"/>
      <c r="D1615" s="2"/>
      <c r="E1615" s="2"/>
      <c r="F1615" s="2"/>
    </row>
    <row r="1616" spans="1:6" x14ac:dyDescent="0.3">
      <c r="A1616" s="63"/>
      <c r="B1616" s="64"/>
      <c r="C1616" s="64"/>
      <c r="D1616" s="64"/>
      <c r="E1616" s="63"/>
      <c r="F1616" s="64"/>
    </row>
    <row r="1617" spans="1:6" x14ac:dyDescent="0.3">
      <c r="A1617" s="2"/>
      <c r="B1617" s="65"/>
      <c r="C1617" s="65"/>
      <c r="D1617" s="2"/>
      <c r="E1617" s="2"/>
      <c r="F1617" s="2"/>
    </row>
    <row r="1618" spans="1:6" x14ac:dyDescent="0.3">
      <c r="A1618" s="63"/>
      <c r="B1618" s="64"/>
      <c r="C1618" s="64"/>
      <c r="D1618" s="64"/>
      <c r="E1618" s="63"/>
      <c r="F1618" s="64"/>
    </row>
    <row r="1619" spans="1:6" x14ac:dyDescent="0.3">
      <c r="A1619" s="2"/>
      <c r="B1619" s="65"/>
      <c r="C1619" s="65"/>
      <c r="D1619" s="2"/>
      <c r="E1619" s="2"/>
      <c r="F1619" s="2"/>
    </row>
    <row r="1620" spans="1:6" x14ac:dyDescent="0.3">
      <c r="A1620" s="63"/>
      <c r="B1620" s="64"/>
      <c r="C1620" s="64"/>
      <c r="D1620" s="64"/>
      <c r="E1620" s="63"/>
      <c r="F1620" s="64"/>
    </row>
    <row r="1621" spans="1:6" x14ac:dyDescent="0.3">
      <c r="A1621" s="2"/>
      <c r="B1621" s="65"/>
      <c r="C1621" s="65"/>
      <c r="D1621" s="2"/>
      <c r="E1621" s="2"/>
      <c r="F1621" s="2"/>
    </row>
    <row r="1622" spans="1:6" x14ac:dyDescent="0.3">
      <c r="A1622" s="63"/>
      <c r="B1622" s="64"/>
      <c r="C1622" s="64"/>
      <c r="D1622" s="64"/>
      <c r="E1622" s="63"/>
      <c r="F1622" s="64"/>
    </row>
    <row r="1623" spans="1:6" x14ac:dyDescent="0.3">
      <c r="A1623" s="2"/>
      <c r="B1623" s="65"/>
      <c r="C1623" s="65"/>
      <c r="D1623" s="2"/>
      <c r="E1623" s="2"/>
      <c r="F1623" s="2"/>
    </row>
    <row r="1624" spans="1:6" x14ac:dyDescent="0.3">
      <c r="A1624" s="63"/>
      <c r="B1624" s="64"/>
      <c r="C1624" s="64"/>
      <c r="D1624" s="64"/>
      <c r="E1624" s="63"/>
      <c r="F1624" s="64"/>
    </row>
    <row r="1625" spans="1:6" x14ac:dyDescent="0.3">
      <c r="A1625" s="2"/>
      <c r="B1625" s="65"/>
      <c r="C1625" s="65"/>
      <c r="D1625" s="2"/>
      <c r="E1625" s="2"/>
      <c r="F1625" s="2"/>
    </row>
    <row r="1626" spans="1:6" x14ac:dyDescent="0.3">
      <c r="A1626" s="63"/>
      <c r="B1626" s="64"/>
      <c r="C1626" s="64"/>
      <c r="D1626" s="64"/>
      <c r="E1626" s="63"/>
      <c r="F1626" s="64"/>
    </row>
    <row r="1627" spans="1:6" x14ac:dyDescent="0.3">
      <c r="A1627" s="2"/>
      <c r="B1627" s="65"/>
      <c r="C1627" s="65"/>
      <c r="D1627" s="2"/>
      <c r="E1627" s="2"/>
      <c r="F1627" s="2"/>
    </row>
    <row r="1628" spans="1:6" x14ac:dyDescent="0.3">
      <c r="A1628" s="63"/>
      <c r="B1628" s="64"/>
      <c r="C1628" s="64"/>
      <c r="D1628" s="64"/>
      <c r="E1628" s="63"/>
      <c r="F1628" s="64"/>
    </row>
    <row r="1629" spans="1:6" x14ac:dyDescent="0.3">
      <c r="A1629" s="2"/>
      <c r="B1629" s="65"/>
      <c r="C1629" s="65"/>
      <c r="D1629" s="2"/>
      <c r="E1629" s="2"/>
      <c r="F1629" s="2"/>
    </row>
    <row r="1630" spans="1:6" x14ac:dyDescent="0.3">
      <c r="A1630" s="63"/>
      <c r="B1630" s="64"/>
      <c r="C1630" s="64"/>
      <c r="D1630" s="64"/>
      <c r="E1630" s="63"/>
      <c r="F1630" s="64"/>
    </row>
    <row r="1631" spans="1:6" x14ac:dyDescent="0.3">
      <c r="A1631" s="2"/>
      <c r="B1631" s="65"/>
      <c r="C1631" s="65"/>
      <c r="D1631" s="2"/>
      <c r="E1631" s="2"/>
      <c r="F1631" s="2"/>
    </row>
    <row r="1632" spans="1:6" x14ac:dyDescent="0.3">
      <c r="A1632" s="63"/>
      <c r="B1632" s="64"/>
      <c r="C1632" s="64"/>
      <c r="D1632" s="64"/>
      <c r="E1632" s="63"/>
      <c r="F1632" s="64"/>
    </row>
    <row r="1633" spans="1:6" x14ac:dyDescent="0.3">
      <c r="A1633" s="2"/>
      <c r="B1633" s="65"/>
      <c r="C1633" s="65"/>
      <c r="D1633" s="2"/>
      <c r="E1633" s="2"/>
      <c r="F1633" s="2"/>
    </row>
    <row r="1634" spans="1:6" x14ac:dyDescent="0.3">
      <c r="A1634" s="63"/>
      <c r="B1634" s="64"/>
      <c r="C1634" s="64"/>
      <c r="D1634" s="64"/>
      <c r="E1634" s="63"/>
      <c r="F1634" s="64"/>
    </row>
    <row r="1635" spans="1:6" x14ac:dyDescent="0.3">
      <c r="A1635" s="2"/>
      <c r="B1635" s="65"/>
      <c r="C1635" s="65"/>
      <c r="D1635" s="2"/>
      <c r="E1635" s="2"/>
      <c r="F1635" s="2"/>
    </row>
    <row r="1636" spans="1:6" x14ac:dyDescent="0.3">
      <c r="A1636" s="63"/>
      <c r="B1636" s="64"/>
      <c r="C1636" s="64"/>
      <c r="D1636" s="64"/>
      <c r="E1636" s="63"/>
      <c r="F1636" s="64"/>
    </row>
    <row r="1637" spans="1:6" x14ac:dyDescent="0.3">
      <c r="A1637" s="2"/>
      <c r="B1637" s="65"/>
      <c r="C1637" s="65"/>
      <c r="D1637" s="2"/>
      <c r="E1637" s="2"/>
      <c r="F1637" s="2"/>
    </row>
    <row r="1638" spans="1:6" x14ac:dyDescent="0.3">
      <c r="A1638" s="63"/>
      <c r="B1638" s="64"/>
      <c r="C1638" s="64"/>
      <c r="D1638" s="64"/>
      <c r="E1638" s="63"/>
      <c r="F1638" s="64"/>
    </row>
    <row r="1639" spans="1:6" x14ac:dyDescent="0.3">
      <c r="A1639" s="2"/>
      <c r="B1639" s="65"/>
      <c r="C1639" s="65"/>
      <c r="D1639" s="2"/>
      <c r="E1639" s="2"/>
      <c r="F1639" s="2"/>
    </row>
    <row r="1640" spans="1:6" x14ac:dyDescent="0.3">
      <c r="A1640" s="63"/>
      <c r="B1640" s="64"/>
      <c r="C1640" s="64"/>
      <c r="D1640" s="64"/>
      <c r="E1640" s="63"/>
      <c r="F1640" s="64"/>
    </row>
    <row r="1641" spans="1:6" x14ac:dyDescent="0.3">
      <c r="A1641" s="2"/>
      <c r="B1641" s="65"/>
      <c r="C1641" s="65"/>
      <c r="D1641" s="2"/>
      <c r="E1641" s="2"/>
      <c r="F1641" s="2"/>
    </row>
    <row r="1642" spans="1:6" x14ac:dyDescent="0.3">
      <c r="A1642" s="63"/>
      <c r="B1642" s="64"/>
      <c r="C1642" s="64"/>
      <c r="D1642" s="64"/>
      <c r="E1642" s="63"/>
      <c r="F1642" s="64"/>
    </row>
    <row r="1643" spans="1:6" x14ac:dyDescent="0.3">
      <c r="A1643" s="2"/>
      <c r="B1643" s="65"/>
      <c r="C1643" s="65"/>
      <c r="D1643" s="2"/>
      <c r="E1643" s="2"/>
      <c r="F1643" s="2"/>
    </row>
    <row r="1644" spans="1:6" x14ac:dyDescent="0.3">
      <c r="A1644" s="63"/>
      <c r="B1644" s="64"/>
      <c r="C1644" s="64"/>
      <c r="D1644" s="64"/>
      <c r="E1644" s="63"/>
      <c r="F1644" s="64"/>
    </row>
    <row r="1645" spans="1:6" x14ac:dyDescent="0.3">
      <c r="A1645" s="2"/>
      <c r="B1645" s="65"/>
      <c r="C1645" s="65"/>
      <c r="D1645" s="2"/>
      <c r="E1645" s="2"/>
      <c r="F1645" s="2"/>
    </row>
    <row r="1646" spans="1:6" x14ac:dyDescent="0.3">
      <c r="A1646" s="63"/>
      <c r="B1646" s="64"/>
      <c r="C1646" s="64"/>
      <c r="D1646" s="64"/>
      <c r="E1646" s="63"/>
      <c r="F1646" s="64"/>
    </row>
    <row r="1647" spans="1:6" x14ac:dyDescent="0.3">
      <c r="A1647" s="2"/>
      <c r="B1647" s="65"/>
      <c r="C1647" s="65"/>
      <c r="D1647" s="2"/>
      <c r="E1647" s="2"/>
      <c r="F1647" s="2"/>
    </row>
    <row r="1648" spans="1:6" x14ac:dyDescent="0.3">
      <c r="A1648" s="63"/>
      <c r="B1648" s="64"/>
      <c r="C1648" s="64"/>
      <c r="D1648" s="64"/>
      <c r="E1648" s="63"/>
      <c r="F1648" s="64"/>
    </row>
    <row r="1649" spans="1:6" x14ac:dyDescent="0.3">
      <c r="A1649" s="2"/>
      <c r="B1649" s="65"/>
      <c r="C1649" s="65"/>
      <c r="D1649" s="2"/>
      <c r="E1649" s="2"/>
      <c r="F1649" s="2"/>
    </row>
    <row r="1650" spans="1:6" x14ac:dyDescent="0.3">
      <c r="A1650" s="63"/>
      <c r="B1650" s="64"/>
      <c r="C1650" s="64"/>
      <c r="D1650" s="64"/>
      <c r="E1650" s="63"/>
      <c r="F1650" s="64"/>
    </row>
    <row r="1651" spans="1:6" x14ac:dyDescent="0.3">
      <c r="A1651" s="2"/>
      <c r="B1651" s="65"/>
      <c r="C1651" s="65"/>
      <c r="D1651" s="2"/>
      <c r="E1651" s="2"/>
      <c r="F1651" s="2"/>
    </row>
    <row r="1652" spans="1:6" x14ac:dyDescent="0.3">
      <c r="A1652" s="63"/>
      <c r="B1652" s="64"/>
      <c r="C1652" s="64"/>
      <c r="D1652" s="64"/>
      <c r="E1652" s="63"/>
      <c r="F1652" s="64"/>
    </row>
    <row r="1653" spans="1:6" x14ac:dyDescent="0.3">
      <c r="A1653" s="2"/>
      <c r="B1653" s="65"/>
      <c r="C1653" s="65"/>
      <c r="D1653" s="2"/>
      <c r="E1653" s="2"/>
      <c r="F1653" s="2"/>
    </row>
    <row r="1654" spans="1:6" x14ac:dyDescent="0.3">
      <c r="A1654" s="63"/>
      <c r="B1654" s="64"/>
      <c r="C1654" s="64"/>
      <c r="D1654" s="64"/>
      <c r="E1654" s="63"/>
      <c r="F1654" s="64"/>
    </row>
    <row r="1655" spans="1:6" x14ac:dyDescent="0.3">
      <c r="A1655" s="2"/>
      <c r="B1655" s="65"/>
      <c r="C1655" s="65"/>
      <c r="D1655" s="2"/>
      <c r="E1655" s="2"/>
      <c r="F1655" s="2"/>
    </row>
    <row r="1656" spans="1:6" x14ac:dyDescent="0.3">
      <c r="A1656" s="63"/>
      <c r="B1656" s="64"/>
      <c r="C1656" s="64"/>
      <c r="D1656" s="64"/>
      <c r="E1656" s="63"/>
      <c r="F1656" s="64"/>
    </row>
    <row r="1657" spans="1:6" x14ac:dyDescent="0.3">
      <c r="A1657" s="2"/>
      <c r="B1657" s="65"/>
      <c r="C1657" s="65"/>
      <c r="D1657" s="2"/>
      <c r="E1657" s="2"/>
      <c r="F1657" s="2"/>
    </row>
    <row r="1658" spans="1:6" x14ac:dyDescent="0.3">
      <c r="A1658" s="63"/>
      <c r="B1658" s="64"/>
      <c r="C1658" s="64"/>
      <c r="D1658" s="64"/>
      <c r="E1658" s="63"/>
      <c r="F1658" s="64"/>
    </row>
    <row r="1659" spans="1:6" x14ac:dyDescent="0.3">
      <c r="A1659" s="2"/>
      <c r="B1659" s="65"/>
      <c r="C1659" s="65"/>
      <c r="D1659" s="2"/>
      <c r="E1659" s="2"/>
      <c r="F1659" s="2"/>
    </row>
    <row r="1660" spans="1:6" x14ac:dyDescent="0.3">
      <c r="A1660" s="63"/>
      <c r="B1660" s="64"/>
      <c r="C1660" s="64"/>
      <c r="D1660" s="64"/>
      <c r="E1660" s="63"/>
      <c r="F1660" s="64"/>
    </row>
    <row r="1661" spans="1:6" x14ac:dyDescent="0.3">
      <c r="A1661" s="2"/>
      <c r="B1661" s="65"/>
      <c r="C1661" s="65"/>
      <c r="D1661" s="2"/>
      <c r="E1661" s="2"/>
      <c r="F1661" s="2"/>
    </row>
    <row r="1662" spans="1:6" x14ac:dyDescent="0.3">
      <c r="A1662" s="63"/>
      <c r="B1662" s="64"/>
      <c r="C1662" s="64"/>
      <c r="D1662" s="64"/>
      <c r="E1662" s="63"/>
      <c r="F1662" s="64"/>
    </row>
    <row r="1663" spans="1:6" x14ac:dyDescent="0.3">
      <c r="A1663" s="2"/>
      <c r="B1663" s="65"/>
      <c r="C1663" s="65"/>
      <c r="D1663" s="2"/>
      <c r="E1663" s="2"/>
      <c r="F1663" s="2"/>
    </row>
    <row r="1664" spans="1:6" x14ac:dyDescent="0.3">
      <c r="A1664" s="63"/>
      <c r="B1664" s="64"/>
      <c r="C1664" s="64"/>
      <c r="D1664" s="64"/>
      <c r="E1664" s="63"/>
      <c r="F1664" s="64"/>
    </row>
    <row r="1665" spans="1:6" x14ac:dyDescent="0.3">
      <c r="A1665" s="2"/>
      <c r="B1665" s="65"/>
      <c r="C1665" s="65"/>
      <c r="D1665" s="2"/>
      <c r="E1665" s="2"/>
      <c r="F1665" s="2"/>
    </row>
    <row r="1666" spans="1:6" x14ac:dyDescent="0.3">
      <c r="A1666" s="63"/>
      <c r="B1666" s="64"/>
      <c r="C1666" s="64"/>
      <c r="D1666" s="64"/>
      <c r="E1666" s="63"/>
      <c r="F1666" s="64"/>
    </row>
    <row r="1667" spans="1:6" x14ac:dyDescent="0.3">
      <c r="A1667" s="2"/>
      <c r="B1667" s="65"/>
      <c r="C1667" s="65"/>
      <c r="D1667" s="2"/>
      <c r="E1667" s="2"/>
      <c r="F1667" s="2"/>
    </row>
    <row r="1668" spans="1:6" x14ac:dyDescent="0.3">
      <c r="A1668" s="63"/>
      <c r="B1668" s="64"/>
      <c r="C1668" s="64"/>
      <c r="D1668" s="64"/>
      <c r="E1668" s="63"/>
      <c r="F1668" s="64"/>
    </row>
    <row r="1669" spans="1:6" x14ac:dyDescent="0.3">
      <c r="A1669" s="2"/>
      <c r="B1669" s="65"/>
      <c r="C1669" s="65"/>
      <c r="D1669" s="2"/>
      <c r="E1669" s="2"/>
      <c r="F1669" s="2"/>
    </row>
    <row r="1670" spans="1:6" x14ac:dyDescent="0.3">
      <c r="A1670" s="63"/>
      <c r="B1670" s="64"/>
      <c r="C1670" s="64"/>
      <c r="D1670" s="64"/>
      <c r="E1670" s="63"/>
      <c r="F1670" s="64"/>
    </row>
    <row r="1671" spans="1:6" x14ac:dyDescent="0.3">
      <c r="A1671" s="2"/>
      <c r="B1671" s="65"/>
      <c r="C1671" s="65"/>
      <c r="D1671" s="2"/>
      <c r="E1671" s="2"/>
      <c r="F1671" s="2"/>
    </row>
    <row r="1672" spans="1:6" x14ac:dyDescent="0.3">
      <c r="A1672" s="63"/>
      <c r="B1672" s="64"/>
      <c r="C1672" s="64"/>
      <c r="D1672" s="64"/>
      <c r="E1672" s="63"/>
      <c r="F1672" s="64"/>
    </row>
    <row r="1673" spans="1:6" x14ac:dyDescent="0.3">
      <c r="A1673" s="2"/>
      <c r="B1673" s="65"/>
      <c r="C1673" s="65"/>
      <c r="D1673" s="2"/>
      <c r="E1673" s="2"/>
      <c r="F1673" s="2"/>
    </row>
    <row r="1674" spans="1:6" x14ac:dyDescent="0.3">
      <c r="A1674" s="63"/>
      <c r="B1674" s="64"/>
      <c r="C1674" s="64"/>
      <c r="D1674" s="64"/>
      <c r="E1674" s="63"/>
      <c r="F1674" s="64"/>
    </row>
    <row r="1675" spans="1:6" x14ac:dyDescent="0.3">
      <c r="A1675" s="2"/>
      <c r="B1675" s="65"/>
      <c r="C1675" s="65"/>
      <c r="D1675" s="2"/>
      <c r="E1675" s="2"/>
      <c r="F1675" s="2"/>
    </row>
    <row r="1676" spans="1:6" x14ac:dyDescent="0.3">
      <c r="A1676" s="63"/>
      <c r="B1676" s="64"/>
      <c r="C1676" s="64"/>
      <c r="D1676" s="64"/>
      <c r="E1676" s="63"/>
      <c r="F1676" s="64"/>
    </row>
    <row r="1677" spans="1:6" x14ac:dyDescent="0.3">
      <c r="A1677" s="2"/>
      <c r="B1677" s="65"/>
      <c r="C1677" s="65"/>
      <c r="D1677" s="2"/>
      <c r="E1677" s="2"/>
      <c r="F1677" s="2"/>
    </row>
    <row r="1678" spans="1:6" x14ac:dyDescent="0.3">
      <c r="A1678" s="63"/>
      <c r="B1678" s="64"/>
      <c r="C1678" s="64"/>
      <c r="D1678" s="64"/>
      <c r="E1678" s="63"/>
      <c r="F1678" s="64"/>
    </row>
    <row r="1679" spans="1:6" x14ac:dyDescent="0.3">
      <c r="A1679" s="2"/>
      <c r="B1679" s="65"/>
      <c r="C1679" s="65"/>
      <c r="D1679" s="2"/>
      <c r="E1679" s="2"/>
      <c r="F1679" s="2"/>
    </row>
    <row r="1680" spans="1:6" x14ac:dyDescent="0.3">
      <c r="A1680" s="63"/>
      <c r="B1680" s="64"/>
      <c r="C1680" s="64"/>
      <c r="D1680" s="64"/>
      <c r="E1680" s="63"/>
      <c r="F1680" s="64"/>
    </row>
    <row r="1681" spans="1:6" x14ac:dyDescent="0.3">
      <c r="A1681" s="2"/>
      <c r="B1681" s="65"/>
      <c r="C1681" s="65"/>
      <c r="D1681" s="2"/>
      <c r="E1681" s="2"/>
      <c r="F1681" s="2"/>
    </row>
    <row r="1682" spans="1:6" x14ac:dyDescent="0.3">
      <c r="A1682" s="63"/>
      <c r="B1682" s="64"/>
      <c r="C1682" s="64"/>
      <c r="D1682" s="64"/>
      <c r="E1682" s="63"/>
      <c r="F1682" s="64"/>
    </row>
    <row r="1683" spans="1:6" x14ac:dyDescent="0.3">
      <c r="A1683" s="2"/>
      <c r="B1683" s="65"/>
      <c r="C1683" s="65"/>
      <c r="D1683" s="2"/>
      <c r="E1683" s="2"/>
      <c r="F1683" s="2"/>
    </row>
    <row r="1684" spans="1:6" x14ac:dyDescent="0.3">
      <c r="A1684" s="63"/>
      <c r="B1684" s="64"/>
      <c r="C1684" s="64"/>
      <c r="D1684" s="64"/>
      <c r="E1684" s="63"/>
      <c r="F1684" s="64"/>
    </row>
    <row r="1685" spans="1:6" x14ac:dyDescent="0.3">
      <c r="A1685" s="2"/>
      <c r="B1685" s="65"/>
      <c r="C1685" s="65"/>
      <c r="D1685" s="2"/>
      <c r="E1685" s="2"/>
      <c r="F1685" s="2"/>
    </row>
    <row r="1686" spans="1:6" x14ac:dyDescent="0.3">
      <c r="A1686" s="63"/>
      <c r="B1686" s="64"/>
      <c r="C1686" s="64"/>
      <c r="D1686" s="64"/>
      <c r="E1686" s="63"/>
      <c r="F1686" s="64"/>
    </row>
    <row r="1687" spans="1:6" x14ac:dyDescent="0.3">
      <c r="A1687" s="2"/>
      <c r="B1687" s="65"/>
      <c r="C1687" s="65"/>
      <c r="D1687" s="2"/>
      <c r="E1687" s="2"/>
      <c r="F1687" s="2"/>
    </row>
    <row r="1688" spans="1:6" x14ac:dyDescent="0.3">
      <c r="A1688" s="63"/>
      <c r="B1688" s="64"/>
      <c r="C1688" s="64"/>
      <c r="D1688" s="64"/>
      <c r="E1688" s="63"/>
      <c r="F1688" s="64"/>
    </row>
    <row r="1689" spans="1:6" x14ac:dyDescent="0.3">
      <c r="A1689" s="2"/>
      <c r="B1689" s="65"/>
      <c r="C1689" s="65"/>
      <c r="D1689" s="2"/>
      <c r="E1689" s="2"/>
      <c r="F1689" s="2"/>
    </row>
    <row r="1690" spans="1:6" x14ac:dyDescent="0.3">
      <c r="A1690" s="63"/>
      <c r="B1690" s="64"/>
      <c r="C1690" s="64"/>
      <c r="D1690" s="64"/>
      <c r="E1690" s="63"/>
      <c r="F1690" s="64"/>
    </row>
    <row r="1691" spans="1:6" x14ac:dyDescent="0.3">
      <c r="A1691" s="2"/>
      <c r="B1691" s="65"/>
      <c r="C1691" s="65"/>
      <c r="D1691" s="2"/>
      <c r="E1691" s="2"/>
      <c r="F1691" s="2"/>
    </row>
    <row r="1692" spans="1:6" x14ac:dyDescent="0.3">
      <c r="A1692" s="63"/>
      <c r="B1692" s="64"/>
      <c r="C1692" s="64"/>
      <c r="D1692" s="64"/>
      <c r="E1692" s="63"/>
      <c r="F1692" s="64"/>
    </row>
    <row r="1693" spans="1:6" x14ac:dyDescent="0.3">
      <c r="A1693" s="2"/>
      <c r="B1693" s="65"/>
      <c r="C1693" s="65"/>
      <c r="D1693" s="2"/>
      <c r="E1693" s="2"/>
      <c r="F1693" s="2"/>
    </row>
    <row r="1694" spans="1:6" x14ac:dyDescent="0.3">
      <c r="A1694" s="63"/>
      <c r="B1694" s="64"/>
      <c r="C1694" s="64"/>
      <c r="D1694" s="64"/>
      <c r="E1694" s="63"/>
      <c r="F1694" s="64"/>
    </row>
    <row r="1695" spans="1:6" x14ac:dyDescent="0.3">
      <c r="A1695" s="2"/>
      <c r="B1695" s="65"/>
      <c r="C1695" s="65"/>
      <c r="D1695" s="2"/>
      <c r="E1695" s="2"/>
      <c r="F1695" s="2"/>
    </row>
    <row r="1696" spans="1:6" x14ac:dyDescent="0.3">
      <c r="A1696" s="63"/>
      <c r="B1696" s="64"/>
      <c r="C1696" s="64"/>
      <c r="D1696" s="64"/>
      <c r="E1696" s="63"/>
      <c r="F1696" s="64"/>
    </row>
    <row r="1697" spans="1:6" x14ac:dyDescent="0.3">
      <c r="A1697" s="2"/>
      <c r="B1697" s="65"/>
      <c r="C1697" s="65"/>
      <c r="D1697" s="2"/>
      <c r="E1697" s="2"/>
      <c r="F1697" s="2"/>
    </row>
    <row r="1698" spans="1:6" x14ac:dyDescent="0.3">
      <c r="A1698" s="63"/>
      <c r="B1698" s="64"/>
      <c r="C1698" s="64"/>
      <c r="D1698" s="64"/>
      <c r="E1698" s="63"/>
      <c r="F1698" s="64"/>
    </row>
    <row r="1699" spans="1:6" x14ac:dyDescent="0.3">
      <c r="A1699" s="2"/>
      <c r="B1699" s="65"/>
      <c r="C1699" s="65"/>
      <c r="D1699" s="2"/>
      <c r="E1699" s="2"/>
      <c r="F1699" s="2"/>
    </row>
    <row r="1700" spans="1:6" x14ac:dyDescent="0.3">
      <c r="A1700" s="63"/>
      <c r="B1700" s="64"/>
      <c r="C1700" s="64"/>
      <c r="D1700" s="64"/>
      <c r="E1700" s="63"/>
      <c r="F1700" s="64"/>
    </row>
    <row r="1701" spans="1:6" x14ac:dyDescent="0.3">
      <c r="A1701" s="2"/>
      <c r="B1701" s="65"/>
      <c r="C1701" s="65"/>
      <c r="D1701" s="2"/>
      <c r="E1701" s="2"/>
      <c r="F1701" s="2"/>
    </row>
    <row r="1702" spans="1:6" x14ac:dyDescent="0.3">
      <c r="A1702" s="63"/>
      <c r="B1702" s="64"/>
      <c r="C1702" s="64"/>
      <c r="D1702" s="64"/>
      <c r="E1702" s="63"/>
      <c r="F1702" s="64"/>
    </row>
    <row r="1703" spans="1:6" x14ac:dyDescent="0.3">
      <c r="A1703" s="2"/>
      <c r="B1703" s="65"/>
      <c r="C1703" s="65"/>
      <c r="D1703" s="2"/>
      <c r="E1703" s="2"/>
      <c r="F1703" s="2"/>
    </row>
    <row r="1704" spans="1:6" x14ac:dyDescent="0.3">
      <c r="A1704" s="63"/>
      <c r="B1704" s="64"/>
      <c r="C1704" s="64"/>
      <c r="D1704" s="64"/>
      <c r="E1704" s="63"/>
      <c r="F1704" s="64"/>
    </row>
    <row r="1705" spans="1:6" x14ac:dyDescent="0.3">
      <c r="A1705" s="2"/>
      <c r="B1705" s="65"/>
      <c r="C1705" s="65"/>
      <c r="D1705" s="2"/>
      <c r="E1705" s="2"/>
      <c r="F1705" s="2"/>
    </row>
    <row r="1706" spans="1:6" x14ac:dyDescent="0.3">
      <c r="A1706" s="63"/>
      <c r="B1706" s="64"/>
      <c r="C1706" s="64"/>
      <c r="D1706" s="64"/>
      <c r="E1706" s="63"/>
      <c r="F1706" s="64"/>
    </row>
    <row r="1707" spans="1:6" x14ac:dyDescent="0.3">
      <c r="A1707" s="2"/>
      <c r="B1707" s="65"/>
      <c r="C1707" s="65"/>
      <c r="D1707" s="2"/>
      <c r="E1707" s="2"/>
      <c r="F1707" s="2"/>
    </row>
    <row r="1708" spans="1:6" x14ac:dyDescent="0.3">
      <c r="A1708" s="63"/>
      <c r="B1708" s="64"/>
      <c r="C1708" s="64"/>
      <c r="D1708" s="64"/>
      <c r="E1708" s="63"/>
      <c r="F1708" s="64"/>
    </row>
    <row r="1709" spans="1:6" x14ac:dyDescent="0.3">
      <c r="A1709" s="2"/>
      <c r="B1709" s="65"/>
      <c r="C1709" s="65"/>
      <c r="D1709" s="2"/>
      <c r="E1709" s="2"/>
      <c r="F1709" s="2"/>
    </row>
    <row r="1710" spans="1:6" x14ac:dyDescent="0.3">
      <c r="A1710" s="63"/>
      <c r="B1710" s="64"/>
      <c r="C1710" s="64"/>
      <c r="D1710" s="64"/>
      <c r="E1710" s="63"/>
      <c r="F1710" s="64"/>
    </row>
    <row r="1711" spans="1:6" x14ac:dyDescent="0.3">
      <c r="A1711" s="2"/>
      <c r="B1711" s="65"/>
      <c r="C1711" s="65"/>
      <c r="D1711" s="2"/>
      <c r="E1711" s="2"/>
      <c r="F1711" s="2"/>
    </row>
    <row r="1712" spans="1:6" x14ac:dyDescent="0.3">
      <c r="A1712" s="63"/>
      <c r="B1712" s="64"/>
      <c r="C1712" s="64"/>
      <c r="D1712" s="64"/>
      <c r="E1712" s="63"/>
      <c r="F1712" s="64"/>
    </row>
    <row r="1713" spans="1:6" x14ac:dyDescent="0.3">
      <c r="A1713" s="2"/>
      <c r="B1713" s="65"/>
      <c r="C1713" s="65"/>
      <c r="D1713" s="2"/>
      <c r="E1713" s="2"/>
      <c r="F1713" s="2"/>
    </row>
    <row r="1714" spans="1:6" x14ac:dyDescent="0.3">
      <c r="A1714" s="63"/>
      <c r="B1714" s="64"/>
      <c r="C1714" s="64"/>
      <c r="D1714" s="64"/>
      <c r="E1714" s="63"/>
      <c r="F1714" s="64"/>
    </row>
    <row r="1715" spans="1:6" x14ac:dyDescent="0.3">
      <c r="A1715" s="2"/>
      <c r="B1715" s="65"/>
      <c r="C1715" s="65"/>
      <c r="D1715" s="2"/>
      <c r="E1715" s="2"/>
      <c r="F1715" s="2"/>
    </row>
    <row r="1716" spans="1:6" x14ac:dyDescent="0.3">
      <c r="A1716" s="63"/>
      <c r="B1716" s="64"/>
      <c r="C1716" s="64"/>
      <c r="D1716" s="64"/>
      <c r="E1716" s="63"/>
      <c r="F1716" s="64"/>
    </row>
    <row r="1717" spans="1:6" x14ac:dyDescent="0.3">
      <c r="A1717" s="2"/>
      <c r="B1717" s="65"/>
      <c r="C1717" s="65"/>
      <c r="D1717" s="2"/>
      <c r="E1717" s="2"/>
      <c r="F1717" s="2"/>
    </row>
    <row r="1718" spans="1:6" x14ac:dyDescent="0.3">
      <c r="A1718" s="63"/>
      <c r="B1718" s="64"/>
      <c r="C1718" s="64"/>
      <c r="D1718" s="64"/>
      <c r="E1718" s="63"/>
      <c r="F1718" s="64"/>
    </row>
    <row r="1719" spans="1:6" x14ac:dyDescent="0.3">
      <c r="A1719" s="2"/>
      <c r="B1719" s="65"/>
      <c r="C1719" s="65"/>
      <c r="D1719" s="2"/>
      <c r="E1719" s="2"/>
      <c r="F1719" s="2"/>
    </row>
    <row r="1720" spans="1:6" x14ac:dyDescent="0.3">
      <c r="A1720" s="63"/>
      <c r="B1720" s="64"/>
      <c r="C1720" s="64"/>
      <c r="D1720" s="64"/>
      <c r="E1720" s="63"/>
      <c r="F1720" s="64"/>
    </row>
    <row r="1721" spans="1:6" x14ac:dyDescent="0.3">
      <c r="A1721" s="2"/>
      <c r="B1721" s="65"/>
      <c r="C1721" s="65"/>
      <c r="D1721" s="2"/>
      <c r="E1721" s="2"/>
      <c r="F1721" s="2"/>
    </row>
    <row r="1722" spans="1:6" x14ac:dyDescent="0.3">
      <c r="A1722" s="63"/>
      <c r="B1722" s="64"/>
      <c r="C1722" s="64"/>
      <c r="D1722" s="64"/>
      <c r="E1722" s="63"/>
      <c r="F1722" s="64"/>
    </row>
    <row r="1723" spans="1:6" x14ac:dyDescent="0.3">
      <c r="A1723" s="2"/>
      <c r="B1723" s="65"/>
      <c r="C1723" s="65"/>
      <c r="D1723" s="2"/>
      <c r="E1723" s="2"/>
      <c r="F1723" s="2"/>
    </row>
    <row r="1724" spans="1:6" x14ac:dyDescent="0.3">
      <c r="A1724" s="63"/>
      <c r="B1724" s="64"/>
      <c r="C1724" s="64"/>
      <c r="D1724" s="64"/>
      <c r="E1724" s="63"/>
      <c r="F1724" s="64"/>
    </row>
    <row r="1725" spans="1:6" x14ac:dyDescent="0.3">
      <c r="A1725" s="2"/>
      <c r="B1725" s="65"/>
      <c r="C1725" s="65"/>
      <c r="D1725" s="2"/>
      <c r="E1725" s="2"/>
      <c r="F1725" s="2"/>
    </row>
    <row r="1726" spans="1:6" x14ac:dyDescent="0.3">
      <c r="A1726" s="63"/>
      <c r="B1726" s="64"/>
      <c r="C1726" s="64"/>
      <c r="D1726" s="64"/>
      <c r="E1726" s="63"/>
      <c r="F1726" s="64"/>
    </row>
    <row r="1727" spans="1:6" x14ac:dyDescent="0.3">
      <c r="A1727" s="2"/>
      <c r="B1727" s="65"/>
      <c r="C1727" s="65"/>
      <c r="D1727" s="2"/>
      <c r="E1727" s="2"/>
      <c r="F1727" s="2"/>
    </row>
    <row r="1728" spans="1:6" x14ac:dyDescent="0.3">
      <c r="A1728" s="63"/>
      <c r="B1728" s="64"/>
      <c r="C1728" s="64"/>
      <c r="D1728" s="64"/>
      <c r="E1728" s="63"/>
      <c r="F1728" s="64"/>
    </row>
    <row r="1729" spans="1:6" x14ac:dyDescent="0.3">
      <c r="A1729" s="2"/>
      <c r="B1729" s="65"/>
      <c r="C1729" s="65"/>
      <c r="D1729" s="2"/>
      <c r="E1729" s="2"/>
      <c r="F1729" s="2"/>
    </row>
    <row r="1730" spans="1:6" x14ac:dyDescent="0.3">
      <c r="A1730" s="63"/>
      <c r="B1730" s="64"/>
      <c r="C1730" s="64"/>
      <c r="D1730" s="64"/>
      <c r="E1730" s="63"/>
      <c r="F1730" s="64"/>
    </row>
    <row r="1731" spans="1:6" x14ac:dyDescent="0.3">
      <c r="A1731" s="2"/>
      <c r="B1731" s="65"/>
      <c r="C1731" s="65"/>
      <c r="D1731" s="2"/>
      <c r="E1731" s="2"/>
      <c r="F1731" s="2"/>
    </row>
    <row r="1732" spans="1:6" x14ac:dyDescent="0.3">
      <c r="A1732" s="63"/>
      <c r="B1732" s="64"/>
      <c r="C1732" s="64"/>
      <c r="D1732" s="64"/>
      <c r="E1732" s="63"/>
      <c r="F1732" s="64"/>
    </row>
    <row r="1733" spans="1:6" x14ac:dyDescent="0.3">
      <c r="A1733" s="2"/>
      <c r="B1733" s="65"/>
      <c r="C1733" s="65"/>
      <c r="D1733" s="2"/>
      <c r="E1733" s="2"/>
      <c r="F1733" s="2"/>
    </row>
    <row r="1734" spans="1:6" x14ac:dyDescent="0.3">
      <c r="A1734" s="63"/>
      <c r="B1734" s="64"/>
      <c r="C1734" s="64"/>
      <c r="D1734" s="64"/>
      <c r="E1734" s="63"/>
      <c r="F1734" s="64"/>
    </row>
    <row r="1735" spans="1:6" x14ac:dyDescent="0.3">
      <c r="A1735" s="2"/>
      <c r="B1735" s="65"/>
      <c r="C1735" s="65"/>
      <c r="D1735" s="2"/>
      <c r="E1735" s="2"/>
      <c r="F1735" s="2"/>
    </row>
    <row r="1736" spans="1:6" x14ac:dyDescent="0.3">
      <c r="A1736" s="63"/>
      <c r="B1736" s="64"/>
      <c r="C1736" s="64"/>
      <c r="D1736" s="64"/>
      <c r="E1736" s="63"/>
      <c r="F1736" s="64"/>
    </row>
    <row r="1737" spans="1:6" x14ac:dyDescent="0.3">
      <c r="A1737" s="2"/>
      <c r="B1737" s="65"/>
      <c r="C1737" s="65"/>
      <c r="D1737" s="2"/>
      <c r="E1737" s="2"/>
      <c r="F1737" s="2"/>
    </row>
    <row r="1738" spans="1:6" x14ac:dyDescent="0.3">
      <c r="A1738" s="63"/>
      <c r="B1738" s="64"/>
      <c r="C1738" s="64"/>
      <c r="D1738" s="64"/>
      <c r="E1738" s="63"/>
      <c r="F1738" s="64"/>
    </row>
    <row r="1739" spans="1:6" x14ac:dyDescent="0.3">
      <c r="A1739" s="2"/>
      <c r="B1739" s="65"/>
      <c r="C1739" s="65"/>
      <c r="D1739" s="2"/>
      <c r="E1739" s="2"/>
      <c r="F1739" s="2"/>
    </row>
    <row r="1740" spans="1:6" x14ac:dyDescent="0.3">
      <c r="A1740" s="63"/>
      <c r="B1740" s="64"/>
      <c r="C1740" s="64"/>
      <c r="D1740" s="64"/>
      <c r="E1740" s="63"/>
      <c r="F1740" s="64"/>
    </row>
    <row r="1741" spans="1:6" x14ac:dyDescent="0.3">
      <c r="A1741" s="2"/>
      <c r="B1741" s="65"/>
      <c r="C1741" s="65"/>
      <c r="D1741" s="2"/>
      <c r="E1741" s="2"/>
      <c r="F1741" s="2"/>
    </row>
    <row r="1742" spans="1:6" x14ac:dyDescent="0.3">
      <c r="A1742" s="63"/>
      <c r="B1742" s="64"/>
      <c r="C1742" s="64"/>
      <c r="D1742" s="64"/>
      <c r="E1742" s="63"/>
      <c r="F1742" s="64"/>
    </row>
    <row r="1743" spans="1:6" x14ac:dyDescent="0.3">
      <c r="A1743" s="2"/>
      <c r="B1743" s="65"/>
      <c r="C1743" s="65"/>
      <c r="D1743" s="2"/>
      <c r="E1743" s="2"/>
      <c r="F1743" s="2"/>
    </row>
    <row r="1744" spans="1:6" x14ac:dyDescent="0.3">
      <c r="A1744" s="63"/>
      <c r="B1744" s="64"/>
      <c r="C1744" s="64"/>
      <c r="D1744" s="64"/>
      <c r="E1744" s="63"/>
      <c r="F1744" s="64"/>
    </row>
    <row r="1745" spans="1:6" x14ac:dyDescent="0.3">
      <c r="A1745" s="2"/>
      <c r="B1745" s="65"/>
      <c r="C1745" s="65"/>
      <c r="D1745" s="2"/>
      <c r="E1745" s="2"/>
      <c r="F1745" s="2"/>
    </row>
    <row r="1746" spans="1:6" x14ac:dyDescent="0.3">
      <c r="A1746" s="63"/>
      <c r="B1746" s="64"/>
      <c r="C1746" s="64"/>
      <c r="D1746" s="64"/>
      <c r="E1746" s="63"/>
      <c r="F1746" s="64"/>
    </row>
    <row r="1747" spans="1:6" x14ac:dyDescent="0.3">
      <c r="A1747" s="2"/>
      <c r="B1747" s="65"/>
      <c r="C1747" s="65"/>
      <c r="D1747" s="2"/>
      <c r="E1747" s="2"/>
      <c r="F1747" s="2"/>
    </row>
    <row r="1748" spans="1:6" x14ac:dyDescent="0.3">
      <c r="A1748" s="63"/>
      <c r="B1748" s="64"/>
      <c r="C1748" s="64"/>
      <c r="D1748" s="64"/>
      <c r="E1748" s="63"/>
      <c r="F1748" s="64"/>
    </row>
    <row r="1749" spans="1:6" x14ac:dyDescent="0.3">
      <c r="A1749" s="2"/>
      <c r="B1749" s="65"/>
      <c r="C1749" s="65"/>
      <c r="D1749" s="2"/>
      <c r="E1749" s="2"/>
      <c r="F1749" s="2"/>
    </row>
    <row r="1750" spans="1:6" x14ac:dyDescent="0.3">
      <c r="A1750" s="63"/>
      <c r="B1750" s="64"/>
      <c r="C1750" s="64"/>
      <c r="D1750" s="64"/>
      <c r="E1750" s="63"/>
      <c r="F1750" s="64"/>
    </row>
    <row r="1751" spans="1:6" x14ac:dyDescent="0.3">
      <c r="A1751" s="2"/>
      <c r="B1751" s="65"/>
      <c r="C1751" s="65"/>
      <c r="D1751" s="2"/>
      <c r="E1751" s="2"/>
      <c r="F1751" s="2"/>
    </row>
    <row r="1752" spans="1:6" x14ac:dyDescent="0.3">
      <c r="A1752" s="63"/>
      <c r="B1752" s="64"/>
      <c r="C1752" s="64"/>
      <c r="D1752" s="64"/>
      <c r="E1752" s="63"/>
      <c r="F1752" s="64"/>
    </row>
    <row r="1753" spans="1:6" x14ac:dyDescent="0.3">
      <c r="A1753" s="2"/>
      <c r="B1753" s="65"/>
      <c r="C1753" s="65"/>
      <c r="D1753" s="2"/>
      <c r="E1753" s="2"/>
      <c r="F1753" s="2"/>
    </row>
    <row r="1754" spans="1:6" x14ac:dyDescent="0.3">
      <c r="A1754" s="63"/>
      <c r="B1754" s="64"/>
      <c r="C1754" s="64"/>
      <c r="D1754" s="64"/>
      <c r="E1754" s="63"/>
      <c r="F1754" s="64"/>
    </row>
    <row r="1755" spans="1:6" x14ac:dyDescent="0.3">
      <c r="A1755" s="2"/>
      <c r="B1755" s="65"/>
      <c r="C1755" s="65"/>
      <c r="D1755" s="2"/>
      <c r="E1755" s="2"/>
      <c r="F1755" s="2"/>
    </row>
    <row r="1756" spans="1:6" x14ac:dyDescent="0.3">
      <c r="A1756" s="63"/>
      <c r="B1756" s="64"/>
      <c r="C1756" s="64"/>
      <c r="D1756" s="64"/>
      <c r="E1756" s="63"/>
      <c r="F1756" s="64"/>
    </row>
    <row r="1757" spans="1:6" x14ac:dyDescent="0.3">
      <c r="A1757" s="2"/>
      <c r="B1757" s="65"/>
      <c r="C1757" s="65"/>
      <c r="D1757" s="2"/>
      <c r="E1757" s="2"/>
      <c r="F1757" s="2"/>
    </row>
    <row r="1758" spans="1:6" x14ac:dyDescent="0.3">
      <c r="A1758" s="63"/>
      <c r="B1758" s="64"/>
      <c r="C1758" s="64"/>
      <c r="D1758" s="64"/>
      <c r="E1758" s="63"/>
      <c r="F1758" s="64"/>
    </row>
    <row r="1759" spans="1:6" x14ac:dyDescent="0.3">
      <c r="A1759" s="2"/>
      <c r="B1759" s="65"/>
      <c r="C1759" s="65"/>
      <c r="D1759" s="2"/>
      <c r="E1759" s="2"/>
      <c r="F1759" s="2"/>
    </row>
    <row r="1760" spans="1:6" x14ac:dyDescent="0.3">
      <c r="A1760" s="63"/>
      <c r="B1760" s="64"/>
      <c r="C1760" s="64"/>
      <c r="D1760" s="64"/>
      <c r="E1760" s="63"/>
      <c r="F1760" s="64"/>
    </row>
    <row r="1761" spans="1:6" x14ac:dyDescent="0.3">
      <c r="A1761" s="2"/>
      <c r="B1761" s="65"/>
      <c r="C1761" s="65"/>
      <c r="D1761" s="2"/>
      <c r="E1761" s="2"/>
      <c r="F1761" s="2"/>
    </row>
    <row r="1762" spans="1:6" x14ac:dyDescent="0.3">
      <c r="A1762" s="63"/>
      <c r="B1762" s="64"/>
      <c r="C1762" s="64"/>
      <c r="D1762" s="64"/>
      <c r="E1762" s="63"/>
      <c r="F1762" s="64"/>
    </row>
    <row r="1763" spans="1:6" x14ac:dyDescent="0.3">
      <c r="A1763" s="2"/>
      <c r="B1763" s="65"/>
      <c r="C1763" s="65"/>
      <c r="D1763" s="2"/>
      <c r="E1763" s="2"/>
      <c r="F1763" s="2"/>
    </row>
    <row r="1764" spans="1:6" x14ac:dyDescent="0.3">
      <c r="A1764" s="63"/>
      <c r="B1764" s="64"/>
      <c r="C1764" s="64"/>
      <c r="D1764" s="64"/>
      <c r="E1764" s="63"/>
      <c r="F1764" s="64"/>
    </row>
    <row r="1765" spans="1:6" x14ac:dyDescent="0.3">
      <c r="A1765" s="2"/>
      <c r="B1765" s="65"/>
      <c r="C1765" s="65"/>
      <c r="D1765" s="2"/>
      <c r="E1765" s="2"/>
      <c r="F1765" s="2"/>
    </row>
    <row r="1766" spans="1:6" x14ac:dyDescent="0.3">
      <c r="A1766" s="63"/>
      <c r="B1766" s="64"/>
      <c r="C1766" s="64"/>
      <c r="D1766" s="64"/>
      <c r="E1766" s="63"/>
      <c r="F1766" s="64"/>
    </row>
    <row r="1767" spans="1:6" x14ac:dyDescent="0.3">
      <c r="A1767" s="2"/>
      <c r="B1767" s="65"/>
      <c r="C1767" s="65"/>
      <c r="D1767" s="2"/>
      <c r="E1767" s="2"/>
      <c r="F1767" s="2"/>
    </row>
    <row r="1768" spans="1:6" x14ac:dyDescent="0.3">
      <c r="A1768" s="63"/>
      <c r="B1768" s="64"/>
      <c r="C1768" s="64"/>
      <c r="D1768" s="64"/>
      <c r="E1768" s="63"/>
      <c r="F1768" s="64"/>
    </row>
    <row r="1769" spans="1:6" x14ac:dyDescent="0.3">
      <c r="A1769" s="2"/>
      <c r="B1769" s="65"/>
      <c r="C1769" s="65"/>
      <c r="D1769" s="2"/>
      <c r="E1769" s="2"/>
      <c r="F1769" s="2"/>
    </row>
    <row r="1770" spans="1:6" x14ac:dyDescent="0.3">
      <c r="A1770" s="63"/>
      <c r="B1770" s="64"/>
      <c r="C1770" s="64"/>
      <c r="D1770" s="64"/>
      <c r="E1770" s="63"/>
      <c r="F1770" s="64"/>
    </row>
    <row r="1771" spans="1:6" x14ac:dyDescent="0.3">
      <c r="A1771" s="2"/>
      <c r="B1771" s="65"/>
      <c r="C1771" s="65"/>
      <c r="D1771" s="2"/>
      <c r="E1771" s="2"/>
      <c r="F1771" s="2"/>
    </row>
    <row r="1772" spans="1:6" x14ac:dyDescent="0.3">
      <c r="A1772" s="63"/>
      <c r="B1772" s="64"/>
      <c r="C1772" s="64"/>
      <c r="D1772" s="64"/>
      <c r="E1772" s="63"/>
      <c r="F1772" s="64"/>
    </row>
    <row r="1773" spans="1:6" x14ac:dyDescent="0.3">
      <c r="A1773" s="2"/>
      <c r="B1773" s="65"/>
      <c r="C1773" s="65"/>
      <c r="D1773" s="2"/>
      <c r="E1773" s="2"/>
      <c r="F1773" s="2"/>
    </row>
    <row r="1774" spans="1:6" x14ac:dyDescent="0.3">
      <c r="A1774" s="63"/>
      <c r="B1774" s="64"/>
      <c r="C1774" s="64"/>
      <c r="D1774" s="64"/>
      <c r="E1774" s="63"/>
      <c r="F1774" s="64"/>
    </row>
    <row r="1775" spans="1:6" x14ac:dyDescent="0.3">
      <c r="A1775" s="2"/>
      <c r="B1775" s="65"/>
      <c r="C1775" s="65"/>
      <c r="D1775" s="2"/>
      <c r="E1775" s="2"/>
      <c r="F1775" s="2"/>
    </row>
    <row r="1776" spans="1:6" x14ac:dyDescent="0.3">
      <c r="A1776" s="63"/>
      <c r="B1776" s="64"/>
      <c r="C1776" s="64"/>
      <c r="D1776" s="64"/>
      <c r="E1776" s="63"/>
      <c r="F1776" s="64"/>
    </row>
    <row r="1777" spans="1:6" x14ac:dyDescent="0.3">
      <c r="A1777" s="2"/>
      <c r="B1777" s="65"/>
      <c r="C1777" s="65"/>
      <c r="D1777" s="2"/>
      <c r="E1777" s="2"/>
      <c r="F1777" s="2"/>
    </row>
    <row r="1778" spans="1:6" x14ac:dyDescent="0.3">
      <c r="A1778" s="63"/>
      <c r="B1778" s="64"/>
      <c r="C1778" s="64"/>
      <c r="D1778" s="64"/>
      <c r="E1778" s="63"/>
      <c r="F1778" s="64"/>
    </row>
    <row r="1779" spans="1:6" x14ac:dyDescent="0.3">
      <c r="A1779" s="2"/>
      <c r="B1779" s="65"/>
      <c r="C1779" s="65"/>
      <c r="D1779" s="2"/>
      <c r="E1779" s="2"/>
      <c r="F1779" s="2"/>
    </row>
    <row r="1780" spans="1:6" x14ac:dyDescent="0.3">
      <c r="A1780" s="63"/>
      <c r="B1780" s="64"/>
      <c r="C1780" s="64"/>
      <c r="D1780" s="64"/>
      <c r="E1780" s="63"/>
      <c r="F1780" s="64"/>
    </row>
    <row r="1781" spans="1:6" x14ac:dyDescent="0.3">
      <c r="A1781" s="2"/>
      <c r="B1781" s="65"/>
      <c r="C1781" s="65"/>
      <c r="D1781" s="2"/>
      <c r="E1781" s="2"/>
      <c r="F1781" s="2"/>
    </row>
    <row r="1782" spans="1:6" x14ac:dyDescent="0.3">
      <c r="A1782" s="63"/>
      <c r="B1782" s="64"/>
      <c r="C1782" s="64"/>
      <c r="D1782" s="64"/>
      <c r="E1782" s="63"/>
      <c r="F1782" s="64"/>
    </row>
    <row r="1783" spans="1:6" x14ac:dyDescent="0.3">
      <c r="A1783" s="2"/>
      <c r="B1783" s="65"/>
      <c r="C1783" s="65"/>
      <c r="D1783" s="2"/>
      <c r="E1783" s="2"/>
      <c r="F1783" s="2"/>
    </row>
    <row r="1784" spans="1:6" x14ac:dyDescent="0.3">
      <c r="A1784" s="63"/>
      <c r="B1784" s="64"/>
      <c r="C1784" s="64"/>
      <c r="D1784" s="64"/>
      <c r="E1784" s="63"/>
      <c r="F1784" s="64"/>
    </row>
    <row r="1785" spans="1:6" x14ac:dyDescent="0.3">
      <c r="A1785" s="2"/>
      <c r="B1785" s="65"/>
      <c r="C1785" s="65"/>
      <c r="D1785" s="2"/>
      <c r="E1785" s="2"/>
      <c r="F1785" s="2"/>
    </row>
    <row r="1786" spans="1:6" x14ac:dyDescent="0.3">
      <c r="A1786" s="63"/>
      <c r="B1786" s="64"/>
      <c r="C1786" s="64"/>
      <c r="D1786" s="64"/>
      <c r="E1786" s="63"/>
      <c r="F1786" s="64"/>
    </row>
    <row r="1787" spans="1:6" x14ac:dyDescent="0.3">
      <c r="A1787" s="2"/>
      <c r="B1787" s="65"/>
      <c r="C1787" s="65"/>
      <c r="D1787" s="2"/>
      <c r="E1787" s="2"/>
      <c r="F1787" s="2"/>
    </row>
    <row r="1788" spans="1:6" x14ac:dyDescent="0.3">
      <c r="A1788" s="63"/>
      <c r="B1788" s="64"/>
      <c r="C1788" s="64"/>
      <c r="D1788" s="64"/>
      <c r="E1788" s="63"/>
      <c r="F1788" s="64"/>
    </row>
    <row r="1789" spans="1:6" x14ac:dyDescent="0.3">
      <c r="A1789" s="2"/>
      <c r="B1789" s="65"/>
      <c r="C1789" s="65"/>
      <c r="D1789" s="2"/>
      <c r="E1789" s="2"/>
      <c r="F1789" s="2"/>
    </row>
    <row r="1790" spans="1:6" x14ac:dyDescent="0.3">
      <c r="A1790" s="63"/>
      <c r="B1790" s="64"/>
      <c r="C1790" s="64"/>
      <c r="D1790" s="64"/>
      <c r="E1790" s="63"/>
      <c r="F1790" s="64"/>
    </row>
    <row r="1791" spans="1:6" x14ac:dyDescent="0.3">
      <c r="A1791" s="2"/>
      <c r="B1791" s="65"/>
      <c r="C1791" s="65"/>
      <c r="D1791" s="2"/>
      <c r="E1791" s="2"/>
      <c r="F1791" s="2"/>
    </row>
    <row r="1792" spans="1:6" x14ac:dyDescent="0.3">
      <c r="A1792" s="63"/>
      <c r="B1792" s="64"/>
      <c r="C1792" s="64"/>
      <c r="D1792" s="64"/>
      <c r="E1792" s="63"/>
      <c r="F1792" s="64"/>
    </row>
    <row r="1793" spans="1:6" x14ac:dyDescent="0.3">
      <c r="A1793" s="2"/>
      <c r="B1793" s="65"/>
      <c r="C1793" s="65"/>
      <c r="D1793" s="2"/>
      <c r="E1793" s="2"/>
      <c r="F1793" s="2"/>
    </row>
    <row r="1794" spans="1:6" x14ac:dyDescent="0.3">
      <c r="A1794" s="63"/>
      <c r="B1794" s="64"/>
      <c r="C1794" s="64"/>
      <c r="D1794" s="64"/>
      <c r="E1794" s="63"/>
      <c r="F1794" s="64"/>
    </row>
    <row r="1795" spans="1:6" x14ac:dyDescent="0.3">
      <c r="A1795" s="2"/>
      <c r="B1795" s="65"/>
      <c r="C1795" s="65"/>
      <c r="D1795" s="2"/>
      <c r="E1795" s="2"/>
      <c r="F1795" s="2"/>
    </row>
    <row r="1796" spans="1:6" x14ac:dyDescent="0.3">
      <c r="A1796" s="63"/>
      <c r="B1796" s="64"/>
      <c r="C1796" s="64"/>
      <c r="D1796" s="64"/>
      <c r="E1796" s="63"/>
      <c r="F1796" s="64"/>
    </row>
    <row r="1797" spans="1:6" x14ac:dyDescent="0.3">
      <c r="A1797" s="2"/>
      <c r="B1797" s="65"/>
      <c r="C1797" s="65"/>
      <c r="D1797" s="2"/>
      <c r="E1797" s="2"/>
      <c r="F1797" s="2"/>
    </row>
    <row r="1798" spans="1:6" x14ac:dyDescent="0.3">
      <c r="A1798" s="63"/>
      <c r="B1798" s="64"/>
      <c r="C1798" s="64"/>
      <c r="D1798" s="64"/>
      <c r="E1798" s="63"/>
      <c r="F1798" s="64"/>
    </row>
    <row r="1799" spans="1:6" x14ac:dyDescent="0.3">
      <c r="A1799" s="2"/>
      <c r="B1799" s="65"/>
      <c r="C1799" s="65"/>
      <c r="D1799" s="2"/>
      <c r="E1799" s="2"/>
      <c r="F1799" s="2"/>
    </row>
    <row r="1800" spans="1:6" x14ac:dyDescent="0.3">
      <c r="A1800" s="63"/>
      <c r="B1800" s="64"/>
      <c r="C1800" s="64"/>
      <c r="D1800" s="64"/>
      <c r="E1800" s="63"/>
      <c r="F1800" s="64"/>
    </row>
    <row r="1801" spans="1:6" x14ac:dyDescent="0.3">
      <c r="A1801" s="2"/>
      <c r="B1801" s="65"/>
      <c r="C1801" s="65"/>
      <c r="D1801" s="2"/>
      <c r="E1801" s="2"/>
      <c r="F1801" s="2"/>
    </row>
    <row r="1802" spans="1:6" x14ac:dyDescent="0.3">
      <c r="A1802" s="63"/>
      <c r="B1802" s="64"/>
      <c r="C1802" s="64"/>
      <c r="D1802" s="64"/>
      <c r="E1802" s="63"/>
      <c r="F1802" s="64"/>
    </row>
    <row r="1803" spans="1:6" x14ac:dyDescent="0.3">
      <c r="A1803" s="2"/>
      <c r="B1803" s="65"/>
      <c r="C1803" s="65"/>
      <c r="D1803" s="2"/>
      <c r="E1803" s="2"/>
      <c r="F1803" s="2"/>
    </row>
    <row r="1804" spans="1:6" x14ac:dyDescent="0.3">
      <c r="A1804" s="63"/>
      <c r="B1804" s="64"/>
      <c r="C1804" s="64"/>
      <c r="D1804" s="64"/>
      <c r="E1804" s="63"/>
      <c r="F1804" s="64"/>
    </row>
    <row r="1805" spans="1:6" x14ac:dyDescent="0.3">
      <c r="A1805" s="2"/>
      <c r="B1805" s="65"/>
      <c r="C1805" s="65"/>
      <c r="D1805" s="2"/>
      <c r="E1805" s="2"/>
      <c r="F1805" s="2"/>
    </row>
    <row r="1806" spans="1:6" x14ac:dyDescent="0.3">
      <c r="A1806" s="63"/>
      <c r="B1806" s="64"/>
      <c r="C1806" s="64"/>
      <c r="D1806" s="64"/>
      <c r="E1806" s="63"/>
      <c r="F1806" s="64"/>
    </row>
    <row r="1807" spans="1:6" x14ac:dyDescent="0.3">
      <c r="A1807" s="2"/>
      <c r="B1807" s="65"/>
      <c r="C1807" s="65"/>
      <c r="D1807" s="2"/>
      <c r="E1807" s="2"/>
      <c r="F1807" s="2"/>
    </row>
    <row r="1808" spans="1:6" x14ac:dyDescent="0.3">
      <c r="A1808" s="63"/>
      <c r="B1808" s="64"/>
      <c r="C1808" s="64"/>
      <c r="D1808" s="64"/>
      <c r="E1808" s="63"/>
      <c r="F1808" s="64"/>
    </row>
    <row r="1809" spans="1:6" x14ac:dyDescent="0.3">
      <c r="A1809" s="2"/>
      <c r="B1809" s="65"/>
      <c r="C1809" s="65"/>
      <c r="D1809" s="2"/>
      <c r="E1809" s="2"/>
      <c r="F1809" s="2"/>
    </row>
    <row r="1810" spans="1:6" x14ac:dyDescent="0.3">
      <c r="A1810" s="63"/>
      <c r="B1810" s="64"/>
      <c r="C1810" s="64"/>
      <c r="D1810" s="64"/>
      <c r="E1810" s="63"/>
      <c r="F1810" s="64"/>
    </row>
    <row r="1811" spans="1:6" x14ac:dyDescent="0.3">
      <c r="A1811" s="2"/>
      <c r="B1811" s="65"/>
      <c r="C1811" s="65"/>
      <c r="D1811" s="2"/>
      <c r="E1811" s="2"/>
      <c r="F1811" s="2"/>
    </row>
    <row r="1812" spans="1:6" x14ac:dyDescent="0.3">
      <c r="A1812" s="63"/>
      <c r="B1812" s="64"/>
      <c r="C1812" s="64"/>
      <c r="D1812" s="64"/>
      <c r="E1812" s="63"/>
      <c r="F1812" s="64"/>
    </row>
    <row r="1813" spans="1:6" x14ac:dyDescent="0.3">
      <c r="A1813" s="2"/>
      <c r="B1813" s="65"/>
      <c r="C1813" s="65"/>
      <c r="D1813" s="2"/>
      <c r="E1813" s="2"/>
      <c r="F1813" s="2"/>
    </row>
    <row r="1814" spans="1:6" x14ac:dyDescent="0.3">
      <c r="A1814" s="63"/>
      <c r="B1814" s="64"/>
      <c r="C1814" s="64"/>
      <c r="D1814" s="64"/>
      <c r="E1814" s="63"/>
      <c r="F1814" s="64"/>
    </row>
    <row r="1815" spans="1:6" x14ac:dyDescent="0.3">
      <c r="A1815" s="2"/>
      <c r="B1815" s="65"/>
      <c r="C1815" s="65"/>
      <c r="D1815" s="2"/>
      <c r="E1815" s="2"/>
      <c r="F1815" s="2"/>
    </row>
    <row r="1816" spans="1:6" x14ac:dyDescent="0.3">
      <c r="A1816" s="63"/>
      <c r="B1816" s="64"/>
      <c r="C1816" s="64"/>
      <c r="D1816" s="64"/>
      <c r="E1816" s="63"/>
      <c r="F1816" s="64"/>
    </row>
    <row r="1817" spans="1:6" x14ac:dyDescent="0.3">
      <c r="A1817" s="2"/>
      <c r="B1817" s="65"/>
      <c r="C1817" s="65"/>
      <c r="D1817" s="2"/>
      <c r="E1817" s="2"/>
      <c r="F1817" s="2"/>
    </row>
    <row r="1818" spans="1:6" x14ac:dyDescent="0.3">
      <c r="A1818" s="63"/>
      <c r="B1818" s="64"/>
      <c r="C1818" s="64"/>
      <c r="D1818" s="64"/>
      <c r="E1818" s="63"/>
      <c r="F1818" s="64"/>
    </row>
    <row r="1819" spans="1:6" x14ac:dyDescent="0.3">
      <c r="A1819" s="2"/>
      <c r="B1819" s="65"/>
      <c r="C1819" s="65"/>
      <c r="D1819" s="2"/>
      <c r="E1819" s="2"/>
      <c r="F1819" s="2"/>
    </row>
    <row r="1820" spans="1:6" x14ac:dyDescent="0.3">
      <c r="A1820" s="63"/>
      <c r="B1820" s="64"/>
      <c r="C1820" s="64"/>
      <c r="D1820" s="64"/>
      <c r="E1820" s="63"/>
      <c r="F1820" s="64"/>
    </row>
    <row r="1821" spans="1:6" x14ac:dyDescent="0.3">
      <c r="A1821" s="2"/>
      <c r="B1821" s="65"/>
      <c r="C1821" s="65"/>
      <c r="D1821" s="2"/>
      <c r="E1821" s="2"/>
      <c r="F1821" s="2"/>
    </row>
    <row r="1822" spans="1:6" x14ac:dyDescent="0.3">
      <c r="A1822" s="63"/>
      <c r="B1822" s="64"/>
      <c r="C1822" s="64"/>
      <c r="D1822" s="64"/>
      <c r="E1822" s="63"/>
      <c r="F1822" s="64"/>
    </row>
    <row r="1823" spans="1:6" x14ac:dyDescent="0.3">
      <c r="A1823" s="2"/>
      <c r="B1823" s="65"/>
      <c r="C1823" s="65"/>
      <c r="D1823" s="2"/>
      <c r="E1823" s="2"/>
      <c r="F1823" s="2"/>
    </row>
    <row r="1824" spans="1:6" x14ac:dyDescent="0.3">
      <c r="A1824" s="63"/>
      <c r="B1824" s="64"/>
      <c r="C1824" s="64"/>
      <c r="D1824" s="64"/>
      <c r="E1824" s="63"/>
      <c r="F1824" s="64"/>
    </row>
    <row r="1825" spans="1:6" x14ac:dyDescent="0.3">
      <c r="A1825" s="2"/>
      <c r="B1825" s="65"/>
      <c r="C1825" s="65"/>
      <c r="D1825" s="2"/>
      <c r="E1825" s="2"/>
      <c r="F1825" s="2"/>
    </row>
    <row r="1826" spans="1:6" x14ac:dyDescent="0.3">
      <c r="A1826" s="63"/>
      <c r="B1826" s="64"/>
      <c r="C1826" s="64"/>
      <c r="D1826" s="64"/>
      <c r="E1826" s="63"/>
      <c r="F1826" s="64"/>
    </row>
    <row r="1827" spans="1:6" x14ac:dyDescent="0.3">
      <c r="A1827" s="2"/>
      <c r="B1827" s="65"/>
      <c r="C1827" s="65"/>
      <c r="D1827" s="2"/>
      <c r="E1827" s="2"/>
      <c r="F1827" s="2"/>
    </row>
    <row r="1828" spans="1:6" x14ac:dyDescent="0.3">
      <c r="A1828" s="63"/>
      <c r="B1828" s="64"/>
      <c r="C1828" s="64"/>
      <c r="D1828" s="64"/>
      <c r="E1828" s="63"/>
      <c r="F1828" s="64"/>
    </row>
    <row r="1829" spans="1:6" x14ac:dyDescent="0.3">
      <c r="A1829" s="2"/>
      <c r="B1829" s="65"/>
      <c r="C1829" s="65"/>
      <c r="D1829" s="2"/>
      <c r="E1829" s="2"/>
      <c r="F1829" s="2"/>
    </row>
    <row r="1830" spans="1:6" x14ac:dyDescent="0.3">
      <c r="A1830" s="63"/>
      <c r="B1830" s="64"/>
      <c r="C1830" s="64"/>
      <c r="D1830" s="64"/>
      <c r="E1830" s="63"/>
      <c r="F1830" s="64"/>
    </row>
    <row r="1831" spans="1:6" x14ac:dyDescent="0.3">
      <c r="A1831" s="2"/>
      <c r="B1831" s="65"/>
      <c r="C1831" s="65"/>
      <c r="D1831" s="2"/>
      <c r="E1831" s="2"/>
      <c r="F1831" s="2"/>
    </row>
    <row r="1832" spans="1:6" x14ac:dyDescent="0.3">
      <c r="A1832" s="63"/>
      <c r="B1832" s="64"/>
      <c r="C1832" s="64"/>
      <c r="D1832" s="64"/>
      <c r="E1832" s="63"/>
      <c r="F1832" s="64"/>
    </row>
    <row r="1833" spans="1:6" x14ac:dyDescent="0.3">
      <c r="A1833" s="2"/>
      <c r="B1833" s="65"/>
      <c r="C1833" s="65"/>
      <c r="D1833" s="2"/>
      <c r="E1833" s="2"/>
      <c r="F1833" s="2"/>
    </row>
    <row r="1834" spans="1:6" x14ac:dyDescent="0.3">
      <c r="A1834" s="63"/>
      <c r="B1834" s="64"/>
      <c r="C1834" s="64"/>
      <c r="D1834" s="64"/>
      <c r="E1834" s="63"/>
      <c r="F1834" s="64"/>
    </row>
    <row r="1835" spans="1:6" x14ac:dyDescent="0.3">
      <c r="A1835" s="2"/>
      <c r="B1835" s="65"/>
      <c r="C1835" s="65"/>
      <c r="D1835" s="2"/>
      <c r="E1835" s="2"/>
      <c r="F1835" s="2"/>
    </row>
    <row r="1836" spans="1:6" x14ac:dyDescent="0.3">
      <c r="A1836" s="63"/>
      <c r="B1836" s="64"/>
      <c r="C1836" s="64"/>
      <c r="D1836" s="64"/>
      <c r="E1836" s="63"/>
      <c r="F1836" s="64"/>
    </row>
    <row r="1837" spans="1:6" x14ac:dyDescent="0.3">
      <c r="A1837" s="2"/>
      <c r="B1837" s="65"/>
      <c r="C1837" s="65"/>
      <c r="D1837" s="2"/>
      <c r="E1837" s="2"/>
      <c r="F1837" s="2"/>
    </row>
    <row r="1838" spans="1:6" x14ac:dyDescent="0.3">
      <c r="A1838" s="63"/>
      <c r="B1838" s="64"/>
      <c r="C1838" s="64"/>
      <c r="D1838" s="64"/>
      <c r="E1838" s="63"/>
      <c r="F1838" s="64"/>
    </row>
    <row r="1839" spans="1:6" x14ac:dyDescent="0.3">
      <c r="A1839" s="2"/>
      <c r="B1839" s="65"/>
      <c r="C1839" s="65"/>
      <c r="D1839" s="2"/>
      <c r="E1839" s="2"/>
      <c r="F1839" s="2"/>
    </row>
    <row r="1840" spans="1:6" x14ac:dyDescent="0.3">
      <c r="A1840" s="63"/>
      <c r="B1840" s="64"/>
      <c r="C1840" s="64"/>
      <c r="D1840" s="64"/>
      <c r="E1840" s="63"/>
      <c r="F1840" s="64"/>
    </row>
    <row r="1841" spans="1:6" x14ac:dyDescent="0.3">
      <c r="A1841" s="2"/>
      <c r="B1841" s="65"/>
      <c r="C1841" s="65"/>
      <c r="D1841" s="2"/>
      <c r="E1841" s="2"/>
      <c r="F1841" s="2"/>
    </row>
    <row r="1842" spans="1:6" x14ac:dyDescent="0.3">
      <c r="A1842" s="63"/>
      <c r="B1842" s="64"/>
      <c r="C1842" s="64"/>
      <c r="D1842" s="64"/>
      <c r="E1842" s="63"/>
      <c r="F1842" s="64"/>
    </row>
    <row r="1843" spans="1:6" x14ac:dyDescent="0.3">
      <c r="A1843" s="2"/>
      <c r="B1843" s="65"/>
      <c r="C1843" s="65"/>
      <c r="D1843" s="2"/>
      <c r="E1843" s="2"/>
      <c r="F1843" s="2"/>
    </row>
    <row r="1844" spans="1:6" x14ac:dyDescent="0.3">
      <c r="A1844" s="63"/>
      <c r="B1844" s="64"/>
      <c r="C1844" s="64"/>
      <c r="D1844" s="64"/>
      <c r="E1844" s="63"/>
      <c r="F1844" s="64"/>
    </row>
    <row r="1845" spans="1:6" x14ac:dyDescent="0.3">
      <c r="A1845" s="2"/>
      <c r="B1845" s="65"/>
      <c r="C1845" s="65"/>
      <c r="D1845" s="2"/>
      <c r="E1845" s="2"/>
      <c r="F1845" s="2"/>
    </row>
    <row r="1846" spans="1:6" x14ac:dyDescent="0.3">
      <c r="A1846" s="63"/>
      <c r="B1846" s="64"/>
      <c r="C1846" s="64"/>
      <c r="D1846" s="64"/>
      <c r="E1846" s="63"/>
      <c r="F1846" s="64"/>
    </row>
    <row r="1847" spans="1:6" x14ac:dyDescent="0.3">
      <c r="A1847" s="2"/>
      <c r="B1847" s="65"/>
      <c r="C1847" s="65"/>
      <c r="D1847" s="2"/>
      <c r="E1847" s="2"/>
      <c r="F1847" s="2"/>
    </row>
    <row r="1848" spans="1:6" x14ac:dyDescent="0.3">
      <c r="A1848" s="63"/>
      <c r="B1848" s="64"/>
      <c r="C1848" s="64"/>
      <c r="D1848" s="64"/>
      <c r="E1848" s="63"/>
      <c r="F1848" s="64"/>
    </row>
    <row r="1849" spans="1:6" x14ac:dyDescent="0.3">
      <c r="A1849" s="2"/>
      <c r="B1849" s="65"/>
      <c r="C1849" s="65"/>
      <c r="D1849" s="2"/>
      <c r="E1849" s="2"/>
      <c r="F1849" s="2"/>
    </row>
    <row r="1850" spans="1:6" x14ac:dyDescent="0.3">
      <c r="A1850" s="63"/>
      <c r="B1850" s="64"/>
      <c r="C1850" s="64"/>
      <c r="D1850" s="64"/>
      <c r="E1850" s="63"/>
      <c r="F1850" s="64"/>
    </row>
    <row r="1851" spans="1:6" x14ac:dyDescent="0.3">
      <c r="A1851" s="2"/>
      <c r="B1851" s="65"/>
      <c r="C1851" s="65"/>
      <c r="D1851" s="2"/>
      <c r="E1851" s="2"/>
      <c r="F1851" s="2"/>
    </row>
    <row r="1852" spans="1:6" x14ac:dyDescent="0.3">
      <c r="A1852" s="63"/>
      <c r="B1852" s="64"/>
      <c r="C1852" s="64"/>
      <c r="D1852" s="64"/>
      <c r="E1852" s="63"/>
      <c r="F1852" s="64"/>
    </row>
    <row r="1853" spans="1:6" x14ac:dyDescent="0.3">
      <c r="A1853" s="2"/>
      <c r="B1853" s="65"/>
      <c r="C1853" s="65"/>
      <c r="D1853" s="2"/>
      <c r="E1853" s="2"/>
      <c r="F1853" s="2"/>
    </row>
    <row r="1854" spans="1:6" x14ac:dyDescent="0.3">
      <c r="A1854" s="63"/>
      <c r="B1854" s="64"/>
      <c r="C1854" s="64"/>
      <c r="D1854" s="64"/>
      <c r="E1854" s="63"/>
      <c r="F1854" s="64"/>
    </row>
    <row r="1855" spans="1:6" x14ac:dyDescent="0.3">
      <c r="A1855" s="2"/>
      <c r="B1855" s="65"/>
      <c r="C1855" s="65"/>
      <c r="D1855" s="2"/>
      <c r="E1855" s="2"/>
      <c r="F1855" s="2"/>
    </row>
    <row r="1856" spans="1:6" x14ac:dyDescent="0.3">
      <c r="A1856" s="63"/>
      <c r="B1856" s="64"/>
      <c r="C1856" s="64"/>
      <c r="D1856" s="64"/>
      <c r="E1856" s="63"/>
      <c r="F1856" s="64"/>
    </row>
    <row r="1857" spans="1:6" x14ac:dyDescent="0.3">
      <c r="A1857" s="2"/>
      <c r="B1857" s="65"/>
      <c r="C1857" s="65"/>
      <c r="D1857" s="2"/>
      <c r="E1857" s="2"/>
      <c r="F1857" s="2"/>
    </row>
    <row r="1858" spans="1:6" x14ac:dyDescent="0.3">
      <c r="A1858" s="63"/>
      <c r="B1858" s="64"/>
      <c r="C1858" s="64"/>
      <c r="D1858" s="64"/>
      <c r="E1858" s="63"/>
      <c r="F1858" s="64"/>
    </row>
    <row r="1859" spans="1:6" x14ac:dyDescent="0.3">
      <c r="A1859" s="2"/>
      <c r="B1859" s="65"/>
      <c r="C1859" s="65"/>
      <c r="D1859" s="2"/>
      <c r="E1859" s="2"/>
      <c r="F1859" s="2"/>
    </row>
    <row r="1860" spans="1:6" x14ac:dyDescent="0.3">
      <c r="A1860" s="63"/>
      <c r="B1860" s="64"/>
      <c r="C1860" s="64"/>
      <c r="D1860" s="64"/>
      <c r="E1860" s="63"/>
      <c r="F1860" s="64"/>
    </row>
    <row r="1861" spans="1:6" x14ac:dyDescent="0.3">
      <c r="A1861" s="2"/>
      <c r="B1861" s="65"/>
      <c r="C1861" s="65"/>
      <c r="D1861" s="2"/>
      <c r="E1861" s="2"/>
      <c r="F1861" s="2"/>
    </row>
    <row r="1862" spans="1:6" x14ac:dyDescent="0.3">
      <c r="A1862" s="63"/>
      <c r="B1862" s="64"/>
      <c r="C1862" s="64"/>
      <c r="D1862" s="64"/>
      <c r="E1862" s="63"/>
      <c r="F1862" s="64"/>
    </row>
    <row r="1863" spans="1:6" x14ac:dyDescent="0.3">
      <c r="A1863" s="2"/>
      <c r="B1863" s="65"/>
      <c r="C1863" s="65"/>
      <c r="D1863" s="2"/>
      <c r="E1863" s="2"/>
      <c r="F1863" s="2"/>
    </row>
    <row r="1864" spans="1:6" x14ac:dyDescent="0.3">
      <c r="A1864" s="63"/>
      <c r="B1864" s="64"/>
      <c r="C1864" s="64"/>
      <c r="D1864" s="64"/>
      <c r="E1864" s="63"/>
      <c r="F1864" s="64"/>
    </row>
    <row r="1865" spans="1:6" x14ac:dyDescent="0.3">
      <c r="A1865" s="2"/>
      <c r="B1865" s="65"/>
      <c r="C1865" s="65"/>
      <c r="D1865" s="2"/>
      <c r="E1865" s="2"/>
      <c r="F1865" s="2"/>
    </row>
    <row r="1866" spans="1:6" x14ac:dyDescent="0.3">
      <c r="A1866" s="63"/>
      <c r="B1866" s="64"/>
      <c r="C1866" s="64"/>
      <c r="D1866" s="64"/>
      <c r="E1866" s="63"/>
      <c r="F1866" s="64"/>
    </row>
    <row r="1867" spans="1:6" x14ac:dyDescent="0.3">
      <c r="A1867" s="2"/>
      <c r="B1867" s="65"/>
      <c r="C1867" s="65"/>
      <c r="D1867" s="2"/>
      <c r="E1867" s="2"/>
      <c r="F1867" s="2"/>
    </row>
    <row r="1868" spans="1:6" x14ac:dyDescent="0.3">
      <c r="A1868" s="63"/>
      <c r="B1868" s="64"/>
      <c r="C1868" s="64"/>
      <c r="D1868" s="64"/>
      <c r="E1868" s="63"/>
      <c r="F1868" s="64"/>
    </row>
    <row r="1869" spans="1:6" x14ac:dyDescent="0.3">
      <c r="A1869" s="2"/>
      <c r="B1869" s="65"/>
      <c r="C1869" s="65"/>
      <c r="D1869" s="2"/>
      <c r="E1869" s="2"/>
      <c r="F1869" s="2"/>
    </row>
    <row r="1870" spans="1:6" x14ac:dyDescent="0.3">
      <c r="A1870" s="63"/>
      <c r="B1870" s="64"/>
      <c r="C1870" s="64"/>
      <c r="D1870" s="64"/>
      <c r="E1870" s="63"/>
      <c r="F1870" s="64"/>
    </row>
    <row r="1871" spans="1:6" x14ac:dyDescent="0.3">
      <c r="A1871" s="2"/>
      <c r="B1871" s="65"/>
      <c r="C1871" s="65"/>
      <c r="D1871" s="2"/>
      <c r="E1871" s="2"/>
      <c r="F1871" s="2"/>
    </row>
    <row r="1872" spans="1:6" x14ac:dyDescent="0.3">
      <c r="A1872" s="63"/>
      <c r="B1872" s="64"/>
      <c r="C1872" s="64"/>
      <c r="D1872" s="64"/>
      <c r="E1872" s="63"/>
      <c r="F1872" s="64"/>
    </row>
    <row r="1873" spans="1:6" x14ac:dyDescent="0.3">
      <c r="A1873" s="2"/>
      <c r="B1873" s="65"/>
      <c r="C1873" s="65"/>
      <c r="D1873" s="2"/>
      <c r="E1873" s="2"/>
      <c r="F1873" s="2"/>
    </row>
    <row r="1874" spans="1:6" x14ac:dyDescent="0.3">
      <c r="A1874" s="63"/>
      <c r="B1874" s="64"/>
      <c r="C1874" s="64"/>
      <c r="D1874" s="64"/>
      <c r="E1874" s="63"/>
      <c r="F1874" s="64"/>
    </row>
    <row r="1875" spans="1:6" x14ac:dyDescent="0.3">
      <c r="A1875" s="2"/>
      <c r="B1875" s="65"/>
      <c r="C1875" s="65"/>
      <c r="D1875" s="2"/>
      <c r="E1875" s="2"/>
      <c r="F1875" s="2"/>
    </row>
    <row r="1876" spans="1:6" x14ac:dyDescent="0.3">
      <c r="A1876" s="63"/>
      <c r="B1876" s="64"/>
      <c r="C1876" s="64"/>
      <c r="D1876" s="64"/>
      <c r="E1876" s="63"/>
      <c r="F1876" s="64"/>
    </row>
    <row r="1877" spans="1:6" x14ac:dyDescent="0.3">
      <c r="A1877" s="2"/>
      <c r="B1877" s="65"/>
      <c r="C1877" s="65"/>
      <c r="D1877" s="2"/>
      <c r="E1877" s="2"/>
      <c r="F1877" s="2"/>
    </row>
    <row r="1878" spans="1:6" x14ac:dyDescent="0.3">
      <c r="A1878" s="63"/>
      <c r="B1878" s="64"/>
      <c r="C1878" s="64"/>
      <c r="D1878" s="64"/>
      <c r="E1878" s="63"/>
      <c r="F1878" s="64"/>
    </row>
    <row r="1879" spans="1:6" x14ac:dyDescent="0.3">
      <c r="A1879" s="2"/>
      <c r="B1879" s="65"/>
      <c r="C1879" s="65"/>
      <c r="D1879" s="2"/>
      <c r="E1879" s="2"/>
      <c r="F1879" s="2"/>
    </row>
    <row r="1880" spans="1:6" x14ac:dyDescent="0.3">
      <c r="A1880" s="63"/>
      <c r="B1880" s="64"/>
      <c r="C1880" s="64"/>
      <c r="D1880" s="64"/>
      <c r="E1880" s="63"/>
      <c r="F1880" s="64"/>
    </row>
    <row r="1881" spans="1:6" x14ac:dyDescent="0.3">
      <c r="A1881" s="2"/>
      <c r="B1881" s="65"/>
      <c r="C1881" s="65"/>
      <c r="D1881" s="2"/>
      <c r="E1881" s="2"/>
      <c r="F1881" s="2"/>
    </row>
    <row r="1882" spans="1:6" x14ac:dyDescent="0.3">
      <c r="A1882" s="63"/>
      <c r="B1882" s="64"/>
      <c r="C1882" s="64"/>
      <c r="D1882" s="64"/>
      <c r="E1882" s="63"/>
      <c r="F1882" s="64"/>
    </row>
    <row r="1883" spans="1:6" x14ac:dyDescent="0.3">
      <c r="A1883" s="2"/>
      <c r="B1883" s="65"/>
      <c r="C1883" s="65"/>
      <c r="D1883" s="2"/>
      <c r="E1883" s="2"/>
      <c r="F1883" s="2"/>
    </row>
    <row r="1884" spans="1:6" x14ac:dyDescent="0.3">
      <c r="A1884" s="63"/>
      <c r="B1884" s="64"/>
      <c r="C1884" s="64"/>
      <c r="D1884" s="64"/>
      <c r="E1884" s="63"/>
      <c r="F1884" s="64"/>
    </row>
    <row r="1885" spans="1:6" x14ac:dyDescent="0.3">
      <c r="A1885" s="2"/>
      <c r="B1885" s="65"/>
      <c r="C1885" s="65"/>
      <c r="D1885" s="2"/>
      <c r="E1885" s="2"/>
      <c r="F1885" s="2"/>
    </row>
    <row r="1886" spans="1:6" x14ac:dyDescent="0.3">
      <c r="A1886" s="63"/>
      <c r="B1886" s="64"/>
      <c r="C1886" s="64"/>
      <c r="D1886" s="64"/>
      <c r="E1886" s="63"/>
      <c r="F1886" s="64"/>
    </row>
    <row r="1887" spans="1:6" x14ac:dyDescent="0.3">
      <c r="A1887" s="2"/>
      <c r="B1887" s="65"/>
      <c r="C1887" s="65"/>
      <c r="D1887" s="2"/>
      <c r="E1887" s="2"/>
      <c r="F1887" s="2"/>
    </row>
    <row r="1888" spans="1:6" x14ac:dyDescent="0.3">
      <c r="A1888" s="63"/>
      <c r="B1888" s="64"/>
      <c r="C1888" s="64"/>
      <c r="D1888" s="64"/>
      <c r="E1888" s="63"/>
      <c r="F1888" s="64"/>
    </row>
    <row r="1889" spans="1:6" x14ac:dyDescent="0.3">
      <c r="A1889" s="2"/>
      <c r="B1889" s="65"/>
      <c r="C1889" s="65"/>
      <c r="D1889" s="2"/>
      <c r="E1889" s="2"/>
      <c r="F1889" s="2"/>
    </row>
    <row r="1890" spans="1:6" x14ac:dyDescent="0.3">
      <c r="A1890" s="63"/>
      <c r="B1890" s="64"/>
      <c r="C1890" s="64"/>
      <c r="D1890" s="64"/>
      <c r="E1890" s="63"/>
      <c r="F1890" s="64"/>
    </row>
    <row r="1891" spans="1:6" x14ac:dyDescent="0.3">
      <c r="A1891" s="2"/>
      <c r="B1891" s="65"/>
      <c r="C1891" s="65"/>
      <c r="D1891" s="2"/>
      <c r="E1891" s="2"/>
      <c r="F1891" s="2"/>
    </row>
    <row r="1892" spans="1:6" x14ac:dyDescent="0.3">
      <c r="A1892" s="63"/>
      <c r="B1892" s="64"/>
      <c r="C1892" s="64"/>
      <c r="D1892" s="64"/>
      <c r="E1892" s="63"/>
      <c r="F1892" s="64"/>
    </row>
    <row r="1893" spans="1:6" x14ac:dyDescent="0.3">
      <c r="A1893" s="2"/>
      <c r="B1893" s="65"/>
      <c r="C1893" s="65"/>
      <c r="D1893" s="2"/>
      <c r="E1893" s="2"/>
      <c r="F1893" s="2"/>
    </row>
    <row r="1894" spans="1:6" x14ac:dyDescent="0.3">
      <c r="A1894" s="63"/>
      <c r="B1894" s="64"/>
      <c r="C1894" s="64"/>
      <c r="D1894" s="64"/>
      <c r="E1894" s="63"/>
      <c r="F1894" s="64"/>
    </row>
    <row r="1895" spans="1:6" x14ac:dyDescent="0.3">
      <c r="A1895" s="2"/>
      <c r="B1895" s="65"/>
      <c r="C1895" s="65"/>
      <c r="D1895" s="2"/>
      <c r="E1895" s="2"/>
      <c r="F1895" s="2"/>
    </row>
    <row r="1896" spans="1:6" x14ac:dyDescent="0.3">
      <c r="A1896" s="63"/>
      <c r="B1896" s="64"/>
      <c r="C1896" s="64"/>
      <c r="D1896" s="64"/>
      <c r="E1896" s="63"/>
      <c r="F1896" s="64"/>
    </row>
    <row r="1897" spans="1:6" x14ac:dyDescent="0.3">
      <c r="A1897" s="2"/>
      <c r="B1897" s="65"/>
      <c r="C1897" s="65"/>
      <c r="D1897" s="2"/>
      <c r="E1897" s="2"/>
      <c r="F1897" s="2"/>
    </row>
    <row r="1898" spans="1:6" x14ac:dyDescent="0.3">
      <c r="A1898" s="63"/>
      <c r="B1898" s="64"/>
      <c r="C1898" s="64"/>
      <c r="D1898" s="64"/>
      <c r="E1898" s="63"/>
      <c r="F1898" s="64"/>
    </row>
    <row r="1899" spans="1:6" x14ac:dyDescent="0.3">
      <c r="A1899" s="2"/>
      <c r="B1899" s="65"/>
      <c r="C1899" s="65"/>
      <c r="D1899" s="2"/>
      <c r="E1899" s="2"/>
      <c r="F1899" s="2"/>
    </row>
    <row r="1900" spans="1:6" x14ac:dyDescent="0.3">
      <c r="A1900" s="63"/>
      <c r="B1900" s="64"/>
      <c r="C1900" s="64"/>
      <c r="D1900" s="64"/>
      <c r="E1900" s="63"/>
      <c r="F1900" s="64"/>
    </row>
    <row r="1901" spans="1:6" x14ac:dyDescent="0.3">
      <c r="A1901" s="2"/>
      <c r="B1901" s="65"/>
      <c r="C1901" s="65"/>
      <c r="D1901" s="2"/>
      <c r="E1901" s="2"/>
      <c r="F1901" s="2"/>
    </row>
    <row r="1902" spans="1:6" x14ac:dyDescent="0.3">
      <c r="A1902" s="63"/>
      <c r="B1902" s="64"/>
      <c r="C1902" s="64"/>
      <c r="D1902" s="64"/>
      <c r="E1902" s="63"/>
      <c r="F1902" s="64"/>
    </row>
    <row r="1903" spans="1:6" x14ac:dyDescent="0.3">
      <c r="A1903" s="2"/>
      <c r="B1903" s="65"/>
      <c r="C1903" s="65"/>
      <c r="D1903" s="2"/>
      <c r="E1903" s="2"/>
      <c r="F1903" s="2"/>
    </row>
    <row r="1904" spans="1:6" x14ac:dyDescent="0.3">
      <c r="A1904" s="63"/>
      <c r="B1904" s="64"/>
      <c r="C1904" s="64"/>
      <c r="D1904" s="64"/>
      <c r="E1904" s="63"/>
      <c r="F1904" s="64"/>
    </row>
    <row r="1905" spans="1:6" x14ac:dyDescent="0.3">
      <c r="A1905" s="2"/>
      <c r="B1905" s="65"/>
      <c r="C1905" s="65"/>
      <c r="D1905" s="2"/>
      <c r="E1905" s="2"/>
      <c r="F1905" s="2"/>
    </row>
    <row r="1906" spans="1:6" x14ac:dyDescent="0.3">
      <c r="A1906" s="63"/>
      <c r="B1906" s="64"/>
      <c r="C1906" s="64"/>
      <c r="D1906" s="64"/>
      <c r="E1906" s="63"/>
      <c r="F1906" s="64"/>
    </row>
    <row r="1907" spans="1:6" x14ac:dyDescent="0.3">
      <c r="A1907" s="2"/>
      <c r="B1907" s="65"/>
      <c r="C1907" s="65"/>
      <c r="D1907" s="2"/>
      <c r="E1907" s="2"/>
      <c r="F1907" s="2"/>
    </row>
    <row r="1908" spans="1:6" x14ac:dyDescent="0.3">
      <c r="A1908" s="63"/>
      <c r="B1908" s="64"/>
      <c r="C1908" s="64"/>
      <c r="D1908" s="64"/>
      <c r="E1908" s="63"/>
      <c r="F1908" s="64"/>
    </row>
    <row r="1909" spans="1:6" x14ac:dyDescent="0.3">
      <c r="A1909" s="2"/>
      <c r="B1909" s="65"/>
      <c r="C1909" s="65"/>
      <c r="D1909" s="2"/>
      <c r="E1909" s="2"/>
      <c r="F1909" s="2"/>
    </row>
    <row r="1910" spans="1:6" x14ac:dyDescent="0.3">
      <c r="A1910" s="63"/>
      <c r="B1910" s="64"/>
      <c r="C1910" s="64"/>
      <c r="D1910" s="64"/>
      <c r="E1910" s="63"/>
      <c r="F1910" s="64"/>
    </row>
    <row r="1911" spans="1:6" x14ac:dyDescent="0.3">
      <c r="A1911" s="2"/>
      <c r="B1911" s="65"/>
      <c r="C1911" s="65"/>
      <c r="D1911" s="2"/>
      <c r="E1911" s="2"/>
      <c r="F1911" s="2"/>
    </row>
    <row r="1912" spans="1:6" x14ac:dyDescent="0.3">
      <c r="A1912" s="63"/>
      <c r="B1912" s="64"/>
      <c r="C1912" s="64"/>
      <c r="D1912" s="64"/>
      <c r="E1912" s="63"/>
      <c r="F1912" s="64"/>
    </row>
    <row r="1913" spans="1:6" x14ac:dyDescent="0.3">
      <c r="A1913" s="2"/>
      <c r="B1913" s="65"/>
      <c r="C1913" s="65"/>
      <c r="D1913" s="2"/>
      <c r="E1913" s="2"/>
      <c r="F1913" s="2"/>
    </row>
    <row r="1914" spans="1:6" x14ac:dyDescent="0.3">
      <c r="A1914" s="63"/>
      <c r="B1914" s="64"/>
      <c r="C1914" s="64"/>
      <c r="D1914" s="64"/>
      <c r="E1914" s="63"/>
      <c r="F1914" s="64"/>
    </row>
    <row r="1915" spans="1:6" x14ac:dyDescent="0.3">
      <c r="A1915" s="2"/>
      <c r="B1915" s="65"/>
      <c r="C1915" s="65"/>
      <c r="D1915" s="2"/>
      <c r="E1915" s="2"/>
      <c r="F1915" s="2"/>
    </row>
    <row r="1916" spans="1:6" x14ac:dyDescent="0.3">
      <c r="A1916" s="63"/>
      <c r="B1916" s="64"/>
      <c r="C1916" s="64"/>
      <c r="D1916" s="64"/>
      <c r="E1916" s="63"/>
      <c r="F1916" s="64"/>
    </row>
    <row r="1917" spans="1:6" x14ac:dyDescent="0.3">
      <c r="A1917" s="2"/>
      <c r="B1917" s="65"/>
      <c r="C1917" s="65"/>
      <c r="D1917" s="2"/>
      <c r="E1917" s="2"/>
      <c r="F1917" s="2"/>
    </row>
    <row r="1918" spans="1:6" x14ac:dyDescent="0.3">
      <c r="A1918" s="63"/>
      <c r="B1918" s="64"/>
      <c r="C1918" s="64"/>
      <c r="D1918" s="64"/>
      <c r="E1918" s="63"/>
      <c r="F1918" s="64"/>
    </row>
    <row r="1919" spans="1:6" x14ac:dyDescent="0.3">
      <c r="A1919" s="2"/>
      <c r="B1919" s="65"/>
      <c r="C1919" s="65"/>
      <c r="D1919" s="2"/>
      <c r="E1919" s="2"/>
      <c r="F1919" s="2"/>
    </row>
    <row r="1920" spans="1:6" x14ac:dyDescent="0.3">
      <c r="A1920" s="63"/>
      <c r="B1920" s="64"/>
      <c r="C1920" s="64"/>
      <c r="D1920" s="64"/>
      <c r="E1920" s="63"/>
      <c r="F1920" s="64"/>
    </row>
    <row r="1921" spans="1:6" x14ac:dyDescent="0.3">
      <c r="A1921" s="2"/>
      <c r="B1921" s="65"/>
      <c r="C1921" s="65"/>
      <c r="D1921" s="2"/>
      <c r="E1921" s="2"/>
      <c r="F1921" s="2"/>
    </row>
    <row r="1922" spans="1:6" x14ac:dyDescent="0.3">
      <c r="A1922" s="63"/>
      <c r="B1922" s="64"/>
      <c r="C1922" s="64"/>
      <c r="D1922" s="64"/>
      <c r="E1922" s="63"/>
      <c r="F1922" s="64"/>
    </row>
    <row r="1923" spans="1:6" x14ac:dyDescent="0.3">
      <c r="A1923" s="2"/>
      <c r="B1923" s="65"/>
      <c r="C1923" s="65"/>
      <c r="D1923" s="2"/>
      <c r="E1923" s="2"/>
      <c r="F1923" s="2"/>
    </row>
    <row r="1924" spans="1:6" x14ac:dyDescent="0.3">
      <c r="A1924" s="63"/>
      <c r="B1924" s="64"/>
      <c r="C1924" s="64"/>
      <c r="D1924" s="64"/>
      <c r="E1924" s="63"/>
      <c r="F1924" s="64"/>
    </row>
    <row r="1925" spans="1:6" x14ac:dyDescent="0.3">
      <c r="A1925" s="2"/>
      <c r="B1925" s="65"/>
      <c r="C1925" s="65"/>
      <c r="D1925" s="2"/>
      <c r="E1925" s="2"/>
      <c r="F1925" s="2"/>
    </row>
    <row r="1926" spans="1:6" x14ac:dyDescent="0.3">
      <c r="A1926" s="63"/>
      <c r="B1926" s="64"/>
      <c r="C1926" s="64"/>
      <c r="D1926" s="64"/>
      <c r="E1926" s="63"/>
      <c r="F1926" s="64"/>
    </row>
    <row r="1927" spans="1:6" x14ac:dyDescent="0.3">
      <c r="A1927" s="2"/>
      <c r="B1927" s="65"/>
      <c r="C1927" s="65"/>
      <c r="D1927" s="2"/>
      <c r="E1927" s="2"/>
      <c r="F1927" s="2"/>
    </row>
    <row r="1928" spans="1:6" x14ac:dyDescent="0.3">
      <c r="A1928" s="63"/>
      <c r="B1928" s="64"/>
      <c r="C1928" s="64"/>
      <c r="D1928" s="64"/>
      <c r="E1928" s="63"/>
      <c r="F1928" s="64"/>
    </row>
    <row r="1929" spans="1:6" x14ac:dyDescent="0.3">
      <c r="A1929" s="2"/>
      <c r="B1929" s="65"/>
      <c r="C1929" s="65"/>
      <c r="D1929" s="2"/>
      <c r="E1929" s="2"/>
      <c r="F1929" s="2"/>
    </row>
    <row r="1930" spans="1:6" x14ac:dyDescent="0.3">
      <c r="A1930" s="63"/>
      <c r="B1930" s="64"/>
      <c r="C1930" s="64"/>
      <c r="D1930" s="64"/>
      <c r="E1930" s="63"/>
      <c r="F1930" s="64"/>
    </row>
    <row r="1931" spans="1:6" x14ac:dyDescent="0.3">
      <c r="A1931" s="2"/>
      <c r="B1931" s="65"/>
      <c r="C1931" s="65"/>
      <c r="D1931" s="2"/>
      <c r="E1931" s="2"/>
      <c r="F1931" s="2"/>
    </row>
    <row r="1932" spans="1:6" x14ac:dyDescent="0.3">
      <c r="A1932" s="63"/>
      <c r="B1932" s="64"/>
      <c r="C1932" s="64"/>
      <c r="D1932" s="64"/>
      <c r="E1932" s="63"/>
      <c r="F1932" s="64"/>
    </row>
    <row r="1933" spans="1:6" x14ac:dyDescent="0.3">
      <c r="A1933" s="2"/>
      <c r="B1933" s="65"/>
      <c r="C1933" s="65"/>
      <c r="D1933" s="2"/>
      <c r="E1933" s="2"/>
      <c r="F1933" s="2"/>
    </row>
    <row r="1934" spans="1:6" x14ac:dyDescent="0.3">
      <c r="A1934" s="63"/>
      <c r="B1934" s="64"/>
      <c r="C1934" s="64"/>
      <c r="D1934" s="64"/>
      <c r="E1934" s="63"/>
      <c r="F1934" s="64"/>
    </row>
    <row r="1935" spans="1:6" x14ac:dyDescent="0.3">
      <c r="A1935" s="2"/>
      <c r="B1935" s="65"/>
      <c r="C1935" s="65"/>
      <c r="D1935" s="2"/>
      <c r="E1935" s="2"/>
      <c r="F1935" s="2"/>
    </row>
    <row r="1936" spans="1:6" x14ac:dyDescent="0.3">
      <c r="A1936" s="63"/>
      <c r="B1936" s="64"/>
      <c r="C1936" s="64"/>
      <c r="D1936" s="64"/>
      <c r="E1936" s="63"/>
      <c r="F1936" s="64"/>
    </row>
    <row r="1937" spans="1:6" x14ac:dyDescent="0.3">
      <c r="A1937" s="2"/>
      <c r="B1937" s="65"/>
      <c r="C1937" s="65"/>
      <c r="D1937" s="2"/>
      <c r="E1937" s="2"/>
      <c r="F1937" s="2"/>
    </row>
    <row r="1938" spans="1:6" x14ac:dyDescent="0.3">
      <c r="A1938" s="63"/>
      <c r="B1938" s="64"/>
      <c r="C1938" s="64"/>
      <c r="D1938" s="64"/>
      <c r="E1938" s="63"/>
      <c r="F1938" s="64"/>
    </row>
    <row r="1939" spans="1:6" x14ac:dyDescent="0.3">
      <c r="A1939" s="2"/>
      <c r="B1939" s="65"/>
      <c r="C1939" s="65"/>
      <c r="D1939" s="2"/>
      <c r="E1939" s="2"/>
      <c r="F1939" s="2"/>
    </row>
    <row r="1940" spans="1:6" x14ac:dyDescent="0.3">
      <c r="A1940" s="63"/>
      <c r="B1940" s="64"/>
      <c r="C1940" s="64"/>
      <c r="D1940" s="64"/>
      <c r="E1940" s="63"/>
      <c r="F1940" s="64"/>
    </row>
    <row r="1941" spans="1:6" x14ac:dyDescent="0.3">
      <c r="A1941" s="2"/>
      <c r="B1941" s="65"/>
      <c r="C1941" s="65"/>
      <c r="D1941" s="2"/>
      <c r="E1941" s="2"/>
      <c r="F1941" s="2"/>
    </row>
    <row r="1942" spans="1:6" x14ac:dyDescent="0.3">
      <c r="A1942" s="63"/>
      <c r="B1942" s="64"/>
      <c r="C1942" s="64"/>
      <c r="D1942" s="64"/>
      <c r="E1942" s="63"/>
      <c r="F1942" s="64"/>
    </row>
    <row r="1943" spans="1:6" x14ac:dyDescent="0.3">
      <c r="A1943" s="2"/>
      <c r="B1943" s="65"/>
      <c r="C1943" s="65"/>
      <c r="D1943" s="2"/>
      <c r="E1943" s="2"/>
      <c r="F1943" s="2"/>
    </row>
    <row r="1944" spans="1:6" x14ac:dyDescent="0.3">
      <c r="A1944" s="63"/>
      <c r="B1944" s="64"/>
      <c r="C1944" s="64"/>
      <c r="D1944" s="64"/>
      <c r="E1944" s="63"/>
      <c r="F1944" s="64"/>
    </row>
    <row r="1945" spans="1:6" x14ac:dyDescent="0.3">
      <c r="A1945" s="2"/>
      <c r="B1945" s="65"/>
      <c r="C1945" s="65"/>
      <c r="D1945" s="2"/>
      <c r="E1945" s="2"/>
      <c r="F1945" s="2"/>
    </row>
    <row r="1946" spans="1:6" x14ac:dyDescent="0.3">
      <c r="A1946" s="63"/>
      <c r="B1946" s="64"/>
      <c r="C1946" s="64"/>
      <c r="D1946" s="64"/>
      <c r="E1946" s="63"/>
      <c r="F1946" s="64"/>
    </row>
    <row r="1947" spans="1:6" x14ac:dyDescent="0.3">
      <c r="A1947" s="2"/>
      <c r="B1947" s="65"/>
      <c r="C1947" s="65"/>
      <c r="D1947" s="2"/>
      <c r="E1947" s="2"/>
      <c r="F1947" s="2"/>
    </row>
    <row r="1948" spans="1:6" x14ac:dyDescent="0.3">
      <c r="A1948" s="63"/>
      <c r="B1948" s="64"/>
      <c r="C1948" s="64"/>
      <c r="D1948" s="64"/>
      <c r="E1948" s="63"/>
      <c r="F1948" s="64"/>
    </row>
    <row r="1949" spans="1:6" x14ac:dyDescent="0.3">
      <c r="A1949" s="2"/>
      <c r="B1949" s="65"/>
      <c r="C1949" s="65"/>
      <c r="D1949" s="2"/>
      <c r="E1949" s="2"/>
      <c r="F1949" s="2"/>
    </row>
    <row r="1950" spans="1:6" x14ac:dyDescent="0.3">
      <c r="A1950" s="63"/>
      <c r="B1950" s="64"/>
      <c r="C1950" s="64"/>
      <c r="D1950" s="64"/>
      <c r="E1950" s="63"/>
      <c r="F1950" s="64"/>
    </row>
    <row r="1951" spans="1:6" x14ac:dyDescent="0.3">
      <c r="A1951" s="2"/>
      <c r="B1951" s="65"/>
      <c r="C1951" s="65"/>
      <c r="D1951" s="2"/>
      <c r="E1951" s="2"/>
      <c r="F1951" s="2"/>
    </row>
    <row r="1952" spans="1:6" x14ac:dyDescent="0.3">
      <c r="A1952" s="63"/>
      <c r="B1952" s="64"/>
      <c r="C1952" s="64"/>
      <c r="D1952" s="64"/>
      <c r="E1952" s="63"/>
      <c r="F1952" s="64"/>
    </row>
    <row r="1953" spans="1:6" x14ac:dyDescent="0.3">
      <c r="A1953" s="2"/>
      <c r="B1953" s="65"/>
      <c r="C1953" s="65"/>
      <c r="D1953" s="2"/>
      <c r="E1953" s="2"/>
      <c r="F1953" s="2"/>
    </row>
    <row r="1954" spans="1:6" x14ac:dyDescent="0.3">
      <c r="A1954" s="63"/>
      <c r="B1954" s="64"/>
      <c r="C1954" s="64"/>
      <c r="D1954" s="64"/>
      <c r="E1954" s="63"/>
      <c r="F1954" s="64"/>
    </row>
    <row r="1955" spans="1:6" x14ac:dyDescent="0.3">
      <c r="A1955" s="2"/>
      <c r="B1955" s="65"/>
      <c r="C1955" s="65"/>
      <c r="D1955" s="2"/>
      <c r="E1955" s="2"/>
      <c r="F1955" s="2"/>
    </row>
    <row r="1956" spans="1:6" x14ac:dyDescent="0.3">
      <c r="A1956" s="63"/>
      <c r="B1956" s="64"/>
      <c r="C1956" s="64"/>
      <c r="D1956" s="64"/>
      <c r="E1956" s="63"/>
      <c r="F1956" s="64"/>
    </row>
    <row r="1957" spans="1:6" x14ac:dyDescent="0.3">
      <c r="A1957" s="2"/>
      <c r="B1957" s="65"/>
      <c r="C1957" s="65"/>
      <c r="D1957" s="2"/>
      <c r="E1957" s="2"/>
      <c r="F1957" s="2"/>
    </row>
    <row r="1958" spans="1:6" x14ac:dyDescent="0.3">
      <c r="A1958" s="63"/>
      <c r="B1958" s="64"/>
      <c r="C1958" s="64"/>
      <c r="D1958" s="64"/>
      <c r="E1958" s="63"/>
      <c r="F1958" s="64"/>
    </row>
    <row r="1959" spans="1:6" x14ac:dyDescent="0.3">
      <c r="A1959" s="2"/>
      <c r="B1959" s="65"/>
      <c r="C1959" s="65"/>
      <c r="D1959" s="2"/>
      <c r="E1959" s="2"/>
      <c r="F1959" s="2"/>
    </row>
    <row r="1960" spans="1:6" x14ac:dyDescent="0.3">
      <c r="A1960" s="63"/>
      <c r="B1960" s="64"/>
      <c r="C1960" s="64"/>
      <c r="D1960" s="64"/>
      <c r="E1960" s="63"/>
      <c r="F1960" s="64"/>
    </row>
    <row r="1961" spans="1:6" x14ac:dyDescent="0.3">
      <c r="A1961" s="2"/>
      <c r="B1961" s="65"/>
      <c r="C1961" s="65"/>
      <c r="D1961" s="2"/>
      <c r="E1961" s="2"/>
      <c r="F1961" s="2"/>
    </row>
    <row r="1962" spans="1:6" x14ac:dyDescent="0.3">
      <c r="A1962" s="63"/>
      <c r="B1962" s="64"/>
      <c r="C1962" s="64"/>
      <c r="D1962" s="64"/>
      <c r="E1962" s="63"/>
      <c r="F1962" s="64"/>
    </row>
    <row r="1963" spans="1:6" x14ac:dyDescent="0.3">
      <c r="A1963" s="2"/>
      <c r="B1963" s="65"/>
      <c r="C1963" s="65"/>
      <c r="D1963" s="2"/>
      <c r="E1963" s="2"/>
      <c r="F1963" s="2"/>
    </row>
    <row r="1964" spans="1:6" x14ac:dyDescent="0.3">
      <c r="A1964" s="63"/>
      <c r="B1964" s="64"/>
      <c r="C1964" s="64"/>
      <c r="D1964" s="64"/>
      <c r="E1964" s="63"/>
      <c r="F1964" s="64"/>
    </row>
    <row r="1965" spans="1:6" x14ac:dyDescent="0.3">
      <c r="A1965" s="2"/>
      <c r="B1965" s="65"/>
      <c r="C1965" s="65"/>
      <c r="D1965" s="2"/>
      <c r="E1965" s="2"/>
      <c r="F1965" s="2"/>
    </row>
    <row r="1966" spans="1:6" x14ac:dyDescent="0.3">
      <c r="A1966" s="63"/>
      <c r="B1966" s="64"/>
      <c r="C1966" s="64"/>
      <c r="D1966" s="64"/>
      <c r="E1966" s="63"/>
      <c r="F1966" s="64"/>
    </row>
    <row r="1967" spans="1:6" x14ac:dyDescent="0.3">
      <c r="A1967" s="2"/>
      <c r="B1967" s="65"/>
      <c r="C1967" s="65"/>
      <c r="D1967" s="2"/>
      <c r="E1967" s="2"/>
      <c r="F1967" s="2"/>
    </row>
    <row r="1968" spans="1:6" x14ac:dyDescent="0.3">
      <c r="A1968" s="63"/>
      <c r="B1968" s="64"/>
      <c r="C1968" s="64"/>
      <c r="D1968" s="64"/>
      <c r="E1968" s="63"/>
      <c r="F1968" s="64"/>
    </row>
    <row r="1969" spans="1:6" x14ac:dyDescent="0.3">
      <c r="A1969" s="2"/>
      <c r="B1969" s="65"/>
      <c r="C1969" s="65"/>
      <c r="D1969" s="2"/>
      <c r="E1969" s="2"/>
      <c r="F1969" s="2"/>
    </row>
    <row r="1970" spans="1:6" x14ac:dyDescent="0.3">
      <c r="A1970" s="63"/>
      <c r="B1970" s="64"/>
      <c r="C1970" s="64"/>
      <c r="D1970" s="64"/>
      <c r="E1970" s="63"/>
      <c r="F1970" s="64"/>
    </row>
    <row r="1971" spans="1:6" x14ac:dyDescent="0.3">
      <c r="A1971" s="2"/>
      <c r="B1971" s="65"/>
      <c r="C1971" s="65"/>
      <c r="D1971" s="2"/>
      <c r="E1971" s="2"/>
      <c r="F1971" s="2"/>
    </row>
    <row r="1972" spans="1:6" x14ac:dyDescent="0.3">
      <c r="A1972" s="63"/>
      <c r="B1972" s="64"/>
      <c r="C1972" s="64"/>
      <c r="D1972" s="64"/>
      <c r="E1972" s="63"/>
      <c r="F1972" s="64"/>
    </row>
    <row r="1973" spans="1:6" x14ac:dyDescent="0.3">
      <c r="A1973" s="2"/>
      <c r="B1973" s="65"/>
      <c r="C1973" s="65"/>
      <c r="D1973" s="2"/>
      <c r="E1973" s="2"/>
      <c r="F1973" s="2"/>
    </row>
    <row r="1974" spans="1:6" x14ac:dyDescent="0.3">
      <c r="A1974" s="63"/>
      <c r="B1974" s="64"/>
      <c r="C1974" s="64"/>
      <c r="D1974" s="64"/>
      <c r="E1974" s="63"/>
      <c r="F1974" s="64"/>
    </row>
    <row r="1975" spans="1:6" x14ac:dyDescent="0.3">
      <c r="A1975" s="2"/>
      <c r="B1975" s="65"/>
      <c r="C1975" s="65"/>
      <c r="D1975" s="2"/>
      <c r="E1975" s="2"/>
      <c r="F1975" s="2"/>
    </row>
    <row r="1976" spans="1:6" x14ac:dyDescent="0.3">
      <c r="A1976" s="63"/>
      <c r="B1976" s="64"/>
      <c r="C1976" s="64"/>
      <c r="D1976" s="64"/>
      <c r="E1976" s="63"/>
      <c r="F1976" s="64"/>
    </row>
    <row r="1977" spans="1:6" x14ac:dyDescent="0.3">
      <c r="A1977" s="2"/>
      <c r="B1977" s="65"/>
      <c r="C1977" s="65"/>
      <c r="D1977" s="2"/>
      <c r="E1977" s="2"/>
      <c r="F1977" s="2"/>
    </row>
    <row r="1978" spans="1:6" x14ac:dyDescent="0.3">
      <c r="A1978" s="63"/>
      <c r="B1978" s="64"/>
      <c r="C1978" s="64"/>
      <c r="D1978" s="64"/>
      <c r="E1978" s="63"/>
      <c r="F1978" s="64"/>
    </row>
    <row r="1979" spans="1:6" x14ac:dyDescent="0.3">
      <c r="A1979" s="2"/>
      <c r="B1979" s="65"/>
      <c r="C1979" s="65"/>
      <c r="D1979" s="2"/>
      <c r="E1979" s="2"/>
      <c r="F1979" s="2"/>
    </row>
    <row r="1980" spans="1:6" x14ac:dyDescent="0.3">
      <c r="A1980" s="63"/>
      <c r="B1980" s="64"/>
      <c r="C1980" s="64"/>
      <c r="D1980" s="64"/>
      <c r="E1980" s="63"/>
      <c r="F1980" s="64"/>
    </row>
    <row r="1981" spans="1:6" x14ac:dyDescent="0.3">
      <c r="A1981" s="2"/>
      <c r="B1981" s="65"/>
      <c r="C1981" s="65"/>
      <c r="D1981" s="2"/>
      <c r="E1981" s="2"/>
      <c r="F1981" s="2"/>
    </row>
    <row r="1982" spans="1:6" x14ac:dyDescent="0.3">
      <c r="A1982" s="63"/>
      <c r="B1982" s="64"/>
      <c r="C1982" s="64"/>
      <c r="D1982" s="64"/>
      <c r="E1982" s="63"/>
      <c r="F1982" s="64"/>
    </row>
    <row r="1983" spans="1:6" x14ac:dyDescent="0.3">
      <c r="A1983" s="2"/>
      <c r="B1983" s="65"/>
      <c r="C1983" s="65"/>
      <c r="D1983" s="2"/>
      <c r="E1983" s="2"/>
      <c r="F1983" s="2"/>
    </row>
    <row r="1984" spans="1:6" x14ac:dyDescent="0.3">
      <c r="A1984" s="63"/>
      <c r="B1984" s="64"/>
      <c r="C1984" s="64"/>
      <c r="D1984" s="64"/>
      <c r="E1984" s="63"/>
      <c r="F1984" s="64"/>
    </row>
    <row r="1985" spans="1:6" x14ac:dyDescent="0.3">
      <c r="A1985" s="2"/>
      <c r="B1985" s="65"/>
      <c r="C1985" s="65"/>
      <c r="D1985" s="2"/>
      <c r="E1985" s="2"/>
      <c r="F1985" s="2"/>
    </row>
    <row r="1986" spans="1:6" x14ac:dyDescent="0.3">
      <c r="A1986" s="63"/>
      <c r="B1986" s="64"/>
      <c r="C1986" s="64"/>
      <c r="D1986" s="64"/>
      <c r="E1986" s="63"/>
      <c r="F1986" s="64"/>
    </row>
    <row r="1987" spans="1:6" x14ac:dyDescent="0.3">
      <c r="A1987" s="2"/>
      <c r="B1987" s="65"/>
      <c r="C1987" s="65"/>
      <c r="D1987" s="2"/>
      <c r="E1987" s="2"/>
      <c r="F1987" s="2"/>
    </row>
    <row r="1988" spans="1:6" x14ac:dyDescent="0.3">
      <c r="A1988" s="63"/>
      <c r="B1988" s="64"/>
      <c r="C1988" s="64"/>
      <c r="D1988" s="64"/>
      <c r="E1988" s="63"/>
      <c r="F1988" s="64"/>
    </row>
    <row r="1989" spans="1:6" x14ac:dyDescent="0.3">
      <c r="A1989" s="2"/>
      <c r="B1989" s="65"/>
      <c r="C1989" s="65"/>
      <c r="D1989" s="2"/>
      <c r="E1989" s="2"/>
      <c r="F1989" s="2"/>
    </row>
    <row r="1990" spans="1:6" x14ac:dyDescent="0.3">
      <c r="A1990" s="63"/>
      <c r="B1990" s="64"/>
      <c r="C1990" s="64"/>
      <c r="D1990" s="64"/>
      <c r="E1990" s="63"/>
      <c r="F1990" s="64"/>
    </row>
    <row r="1991" spans="1:6" x14ac:dyDescent="0.3">
      <c r="A1991" s="2"/>
      <c r="B1991" s="65"/>
      <c r="C1991" s="65"/>
      <c r="D1991" s="2"/>
      <c r="E1991" s="2"/>
      <c r="F1991" s="2"/>
    </row>
    <row r="1992" spans="1:6" x14ac:dyDescent="0.3">
      <c r="A1992" s="63"/>
      <c r="B1992" s="64"/>
      <c r="C1992" s="64"/>
      <c r="D1992" s="64"/>
      <c r="E1992" s="63"/>
      <c r="F1992" s="64"/>
    </row>
    <row r="1993" spans="1:6" x14ac:dyDescent="0.3">
      <c r="A1993" s="2"/>
      <c r="B1993" s="65"/>
      <c r="C1993" s="65"/>
      <c r="D1993" s="2"/>
      <c r="E1993" s="2"/>
      <c r="F1993" s="2"/>
    </row>
    <row r="1994" spans="1:6" x14ac:dyDescent="0.3">
      <c r="A1994" s="63"/>
      <c r="B1994" s="64"/>
      <c r="C1994" s="64"/>
      <c r="D1994" s="64"/>
      <c r="E1994" s="63"/>
      <c r="F1994" s="64"/>
    </row>
    <row r="1995" spans="1:6" x14ac:dyDescent="0.3">
      <c r="A1995" s="2"/>
      <c r="B1995" s="65"/>
      <c r="C1995" s="65"/>
      <c r="D1995" s="2"/>
      <c r="E1995" s="2"/>
      <c r="F1995" s="2"/>
    </row>
    <row r="1996" spans="1:6" x14ac:dyDescent="0.3">
      <c r="A1996" s="63"/>
      <c r="B1996" s="64"/>
      <c r="C1996" s="64"/>
      <c r="D1996" s="64"/>
      <c r="E1996" s="63"/>
      <c r="F1996" s="64"/>
    </row>
    <row r="1997" spans="1:6" x14ac:dyDescent="0.3">
      <c r="A1997" s="2"/>
      <c r="B1997" s="65"/>
      <c r="C1997" s="65"/>
      <c r="D1997" s="2"/>
      <c r="E1997" s="2"/>
      <c r="F1997" s="2"/>
    </row>
    <row r="1998" spans="1:6" x14ac:dyDescent="0.3">
      <c r="A1998" s="63"/>
      <c r="B1998" s="64"/>
      <c r="C1998" s="64"/>
      <c r="D1998" s="64"/>
      <c r="E1998" s="63"/>
      <c r="F1998" s="64"/>
    </row>
    <row r="1999" spans="1:6" x14ac:dyDescent="0.3">
      <c r="A1999" s="2"/>
      <c r="B1999" s="65"/>
      <c r="C1999" s="65"/>
      <c r="D1999" s="2"/>
      <c r="E1999" s="2"/>
      <c r="F1999" s="2"/>
    </row>
    <row r="2000" spans="1:6" x14ac:dyDescent="0.3">
      <c r="A2000" s="63"/>
      <c r="B2000" s="64"/>
      <c r="C2000" s="64"/>
      <c r="D2000" s="64"/>
      <c r="E2000" s="63"/>
      <c r="F2000" s="64"/>
    </row>
    <row r="2001" spans="1:6" x14ac:dyDescent="0.3">
      <c r="A2001" s="2"/>
      <c r="B2001" s="65"/>
      <c r="C2001" s="65"/>
      <c r="D2001" s="2"/>
      <c r="E2001" s="2"/>
      <c r="F2001" s="2"/>
    </row>
    <row r="2002" spans="1:6" x14ac:dyDescent="0.3">
      <c r="A2002" s="63"/>
      <c r="B2002" s="64"/>
      <c r="C2002" s="64"/>
      <c r="D2002" s="64"/>
      <c r="E2002" s="63"/>
      <c r="F2002" s="64"/>
    </row>
    <row r="2003" spans="1:6" x14ac:dyDescent="0.3">
      <c r="A2003" s="2"/>
      <c r="B2003" s="65"/>
      <c r="C2003" s="65"/>
      <c r="D2003" s="2"/>
      <c r="E2003" s="2"/>
      <c r="F2003" s="2"/>
    </row>
    <row r="2004" spans="1:6" x14ac:dyDescent="0.3">
      <c r="A2004" s="63"/>
      <c r="B2004" s="64"/>
      <c r="C2004" s="64"/>
      <c r="D2004" s="64"/>
      <c r="E2004" s="63"/>
      <c r="F2004" s="64"/>
    </row>
    <row r="2005" spans="1:6" x14ac:dyDescent="0.3">
      <c r="A2005" s="2"/>
      <c r="B2005" s="65"/>
      <c r="C2005" s="65"/>
      <c r="D2005" s="2"/>
      <c r="E2005" s="2"/>
      <c r="F2005" s="2"/>
    </row>
    <row r="2006" spans="1:6" x14ac:dyDescent="0.3">
      <c r="A2006" s="63"/>
      <c r="B2006" s="64"/>
      <c r="C2006" s="64"/>
      <c r="D2006" s="64"/>
      <c r="E2006" s="63"/>
      <c r="F2006" s="64"/>
    </row>
    <row r="2007" spans="1:6" x14ac:dyDescent="0.3">
      <c r="A2007" s="2"/>
      <c r="B2007" s="65"/>
      <c r="C2007" s="65"/>
      <c r="D2007" s="2"/>
      <c r="E2007" s="2"/>
      <c r="F2007" s="2"/>
    </row>
    <row r="2008" spans="1:6" x14ac:dyDescent="0.3">
      <c r="A2008" s="63"/>
      <c r="B2008" s="64"/>
      <c r="C2008" s="64"/>
      <c r="D2008" s="64"/>
      <c r="E2008" s="63"/>
      <c r="F2008" s="64"/>
    </row>
    <row r="2009" spans="1:6" x14ac:dyDescent="0.3">
      <c r="A2009" s="2"/>
      <c r="B2009" s="65"/>
      <c r="C2009" s="65"/>
      <c r="D2009" s="2"/>
      <c r="E2009" s="2"/>
      <c r="F2009" s="2"/>
    </row>
    <row r="2010" spans="1:6" x14ac:dyDescent="0.3">
      <c r="A2010" s="63"/>
      <c r="B2010" s="64"/>
      <c r="C2010" s="64"/>
      <c r="D2010" s="64"/>
      <c r="E2010" s="63"/>
      <c r="F2010" s="64"/>
    </row>
    <row r="2011" spans="1:6" x14ac:dyDescent="0.3">
      <c r="A2011" s="2"/>
      <c r="B2011" s="65"/>
      <c r="C2011" s="65"/>
      <c r="D2011" s="2"/>
      <c r="E2011" s="2"/>
      <c r="F2011" s="2"/>
    </row>
    <row r="2012" spans="1:6" x14ac:dyDescent="0.3">
      <c r="A2012" s="63"/>
      <c r="B2012" s="64"/>
      <c r="C2012" s="64"/>
      <c r="D2012" s="64"/>
      <c r="E2012" s="63"/>
      <c r="F2012" s="64"/>
    </row>
    <row r="2013" spans="1:6" x14ac:dyDescent="0.3">
      <c r="A2013" s="2"/>
      <c r="B2013" s="65"/>
      <c r="C2013" s="65"/>
      <c r="D2013" s="2"/>
      <c r="E2013" s="2"/>
      <c r="F2013" s="2"/>
    </row>
    <row r="2014" spans="1:6" x14ac:dyDescent="0.3">
      <c r="A2014" s="63"/>
      <c r="B2014" s="64"/>
      <c r="C2014" s="64"/>
      <c r="D2014" s="64"/>
      <c r="E2014" s="63"/>
      <c r="F2014" s="64"/>
    </row>
    <row r="2015" spans="1:6" x14ac:dyDescent="0.3">
      <c r="A2015" s="2"/>
      <c r="B2015" s="65"/>
      <c r="C2015" s="65"/>
      <c r="D2015" s="2"/>
      <c r="E2015" s="2"/>
      <c r="F2015" s="2"/>
    </row>
    <row r="2016" spans="1:6" x14ac:dyDescent="0.3">
      <c r="A2016" s="63"/>
      <c r="B2016" s="64"/>
      <c r="C2016" s="64"/>
      <c r="D2016" s="64"/>
      <c r="E2016" s="63"/>
      <c r="F2016" s="64"/>
    </row>
    <row r="2017" spans="1:6" x14ac:dyDescent="0.3">
      <c r="A2017" s="2"/>
      <c r="B2017" s="65"/>
      <c r="C2017" s="65"/>
      <c r="D2017" s="2"/>
      <c r="E2017" s="2"/>
      <c r="F2017" s="2"/>
    </row>
    <row r="2018" spans="1:6" x14ac:dyDescent="0.3">
      <c r="A2018" s="63"/>
      <c r="B2018" s="64"/>
      <c r="C2018" s="64"/>
      <c r="D2018" s="64"/>
      <c r="E2018" s="63"/>
      <c r="F2018" s="64"/>
    </row>
    <row r="2019" spans="1:6" x14ac:dyDescent="0.3">
      <c r="A2019" s="2"/>
      <c r="B2019" s="65"/>
      <c r="C2019" s="65"/>
      <c r="D2019" s="2"/>
      <c r="E2019" s="2"/>
      <c r="F2019" s="2"/>
    </row>
    <row r="2020" spans="1:6" x14ac:dyDescent="0.3">
      <c r="A2020" s="63"/>
      <c r="B2020" s="64"/>
      <c r="C2020" s="64"/>
      <c r="D2020" s="64"/>
      <c r="E2020" s="63"/>
      <c r="F2020" s="64"/>
    </row>
    <row r="2021" spans="1:6" x14ac:dyDescent="0.3">
      <c r="A2021" s="2"/>
      <c r="B2021" s="65"/>
      <c r="C2021" s="65"/>
      <c r="D2021" s="2"/>
      <c r="E2021" s="2"/>
      <c r="F2021" s="2"/>
    </row>
    <row r="2022" spans="1:6" x14ac:dyDescent="0.3">
      <c r="A2022" s="63"/>
      <c r="B2022" s="64"/>
      <c r="C2022" s="64"/>
      <c r="D2022" s="64"/>
      <c r="E2022" s="63"/>
      <c r="F2022" s="64"/>
    </row>
    <row r="2023" spans="1:6" x14ac:dyDescent="0.3">
      <c r="A2023" s="2"/>
      <c r="B2023" s="65"/>
      <c r="C2023" s="65"/>
      <c r="D2023" s="2"/>
      <c r="E2023" s="2"/>
      <c r="F2023" s="2"/>
    </row>
    <row r="2024" spans="1:6" x14ac:dyDescent="0.3">
      <c r="A2024" s="63"/>
      <c r="B2024" s="64"/>
      <c r="C2024" s="64"/>
      <c r="D2024" s="64"/>
      <c r="E2024" s="63"/>
      <c r="F2024" s="64"/>
    </row>
    <row r="2025" spans="1:6" x14ac:dyDescent="0.3">
      <c r="A2025" s="2"/>
      <c r="B2025" s="65"/>
      <c r="C2025" s="65"/>
      <c r="D2025" s="2"/>
      <c r="E2025" s="2"/>
      <c r="F2025" s="2"/>
    </row>
    <row r="2026" spans="1:6" x14ac:dyDescent="0.3">
      <c r="A2026" s="63"/>
      <c r="B2026" s="64"/>
      <c r="C2026" s="64"/>
      <c r="D2026" s="64"/>
      <c r="E2026" s="63"/>
      <c r="F2026" s="64"/>
    </row>
    <row r="2027" spans="1:6" x14ac:dyDescent="0.3">
      <c r="A2027" s="2"/>
      <c r="B2027" s="65"/>
      <c r="C2027" s="65"/>
      <c r="D2027" s="2"/>
      <c r="E2027" s="2"/>
      <c r="F2027" s="2"/>
    </row>
    <row r="2028" spans="1:6" x14ac:dyDescent="0.3">
      <c r="A2028" s="63"/>
      <c r="B2028" s="64"/>
      <c r="C2028" s="64"/>
      <c r="D2028" s="64"/>
      <c r="E2028" s="63"/>
      <c r="F2028" s="64"/>
    </row>
    <row r="2029" spans="1:6" x14ac:dyDescent="0.3">
      <c r="A2029" s="2"/>
      <c r="B2029" s="65"/>
      <c r="C2029" s="65"/>
      <c r="D2029" s="2"/>
      <c r="E2029" s="2"/>
      <c r="F2029" s="2"/>
    </row>
    <row r="2030" spans="1:6" x14ac:dyDescent="0.3">
      <c r="A2030" s="63"/>
      <c r="B2030" s="64"/>
      <c r="C2030" s="64"/>
      <c r="D2030" s="64"/>
      <c r="E2030" s="63"/>
      <c r="F2030" s="64"/>
    </row>
    <row r="2031" spans="1:6" x14ac:dyDescent="0.3">
      <c r="A2031" s="2"/>
      <c r="B2031" s="65"/>
      <c r="C2031" s="65"/>
      <c r="D2031" s="2"/>
      <c r="E2031" s="2"/>
      <c r="F2031" s="2"/>
    </row>
    <row r="2032" spans="1:6" x14ac:dyDescent="0.3">
      <c r="A2032" s="63"/>
      <c r="B2032" s="64"/>
      <c r="C2032" s="64"/>
      <c r="D2032" s="64"/>
      <c r="E2032" s="63"/>
      <c r="F2032" s="64"/>
    </row>
    <row r="2033" spans="1:6" x14ac:dyDescent="0.3">
      <c r="A2033" s="2"/>
      <c r="B2033" s="65"/>
      <c r="C2033" s="65"/>
      <c r="D2033" s="2"/>
      <c r="E2033" s="2"/>
      <c r="F2033" s="2"/>
    </row>
    <row r="2034" spans="1:6" x14ac:dyDescent="0.3">
      <c r="A2034" s="63"/>
      <c r="B2034" s="64"/>
      <c r="C2034" s="64"/>
      <c r="D2034" s="64"/>
      <c r="E2034" s="63"/>
      <c r="F2034" s="64"/>
    </row>
    <row r="2035" spans="1:6" x14ac:dyDescent="0.3">
      <c r="A2035" s="2"/>
      <c r="B2035" s="65"/>
      <c r="C2035" s="65"/>
      <c r="D2035" s="2"/>
      <c r="E2035" s="2"/>
      <c r="F2035" s="2"/>
    </row>
    <row r="2036" spans="1:6" x14ac:dyDescent="0.3">
      <c r="A2036" s="63"/>
      <c r="B2036" s="64"/>
      <c r="C2036" s="64"/>
      <c r="D2036" s="64"/>
      <c r="E2036" s="63"/>
      <c r="F2036" s="64"/>
    </row>
    <row r="2037" spans="1:6" x14ac:dyDescent="0.3">
      <c r="A2037" s="2"/>
      <c r="B2037" s="65"/>
      <c r="C2037" s="65"/>
      <c r="D2037" s="2"/>
      <c r="E2037" s="2"/>
      <c r="F2037" s="2"/>
    </row>
    <row r="2038" spans="1:6" x14ac:dyDescent="0.3">
      <c r="A2038" s="63"/>
      <c r="B2038" s="64"/>
      <c r="C2038" s="64"/>
      <c r="D2038" s="64"/>
      <c r="E2038" s="63"/>
      <c r="F2038" s="64"/>
    </row>
    <row r="2039" spans="1:6" x14ac:dyDescent="0.3">
      <c r="A2039" s="2"/>
      <c r="B2039" s="65"/>
      <c r="C2039" s="65"/>
      <c r="D2039" s="2"/>
      <c r="E2039" s="2"/>
      <c r="F2039" s="2"/>
    </row>
    <row r="2040" spans="1:6" x14ac:dyDescent="0.3">
      <c r="A2040" s="63"/>
      <c r="B2040" s="64"/>
      <c r="C2040" s="64"/>
      <c r="D2040" s="64"/>
      <c r="E2040" s="63"/>
      <c r="F2040" s="64"/>
    </row>
    <row r="2041" spans="1:6" x14ac:dyDescent="0.3">
      <c r="A2041" s="2"/>
      <c r="B2041" s="65"/>
      <c r="C2041" s="65"/>
      <c r="D2041" s="2"/>
      <c r="E2041" s="2"/>
      <c r="F2041" s="2"/>
    </row>
    <row r="2042" spans="1:6" x14ac:dyDescent="0.3">
      <c r="A2042" s="63"/>
      <c r="B2042" s="64"/>
      <c r="C2042" s="64"/>
      <c r="D2042" s="64"/>
      <c r="E2042" s="63"/>
      <c r="F2042" s="64"/>
    </row>
    <row r="2043" spans="1:6" x14ac:dyDescent="0.3">
      <c r="A2043" s="2"/>
      <c r="B2043" s="65"/>
      <c r="C2043" s="65"/>
      <c r="D2043" s="2"/>
      <c r="E2043" s="2"/>
      <c r="F2043" s="2"/>
    </row>
    <row r="2044" spans="1:6" x14ac:dyDescent="0.3">
      <c r="A2044" s="63"/>
      <c r="B2044" s="64"/>
      <c r="C2044" s="64"/>
      <c r="D2044" s="64"/>
      <c r="E2044" s="63"/>
      <c r="F2044" s="64"/>
    </row>
    <row r="2045" spans="1:6" x14ac:dyDescent="0.3">
      <c r="A2045" s="2"/>
      <c r="B2045" s="65"/>
      <c r="C2045" s="65"/>
      <c r="D2045" s="2"/>
      <c r="E2045" s="2"/>
      <c r="F2045" s="2"/>
    </row>
    <row r="2046" spans="1:6" x14ac:dyDescent="0.3">
      <c r="A2046" s="63"/>
      <c r="B2046" s="64"/>
      <c r="C2046" s="64"/>
      <c r="D2046" s="64"/>
      <c r="E2046" s="63"/>
      <c r="F2046" s="64"/>
    </row>
    <row r="2047" spans="1:6" x14ac:dyDescent="0.3">
      <c r="A2047" s="2"/>
      <c r="B2047" s="65"/>
      <c r="C2047" s="65"/>
      <c r="D2047" s="2"/>
      <c r="E2047" s="2"/>
      <c r="F2047" s="2"/>
    </row>
    <row r="2048" spans="1:6" x14ac:dyDescent="0.3">
      <c r="A2048" s="63"/>
      <c r="B2048" s="64"/>
      <c r="C2048" s="64"/>
      <c r="D2048" s="64"/>
      <c r="E2048" s="63"/>
      <c r="F2048" s="64"/>
    </row>
    <row r="2049" spans="1:6" x14ac:dyDescent="0.3">
      <c r="A2049" s="2"/>
      <c r="B2049" s="65"/>
      <c r="C2049" s="65"/>
      <c r="D2049" s="2"/>
      <c r="E2049" s="2"/>
      <c r="F2049" s="2"/>
    </row>
    <row r="2050" spans="1:6" x14ac:dyDescent="0.3">
      <c r="A2050" s="63"/>
      <c r="B2050" s="64"/>
      <c r="C2050" s="64"/>
      <c r="D2050" s="64"/>
      <c r="E2050" s="63"/>
      <c r="F2050" s="64"/>
    </row>
    <row r="2051" spans="1:6" x14ac:dyDescent="0.3">
      <c r="A2051" s="2"/>
      <c r="B2051" s="65"/>
      <c r="C2051" s="65"/>
      <c r="D2051" s="2"/>
      <c r="E2051" s="2"/>
      <c r="F2051" s="2"/>
    </row>
    <row r="2052" spans="1:6" x14ac:dyDescent="0.3">
      <c r="A2052" s="63"/>
      <c r="B2052" s="64"/>
      <c r="C2052" s="64"/>
      <c r="D2052" s="64"/>
      <c r="E2052" s="63"/>
      <c r="F2052" s="64"/>
    </row>
    <row r="2053" spans="1:6" x14ac:dyDescent="0.3">
      <c r="A2053" s="2"/>
      <c r="B2053" s="65"/>
      <c r="C2053" s="65"/>
      <c r="D2053" s="2"/>
      <c r="E2053" s="2"/>
      <c r="F2053" s="2"/>
    </row>
    <row r="2054" spans="1:6" x14ac:dyDescent="0.3">
      <c r="A2054" s="63"/>
      <c r="B2054" s="64"/>
      <c r="C2054" s="64"/>
      <c r="D2054" s="64"/>
      <c r="E2054" s="63"/>
      <c r="F2054" s="64"/>
    </row>
    <row r="2055" spans="1:6" x14ac:dyDescent="0.3">
      <c r="A2055" s="2"/>
      <c r="B2055" s="65"/>
      <c r="C2055" s="65"/>
      <c r="D2055" s="2"/>
      <c r="E2055" s="2"/>
      <c r="F2055" s="2"/>
    </row>
    <row r="2056" spans="1:6" x14ac:dyDescent="0.3">
      <c r="A2056" s="63"/>
      <c r="B2056" s="64"/>
      <c r="C2056" s="64"/>
      <c r="D2056" s="64"/>
      <c r="E2056" s="63"/>
      <c r="F2056" s="64"/>
    </row>
    <row r="2057" spans="1:6" x14ac:dyDescent="0.3">
      <c r="A2057" s="2"/>
      <c r="B2057" s="65"/>
      <c r="C2057" s="65"/>
      <c r="D2057" s="2"/>
      <c r="E2057" s="2"/>
      <c r="F2057" s="2"/>
    </row>
    <row r="2058" spans="1:6" x14ac:dyDescent="0.3">
      <c r="A2058" s="63"/>
      <c r="B2058" s="64"/>
      <c r="C2058" s="64"/>
      <c r="D2058" s="64"/>
      <c r="E2058" s="63"/>
      <c r="F2058" s="64"/>
    </row>
    <row r="2059" spans="1:6" x14ac:dyDescent="0.3">
      <c r="A2059" s="2"/>
      <c r="B2059" s="65"/>
      <c r="C2059" s="65"/>
      <c r="D2059" s="2"/>
      <c r="E2059" s="2"/>
      <c r="F2059" s="2"/>
    </row>
    <row r="2060" spans="1:6" x14ac:dyDescent="0.3">
      <c r="A2060" s="63"/>
      <c r="B2060" s="64"/>
      <c r="C2060" s="64"/>
      <c r="D2060" s="64"/>
      <c r="E2060" s="63"/>
      <c r="F2060" s="64"/>
    </row>
    <row r="2061" spans="1:6" x14ac:dyDescent="0.3">
      <c r="A2061" s="2"/>
      <c r="B2061" s="65"/>
      <c r="C2061" s="65"/>
      <c r="D2061" s="2"/>
      <c r="E2061" s="2"/>
      <c r="F2061" s="2"/>
    </row>
    <row r="2062" spans="1:6" x14ac:dyDescent="0.3">
      <c r="A2062" s="63"/>
      <c r="B2062" s="64"/>
      <c r="C2062" s="64"/>
      <c r="D2062" s="64"/>
      <c r="E2062" s="63"/>
      <c r="F2062" s="64"/>
    </row>
    <row r="2063" spans="1:6" x14ac:dyDescent="0.3">
      <c r="A2063" s="2"/>
      <c r="B2063" s="65"/>
      <c r="C2063" s="65"/>
      <c r="D2063" s="2"/>
      <c r="E2063" s="2"/>
      <c r="F2063" s="2"/>
    </row>
    <row r="2064" spans="1:6" x14ac:dyDescent="0.3">
      <c r="A2064" s="63"/>
      <c r="B2064" s="64"/>
      <c r="C2064" s="64"/>
      <c r="D2064" s="64"/>
      <c r="E2064" s="63"/>
      <c r="F2064" s="64"/>
    </row>
    <row r="2065" spans="1:6" x14ac:dyDescent="0.3">
      <c r="A2065" s="2"/>
      <c r="B2065" s="65"/>
      <c r="C2065" s="65"/>
      <c r="D2065" s="2"/>
      <c r="E2065" s="2"/>
      <c r="F2065" s="2"/>
    </row>
    <row r="2066" spans="1:6" x14ac:dyDescent="0.3">
      <c r="A2066" s="63"/>
      <c r="B2066" s="64"/>
      <c r="C2066" s="64"/>
      <c r="D2066" s="64"/>
      <c r="E2066" s="63"/>
      <c r="F2066" s="64"/>
    </row>
    <row r="2067" spans="1:6" x14ac:dyDescent="0.3">
      <c r="A2067" s="2"/>
      <c r="B2067" s="65"/>
      <c r="C2067" s="65"/>
      <c r="D2067" s="2"/>
      <c r="E2067" s="2"/>
      <c r="F2067" s="2"/>
    </row>
    <row r="2068" spans="1:6" x14ac:dyDescent="0.3">
      <c r="A2068" s="63"/>
      <c r="B2068" s="64"/>
      <c r="C2068" s="64"/>
      <c r="D2068" s="64"/>
      <c r="E2068" s="63"/>
      <c r="F2068" s="64"/>
    </row>
    <row r="2069" spans="1:6" x14ac:dyDescent="0.3">
      <c r="A2069" s="2"/>
      <c r="B2069" s="65"/>
      <c r="C2069" s="65"/>
      <c r="D2069" s="2"/>
      <c r="E2069" s="2"/>
      <c r="F2069" s="2"/>
    </row>
    <row r="2070" spans="1:6" x14ac:dyDescent="0.3">
      <c r="A2070" s="63"/>
      <c r="B2070" s="64"/>
      <c r="C2070" s="64"/>
      <c r="D2070" s="64"/>
      <c r="E2070" s="63"/>
      <c r="F2070" s="64"/>
    </row>
    <row r="2071" spans="1:6" x14ac:dyDescent="0.3">
      <c r="A2071" s="2"/>
      <c r="B2071" s="65"/>
      <c r="C2071" s="65"/>
      <c r="D2071" s="2"/>
      <c r="E2071" s="2"/>
      <c r="F2071" s="2"/>
    </row>
    <row r="2072" spans="1:6" x14ac:dyDescent="0.3">
      <c r="A2072" s="63"/>
      <c r="B2072" s="64"/>
      <c r="C2072" s="64"/>
      <c r="D2072" s="64"/>
      <c r="E2072" s="63"/>
      <c r="F2072" s="64"/>
    </row>
    <row r="2073" spans="1:6" x14ac:dyDescent="0.3">
      <c r="A2073" s="2"/>
      <c r="B2073" s="65"/>
      <c r="C2073" s="65"/>
      <c r="D2073" s="2"/>
      <c r="E2073" s="2"/>
      <c r="F2073" s="2"/>
    </row>
    <row r="2074" spans="1:6" x14ac:dyDescent="0.3">
      <c r="A2074" s="63"/>
      <c r="B2074" s="64"/>
      <c r="C2074" s="64"/>
      <c r="D2074" s="64"/>
      <c r="E2074" s="63"/>
      <c r="F2074" s="64"/>
    </row>
    <row r="2075" spans="1:6" x14ac:dyDescent="0.3">
      <c r="A2075" s="2"/>
      <c r="B2075" s="65"/>
      <c r="C2075" s="65"/>
      <c r="D2075" s="2"/>
      <c r="E2075" s="2"/>
      <c r="F2075" s="2"/>
    </row>
    <row r="2076" spans="1:6" x14ac:dyDescent="0.3">
      <c r="A2076" s="63"/>
      <c r="B2076" s="64"/>
      <c r="C2076" s="64"/>
      <c r="D2076" s="64"/>
      <c r="E2076" s="63"/>
      <c r="F2076" s="64"/>
    </row>
    <row r="2077" spans="1:6" x14ac:dyDescent="0.3">
      <c r="A2077" s="2"/>
      <c r="B2077" s="65"/>
      <c r="C2077" s="65"/>
      <c r="D2077" s="2"/>
      <c r="E2077" s="2"/>
      <c r="F2077" s="2"/>
    </row>
    <row r="2078" spans="1:6" x14ac:dyDescent="0.3">
      <c r="A2078" s="63"/>
      <c r="B2078" s="64"/>
      <c r="C2078" s="64"/>
      <c r="D2078" s="64"/>
      <c r="E2078" s="63"/>
      <c r="F2078" s="64"/>
    </row>
    <row r="2079" spans="1:6" x14ac:dyDescent="0.3">
      <c r="A2079" s="2"/>
      <c r="B2079" s="65"/>
      <c r="C2079" s="65"/>
      <c r="D2079" s="2"/>
      <c r="E2079" s="2"/>
      <c r="F2079" s="2"/>
    </row>
    <row r="2080" spans="1:6" x14ac:dyDescent="0.3">
      <c r="A2080" s="63"/>
      <c r="B2080" s="64"/>
      <c r="C2080" s="64"/>
      <c r="D2080" s="64"/>
      <c r="E2080" s="63"/>
      <c r="F2080" s="64"/>
    </row>
    <row r="2081" spans="1:6" x14ac:dyDescent="0.3">
      <c r="A2081" s="2"/>
      <c r="B2081" s="65"/>
      <c r="C2081" s="65"/>
      <c r="D2081" s="2"/>
      <c r="E2081" s="2"/>
      <c r="F2081" s="2"/>
    </row>
    <row r="2082" spans="1:6" x14ac:dyDescent="0.3">
      <c r="A2082" s="63"/>
      <c r="B2082" s="64"/>
      <c r="C2082" s="64"/>
      <c r="D2082" s="64"/>
      <c r="E2082" s="63"/>
      <c r="F2082" s="64"/>
    </row>
    <row r="2083" spans="1:6" x14ac:dyDescent="0.3">
      <c r="A2083" s="2"/>
      <c r="B2083" s="65"/>
      <c r="C2083" s="65"/>
      <c r="D2083" s="2"/>
      <c r="E2083" s="2"/>
      <c r="F2083" s="2"/>
    </row>
    <row r="2084" spans="1:6" x14ac:dyDescent="0.3">
      <c r="A2084" s="63"/>
      <c r="B2084" s="64"/>
      <c r="C2084" s="64"/>
      <c r="D2084" s="64"/>
      <c r="E2084" s="63"/>
      <c r="F2084" s="64"/>
    </row>
    <row r="2085" spans="1:6" x14ac:dyDescent="0.3">
      <c r="A2085" s="2"/>
      <c r="B2085" s="65"/>
      <c r="C2085" s="65"/>
      <c r="D2085" s="2"/>
      <c r="E2085" s="2"/>
      <c r="F2085" s="2"/>
    </row>
    <row r="2086" spans="1:6" x14ac:dyDescent="0.3">
      <c r="A2086" s="63"/>
      <c r="B2086" s="64"/>
      <c r="C2086" s="64"/>
      <c r="D2086" s="64"/>
      <c r="E2086" s="63"/>
      <c r="F2086" s="64"/>
    </row>
    <row r="2087" spans="1:6" x14ac:dyDescent="0.3">
      <c r="A2087" s="2"/>
      <c r="B2087" s="65"/>
      <c r="C2087" s="65"/>
      <c r="D2087" s="2"/>
      <c r="E2087" s="2"/>
      <c r="F2087" s="2"/>
    </row>
    <row r="2088" spans="1:6" x14ac:dyDescent="0.3">
      <c r="A2088" s="63"/>
      <c r="B2088" s="64"/>
      <c r="C2088" s="64"/>
      <c r="D2088" s="64"/>
      <c r="E2088" s="63"/>
      <c r="F2088" s="64"/>
    </row>
    <row r="2089" spans="1:6" x14ac:dyDescent="0.3">
      <c r="A2089" s="2"/>
      <c r="B2089" s="65"/>
      <c r="C2089" s="65"/>
      <c r="D2089" s="2"/>
      <c r="E2089" s="2"/>
      <c r="F2089" s="2"/>
    </row>
    <row r="2090" spans="1:6" x14ac:dyDescent="0.3">
      <c r="A2090" s="63"/>
      <c r="B2090" s="64"/>
      <c r="C2090" s="64"/>
      <c r="D2090" s="64"/>
      <c r="E2090" s="63"/>
      <c r="F2090" s="64"/>
    </row>
    <row r="2091" spans="1:6" x14ac:dyDescent="0.3">
      <c r="A2091" s="2"/>
      <c r="B2091" s="65"/>
      <c r="C2091" s="65"/>
      <c r="D2091" s="2"/>
      <c r="E2091" s="2"/>
      <c r="F2091" s="2"/>
    </row>
    <row r="2092" spans="1:6" x14ac:dyDescent="0.3">
      <c r="A2092" s="63"/>
      <c r="B2092" s="64"/>
      <c r="C2092" s="64"/>
      <c r="D2092" s="64"/>
      <c r="E2092" s="63"/>
      <c r="F2092" s="64"/>
    </row>
    <row r="2093" spans="1:6" x14ac:dyDescent="0.3">
      <c r="A2093" s="2"/>
      <c r="B2093" s="65"/>
      <c r="C2093" s="65"/>
      <c r="D2093" s="2"/>
      <c r="E2093" s="2"/>
      <c r="F2093" s="2"/>
    </row>
    <row r="2094" spans="1:6" x14ac:dyDescent="0.3">
      <c r="A2094" s="63"/>
      <c r="B2094" s="64"/>
      <c r="C2094" s="64"/>
      <c r="D2094" s="64"/>
      <c r="E2094" s="63"/>
      <c r="F2094" s="64"/>
    </row>
    <row r="2095" spans="1:6" x14ac:dyDescent="0.3">
      <c r="A2095" s="2"/>
      <c r="B2095" s="65"/>
      <c r="C2095" s="65"/>
      <c r="D2095" s="2"/>
      <c r="E2095" s="2"/>
      <c r="F2095" s="2"/>
    </row>
    <row r="2096" spans="1:6" x14ac:dyDescent="0.3">
      <c r="A2096" s="63"/>
      <c r="B2096" s="64"/>
      <c r="C2096" s="64"/>
      <c r="D2096" s="64"/>
      <c r="E2096" s="63"/>
      <c r="F2096" s="64"/>
    </row>
    <row r="2097" spans="1:6" x14ac:dyDescent="0.3">
      <c r="A2097" s="2"/>
      <c r="B2097" s="65"/>
      <c r="C2097" s="65"/>
      <c r="D2097" s="2"/>
      <c r="E2097" s="2"/>
      <c r="F2097" s="2"/>
    </row>
    <row r="2098" spans="1:6" x14ac:dyDescent="0.3">
      <c r="A2098" s="63"/>
      <c r="B2098" s="64"/>
      <c r="C2098" s="64"/>
      <c r="D2098" s="64"/>
      <c r="E2098" s="63"/>
      <c r="F2098" s="64"/>
    </row>
    <row r="2099" spans="1:6" x14ac:dyDescent="0.3">
      <c r="A2099" s="2"/>
      <c r="B2099" s="65"/>
      <c r="C2099" s="65"/>
      <c r="D2099" s="2"/>
      <c r="E2099" s="2"/>
      <c r="F2099" s="2"/>
    </row>
    <row r="2100" spans="1:6" x14ac:dyDescent="0.3">
      <c r="A2100" s="63"/>
      <c r="B2100" s="64"/>
      <c r="C2100" s="64"/>
      <c r="D2100" s="64"/>
      <c r="E2100" s="63"/>
      <c r="F2100" s="64"/>
    </row>
    <row r="2101" spans="1:6" x14ac:dyDescent="0.3">
      <c r="A2101" s="2"/>
      <c r="B2101" s="65"/>
      <c r="C2101" s="65"/>
      <c r="D2101" s="2"/>
      <c r="E2101" s="2"/>
      <c r="F2101" s="2"/>
    </row>
    <row r="2102" spans="1:6" x14ac:dyDescent="0.3">
      <c r="A2102" s="63"/>
      <c r="B2102" s="64"/>
      <c r="C2102" s="64"/>
      <c r="D2102" s="64"/>
      <c r="E2102" s="63"/>
      <c r="F2102" s="64"/>
    </row>
    <row r="2103" spans="1:6" x14ac:dyDescent="0.3">
      <c r="A2103" s="2"/>
      <c r="B2103" s="65"/>
      <c r="C2103" s="65"/>
      <c r="D2103" s="2"/>
      <c r="E2103" s="2"/>
      <c r="F2103" s="2"/>
    </row>
    <row r="2104" spans="1:6" x14ac:dyDescent="0.3">
      <c r="A2104" s="63"/>
      <c r="B2104" s="64"/>
      <c r="C2104" s="64"/>
      <c r="D2104" s="64"/>
      <c r="E2104" s="63"/>
      <c r="F2104" s="64"/>
    </row>
    <row r="2105" spans="1:6" x14ac:dyDescent="0.3">
      <c r="A2105" s="2"/>
      <c r="B2105" s="65"/>
      <c r="C2105" s="65"/>
      <c r="D2105" s="2"/>
      <c r="E2105" s="2"/>
      <c r="F2105" s="2"/>
    </row>
    <row r="2106" spans="1:6" x14ac:dyDescent="0.3">
      <c r="A2106" s="63"/>
      <c r="B2106" s="64"/>
      <c r="C2106" s="64"/>
      <c r="D2106" s="64"/>
      <c r="E2106" s="63"/>
      <c r="F2106" s="64"/>
    </row>
    <row r="2107" spans="1:6" x14ac:dyDescent="0.3">
      <c r="A2107" s="2"/>
      <c r="B2107" s="65"/>
      <c r="C2107" s="65"/>
      <c r="D2107" s="2"/>
      <c r="E2107" s="2"/>
      <c r="F2107" s="2"/>
    </row>
    <row r="2108" spans="1:6" x14ac:dyDescent="0.3">
      <c r="A2108" s="63"/>
      <c r="B2108" s="64"/>
      <c r="C2108" s="64"/>
      <c r="D2108" s="64"/>
      <c r="E2108" s="63"/>
      <c r="F2108" s="64"/>
    </row>
    <row r="2109" spans="1:6" x14ac:dyDescent="0.3">
      <c r="A2109" s="2"/>
      <c r="B2109" s="65"/>
      <c r="C2109" s="65"/>
      <c r="D2109" s="2"/>
      <c r="E2109" s="2"/>
      <c r="F2109" s="2"/>
    </row>
    <row r="2110" spans="1:6" x14ac:dyDescent="0.3">
      <c r="A2110" s="63"/>
      <c r="B2110" s="64"/>
      <c r="C2110" s="64"/>
      <c r="D2110" s="64"/>
      <c r="E2110" s="63"/>
      <c r="F2110" s="64"/>
    </row>
    <row r="2111" spans="1:6" x14ac:dyDescent="0.3">
      <c r="A2111" s="2"/>
      <c r="B2111" s="65"/>
      <c r="C2111" s="65"/>
      <c r="D2111" s="2"/>
      <c r="E2111" s="2"/>
      <c r="F2111" s="2"/>
    </row>
    <row r="2112" spans="1:6" x14ac:dyDescent="0.3">
      <c r="A2112" s="63"/>
      <c r="B2112" s="64"/>
      <c r="C2112" s="64"/>
      <c r="D2112" s="64"/>
      <c r="E2112" s="63"/>
      <c r="F2112" s="64"/>
    </row>
    <row r="2113" spans="1:6" x14ac:dyDescent="0.3">
      <c r="A2113" s="2"/>
      <c r="B2113" s="65"/>
      <c r="C2113" s="65"/>
      <c r="D2113" s="2"/>
      <c r="E2113" s="2"/>
      <c r="F2113" s="2"/>
    </row>
    <row r="2114" spans="1:6" x14ac:dyDescent="0.3">
      <c r="A2114" s="63"/>
      <c r="B2114" s="64"/>
      <c r="C2114" s="64"/>
      <c r="D2114" s="64"/>
      <c r="E2114" s="63"/>
      <c r="F2114" s="64"/>
    </row>
    <row r="2115" spans="1:6" x14ac:dyDescent="0.3">
      <c r="A2115" s="2"/>
      <c r="B2115" s="65"/>
      <c r="C2115" s="65"/>
      <c r="D2115" s="2"/>
      <c r="E2115" s="2"/>
      <c r="F2115" s="2"/>
    </row>
    <row r="2116" spans="1:6" x14ac:dyDescent="0.3">
      <c r="A2116" s="63"/>
      <c r="B2116" s="64"/>
      <c r="C2116" s="64"/>
      <c r="D2116" s="64"/>
      <c r="E2116" s="63"/>
      <c r="F2116" s="64"/>
    </row>
    <row r="2117" spans="1:6" x14ac:dyDescent="0.3">
      <c r="A2117" s="2"/>
      <c r="B2117" s="65"/>
      <c r="C2117" s="65"/>
      <c r="D2117" s="2"/>
      <c r="E2117" s="2"/>
      <c r="F2117" s="2"/>
    </row>
    <row r="2118" spans="1:6" x14ac:dyDescent="0.3">
      <c r="A2118" s="63"/>
      <c r="B2118" s="64"/>
      <c r="C2118" s="64"/>
      <c r="D2118" s="64"/>
      <c r="E2118" s="63"/>
      <c r="F2118" s="64"/>
    </row>
    <row r="2119" spans="1:6" x14ac:dyDescent="0.3">
      <c r="A2119" s="2"/>
      <c r="B2119" s="65"/>
      <c r="C2119" s="65"/>
      <c r="D2119" s="2"/>
      <c r="E2119" s="2"/>
      <c r="F2119" s="2"/>
    </row>
    <row r="2120" spans="1:6" x14ac:dyDescent="0.3">
      <c r="A2120" s="63"/>
      <c r="B2120" s="64"/>
      <c r="C2120" s="64"/>
      <c r="D2120" s="64"/>
      <c r="E2120" s="63"/>
      <c r="F2120" s="64"/>
    </row>
    <row r="2121" spans="1:6" x14ac:dyDescent="0.3">
      <c r="A2121" s="2"/>
      <c r="B2121" s="65"/>
      <c r="C2121" s="65"/>
      <c r="D2121" s="2"/>
      <c r="E2121" s="2"/>
      <c r="F2121" s="2"/>
    </row>
    <row r="2122" spans="1:6" x14ac:dyDescent="0.3">
      <c r="A2122" s="63"/>
      <c r="B2122" s="64"/>
      <c r="C2122" s="64"/>
      <c r="D2122" s="64"/>
      <c r="E2122" s="63"/>
      <c r="F2122" s="64"/>
    </row>
    <row r="2123" spans="1:6" x14ac:dyDescent="0.3">
      <c r="A2123" s="2"/>
      <c r="B2123" s="65"/>
      <c r="C2123" s="65"/>
      <c r="D2123" s="2"/>
      <c r="E2123" s="2"/>
      <c r="F2123" s="2"/>
    </row>
    <row r="2124" spans="1:6" x14ac:dyDescent="0.3">
      <c r="A2124" s="63"/>
      <c r="B2124" s="64"/>
      <c r="C2124" s="64"/>
      <c r="D2124" s="64"/>
      <c r="E2124" s="63"/>
      <c r="F2124" s="64"/>
    </row>
    <row r="2125" spans="1:6" x14ac:dyDescent="0.3">
      <c r="A2125" s="2"/>
      <c r="B2125" s="65"/>
      <c r="C2125" s="65"/>
      <c r="D2125" s="2"/>
      <c r="E2125" s="2"/>
      <c r="F2125" s="2"/>
    </row>
    <row r="2126" spans="1:6" x14ac:dyDescent="0.3">
      <c r="A2126" s="63"/>
      <c r="B2126" s="64"/>
      <c r="C2126" s="64"/>
      <c r="D2126" s="64"/>
      <c r="E2126" s="63"/>
      <c r="F2126" s="64"/>
    </row>
    <row r="2127" spans="1:6" x14ac:dyDescent="0.3">
      <c r="A2127" s="2"/>
      <c r="B2127" s="65"/>
      <c r="C2127" s="65"/>
      <c r="D2127" s="2"/>
      <c r="E2127" s="2"/>
      <c r="F2127" s="2"/>
    </row>
    <row r="2128" spans="1:6" x14ac:dyDescent="0.3">
      <c r="A2128" s="63"/>
      <c r="B2128" s="64"/>
      <c r="C2128" s="64"/>
      <c r="D2128" s="64"/>
      <c r="E2128" s="63"/>
      <c r="F2128" s="64"/>
    </row>
    <row r="2129" spans="1:6" x14ac:dyDescent="0.3">
      <c r="A2129" s="2"/>
      <c r="B2129" s="65"/>
      <c r="C2129" s="65"/>
      <c r="D2129" s="2"/>
      <c r="E2129" s="2"/>
      <c r="F2129" s="2"/>
    </row>
    <row r="2130" spans="1:6" x14ac:dyDescent="0.3">
      <c r="A2130" s="63"/>
      <c r="B2130" s="64"/>
      <c r="C2130" s="64"/>
      <c r="D2130" s="64"/>
      <c r="E2130" s="63"/>
      <c r="F2130" s="64"/>
    </row>
    <row r="2131" spans="1:6" x14ac:dyDescent="0.3">
      <c r="A2131" s="2"/>
      <c r="B2131" s="65"/>
      <c r="C2131" s="65"/>
      <c r="D2131" s="2"/>
      <c r="E2131" s="2"/>
      <c r="F2131" s="2"/>
    </row>
    <row r="2132" spans="1:6" x14ac:dyDescent="0.3">
      <c r="A2132" s="63"/>
      <c r="B2132" s="64"/>
      <c r="C2132" s="64"/>
      <c r="D2132" s="64"/>
      <c r="E2132" s="63"/>
      <c r="F2132" s="64"/>
    </row>
    <row r="2133" spans="1:6" x14ac:dyDescent="0.3">
      <c r="A2133" s="2"/>
      <c r="B2133" s="65"/>
      <c r="C2133" s="65"/>
      <c r="D2133" s="2"/>
      <c r="E2133" s="2"/>
      <c r="F2133" s="2"/>
    </row>
    <row r="2134" spans="1:6" x14ac:dyDescent="0.3">
      <c r="A2134" s="63"/>
      <c r="B2134" s="64"/>
      <c r="C2134" s="64"/>
      <c r="D2134" s="64"/>
      <c r="E2134" s="63"/>
      <c r="F2134" s="64"/>
    </row>
    <row r="2135" spans="1:6" x14ac:dyDescent="0.3">
      <c r="A2135" s="2"/>
      <c r="B2135" s="65"/>
      <c r="C2135" s="65"/>
      <c r="D2135" s="2"/>
      <c r="E2135" s="2"/>
      <c r="F2135" s="2"/>
    </row>
    <row r="2136" spans="1:6" x14ac:dyDescent="0.3">
      <c r="A2136" s="63"/>
      <c r="B2136" s="64"/>
      <c r="C2136" s="64"/>
      <c r="D2136" s="64"/>
      <c r="E2136" s="63"/>
      <c r="F2136" s="64"/>
    </row>
    <row r="2137" spans="1:6" x14ac:dyDescent="0.3">
      <c r="A2137" s="2"/>
      <c r="B2137" s="65"/>
      <c r="C2137" s="65"/>
      <c r="D2137" s="2"/>
      <c r="E2137" s="2"/>
      <c r="F2137" s="2"/>
    </row>
    <row r="2138" spans="1:6" x14ac:dyDescent="0.3">
      <c r="A2138" s="63"/>
      <c r="B2138" s="64"/>
      <c r="C2138" s="64"/>
      <c r="D2138" s="64"/>
      <c r="E2138" s="63"/>
      <c r="F2138" s="64"/>
    </row>
    <row r="2139" spans="1:6" x14ac:dyDescent="0.3">
      <c r="A2139" s="2"/>
      <c r="B2139" s="65"/>
      <c r="C2139" s="65"/>
      <c r="D2139" s="2"/>
      <c r="E2139" s="2"/>
      <c r="F2139" s="2"/>
    </row>
    <row r="2140" spans="1:6" x14ac:dyDescent="0.3">
      <c r="A2140" s="63"/>
      <c r="B2140" s="64"/>
      <c r="C2140" s="64"/>
      <c r="D2140" s="64"/>
      <c r="E2140" s="63"/>
      <c r="F2140" s="64"/>
    </row>
    <row r="2141" spans="1:6" x14ac:dyDescent="0.3">
      <c r="A2141" s="2"/>
      <c r="B2141" s="65"/>
      <c r="C2141" s="65"/>
      <c r="D2141" s="2"/>
      <c r="E2141" s="2"/>
      <c r="F2141" s="2"/>
    </row>
    <row r="2142" spans="1:6" x14ac:dyDescent="0.3">
      <c r="A2142" s="63"/>
      <c r="B2142" s="64"/>
      <c r="C2142" s="64"/>
      <c r="D2142" s="64"/>
      <c r="E2142" s="63"/>
      <c r="F2142" s="64"/>
    </row>
    <row r="2143" spans="1:6" x14ac:dyDescent="0.3">
      <c r="A2143" s="2"/>
      <c r="B2143" s="65"/>
      <c r="C2143" s="65"/>
      <c r="D2143" s="2"/>
      <c r="E2143" s="2"/>
      <c r="F2143" s="2"/>
    </row>
    <row r="2144" spans="1:6" x14ac:dyDescent="0.3">
      <c r="A2144" s="63"/>
      <c r="B2144" s="64"/>
      <c r="C2144" s="64"/>
      <c r="D2144" s="64"/>
      <c r="E2144" s="63"/>
      <c r="F2144" s="64"/>
    </row>
    <row r="2145" spans="1:6" x14ac:dyDescent="0.3">
      <c r="A2145" s="2"/>
      <c r="B2145" s="65"/>
      <c r="C2145" s="65"/>
      <c r="D2145" s="2"/>
      <c r="E2145" s="2"/>
      <c r="F2145" s="2"/>
    </row>
    <row r="2146" spans="1:6" x14ac:dyDescent="0.3">
      <c r="A2146" s="63"/>
      <c r="B2146" s="64"/>
      <c r="C2146" s="64"/>
      <c r="D2146" s="64"/>
      <c r="E2146" s="63"/>
      <c r="F2146" s="64"/>
    </row>
    <row r="2147" spans="1:6" x14ac:dyDescent="0.3">
      <c r="A2147" s="2"/>
      <c r="B2147" s="65"/>
      <c r="C2147" s="65"/>
      <c r="D2147" s="2"/>
      <c r="E2147" s="2"/>
      <c r="F2147" s="2"/>
    </row>
    <row r="2148" spans="1:6" x14ac:dyDescent="0.3">
      <c r="A2148" s="63"/>
      <c r="B2148" s="64"/>
      <c r="C2148" s="64"/>
      <c r="D2148" s="64"/>
      <c r="E2148" s="63"/>
      <c r="F2148" s="64"/>
    </row>
    <row r="2149" spans="1:6" x14ac:dyDescent="0.3">
      <c r="A2149" s="2"/>
      <c r="B2149" s="65"/>
      <c r="C2149" s="65"/>
      <c r="D2149" s="2"/>
      <c r="E2149" s="2"/>
      <c r="F2149" s="2"/>
    </row>
    <row r="2150" spans="1:6" x14ac:dyDescent="0.3">
      <c r="A2150" s="63"/>
      <c r="B2150" s="64"/>
      <c r="C2150" s="64"/>
      <c r="D2150" s="64"/>
      <c r="E2150" s="63"/>
      <c r="F2150" s="64"/>
    </row>
    <row r="2151" spans="1:6" x14ac:dyDescent="0.3">
      <c r="A2151" s="2"/>
      <c r="B2151" s="65"/>
      <c r="C2151" s="65"/>
      <c r="D2151" s="2"/>
      <c r="E2151" s="2"/>
      <c r="F2151" s="2"/>
    </row>
    <row r="2152" spans="1:6" x14ac:dyDescent="0.3">
      <c r="A2152" s="63"/>
      <c r="B2152" s="64"/>
      <c r="C2152" s="64"/>
      <c r="D2152" s="64"/>
      <c r="E2152" s="63"/>
      <c r="F2152" s="64"/>
    </row>
    <row r="2153" spans="1:6" x14ac:dyDescent="0.3">
      <c r="A2153" s="2"/>
      <c r="B2153" s="65"/>
      <c r="C2153" s="65"/>
      <c r="D2153" s="2"/>
      <c r="E2153" s="2"/>
      <c r="F2153" s="2"/>
    </row>
    <row r="2154" spans="1:6" x14ac:dyDescent="0.3">
      <c r="A2154" s="63"/>
      <c r="B2154" s="64"/>
      <c r="C2154" s="64"/>
      <c r="D2154" s="64"/>
      <c r="E2154" s="63"/>
      <c r="F2154" s="64"/>
    </row>
    <row r="2155" spans="1:6" x14ac:dyDescent="0.3">
      <c r="A2155" s="2"/>
      <c r="B2155" s="65"/>
      <c r="C2155" s="65"/>
      <c r="D2155" s="2"/>
      <c r="E2155" s="2"/>
      <c r="F2155" s="2"/>
    </row>
    <row r="2156" spans="1:6" x14ac:dyDescent="0.3">
      <c r="A2156" s="63"/>
      <c r="B2156" s="64"/>
      <c r="C2156" s="64"/>
      <c r="D2156" s="64"/>
      <c r="E2156" s="63"/>
      <c r="F2156" s="64"/>
    </row>
    <row r="2157" spans="1:6" x14ac:dyDescent="0.3">
      <c r="A2157" s="2"/>
      <c r="B2157" s="65"/>
      <c r="C2157" s="65"/>
      <c r="D2157" s="2"/>
      <c r="E2157" s="2"/>
      <c r="F2157" s="2"/>
    </row>
    <row r="2158" spans="1:6" x14ac:dyDescent="0.3">
      <c r="A2158" s="63"/>
      <c r="B2158" s="64"/>
      <c r="C2158" s="64"/>
      <c r="D2158" s="64"/>
      <c r="E2158" s="63"/>
      <c r="F2158" s="64"/>
    </row>
    <row r="2159" spans="1:6" x14ac:dyDescent="0.3">
      <c r="A2159" s="2"/>
      <c r="B2159" s="65"/>
      <c r="C2159" s="65"/>
      <c r="D2159" s="2"/>
      <c r="E2159" s="2"/>
      <c r="F2159" s="2"/>
    </row>
    <row r="2160" spans="1:6" x14ac:dyDescent="0.3">
      <c r="A2160" s="63"/>
      <c r="B2160" s="64"/>
      <c r="C2160" s="64"/>
      <c r="D2160" s="64"/>
      <c r="E2160" s="63"/>
      <c r="F2160" s="64"/>
    </row>
    <row r="2161" spans="1:6" x14ac:dyDescent="0.3">
      <c r="A2161" s="2"/>
      <c r="B2161" s="65"/>
      <c r="C2161" s="65"/>
      <c r="D2161" s="2"/>
      <c r="E2161" s="2"/>
      <c r="F2161" s="2"/>
    </row>
    <row r="2162" spans="1:6" x14ac:dyDescent="0.3">
      <c r="A2162" s="63"/>
      <c r="B2162" s="64"/>
      <c r="C2162" s="64"/>
      <c r="D2162" s="64"/>
      <c r="E2162" s="63"/>
      <c r="F2162" s="64"/>
    </row>
    <row r="2163" spans="1:6" x14ac:dyDescent="0.3">
      <c r="A2163" s="2"/>
      <c r="B2163" s="65"/>
      <c r="C2163" s="65"/>
      <c r="D2163" s="2"/>
      <c r="E2163" s="2"/>
      <c r="F2163" s="2"/>
    </row>
    <row r="2164" spans="1:6" x14ac:dyDescent="0.3">
      <c r="A2164" s="63"/>
      <c r="B2164" s="64"/>
      <c r="C2164" s="64"/>
      <c r="D2164" s="64"/>
      <c r="E2164" s="63"/>
      <c r="F2164" s="64"/>
    </row>
    <row r="2165" spans="1:6" x14ac:dyDescent="0.3">
      <c r="A2165" s="2"/>
      <c r="B2165" s="65"/>
      <c r="C2165" s="65"/>
      <c r="D2165" s="2"/>
      <c r="E2165" s="2"/>
      <c r="F2165" s="2"/>
    </row>
    <row r="2166" spans="1:6" x14ac:dyDescent="0.3">
      <c r="A2166" s="63"/>
      <c r="B2166" s="64"/>
      <c r="C2166" s="64"/>
      <c r="D2166" s="64"/>
      <c r="E2166" s="63"/>
      <c r="F2166" s="64"/>
    </row>
    <row r="2167" spans="1:6" x14ac:dyDescent="0.3">
      <c r="A2167" s="2"/>
      <c r="B2167" s="65"/>
      <c r="C2167" s="65"/>
      <c r="D2167" s="2"/>
      <c r="E2167" s="2"/>
      <c r="F2167" s="2"/>
    </row>
    <row r="2168" spans="1:6" x14ac:dyDescent="0.3">
      <c r="A2168" s="63"/>
      <c r="B2168" s="64"/>
      <c r="C2168" s="64"/>
      <c r="D2168" s="64"/>
      <c r="E2168" s="63"/>
      <c r="F2168" s="64"/>
    </row>
    <row r="2169" spans="1:6" x14ac:dyDescent="0.3">
      <c r="A2169" s="2"/>
      <c r="B2169" s="65"/>
      <c r="C2169" s="65"/>
      <c r="D2169" s="2"/>
      <c r="E2169" s="2"/>
      <c r="F2169" s="2"/>
    </row>
    <row r="2170" spans="1:6" x14ac:dyDescent="0.3">
      <c r="A2170" s="63"/>
      <c r="B2170" s="64"/>
      <c r="C2170" s="64"/>
      <c r="D2170" s="64"/>
      <c r="E2170" s="63"/>
      <c r="F2170" s="64"/>
    </row>
    <row r="2171" spans="1:6" x14ac:dyDescent="0.3">
      <c r="A2171" s="2"/>
      <c r="B2171" s="65"/>
      <c r="C2171" s="65"/>
      <c r="D2171" s="2"/>
      <c r="E2171" s="2"/>
      <c r="F2171" s="2"/>
    </row>
    <row r="2172" spans="1:6" x14ac:dyDescent="0.3">
      <c r="A2172" s="63"/>
      <c r="B2172" s="64"/>
      <c r="C2172" s="64"/>
      <c r="D2172" s="64"/>
      <c r="E2172" s="63"/>
      <c r="F2172" s="64"/>
    </row>
    <row r="2173" spans="1:6" x14ac:dyDescent="0.3">
      <c r="A2173" s="2"/>
      <c r="B2173" s="65"/>
      <c r="C2173" s="65"/>
      <c r="D2173" s="2"/>
      <c r="E2173" s="2"/>
      <c r="F2173" s="2"/>
    </row>
    <row r="2174" spans="1:6" x14ac:dyDescent="0.3">
      <c r="A2174" s="63"/>
      <c r="B2174" s="64"/>
      <c r="C2174" s="64"/>
      <c r="D2174" s="64"/>
      <c r="E2174" s="63"/>
      <c r="F2174" s="64"/>
    </row>
    <row r="2175" spans="1:6" x14ac:dyDescent="0.3">
      <c r="A2175" s="2"/>
      <c r="B2175" s="65"/>
      <c r="C2175" s="65"/>
      <c r="D2175" s="2"/>
      <c r="E2175" s="2"/>
      <c r="F2175" s="2"/>
    </row>
    <row r="2176" spans="1:6" x14ac:dyDescent="0.3">
      <c r="A2176" s="63"/>
      <c r="B2176" s="64"/>
      <c r="C2176" s="64"/>
      <c r="D2176" s="64"/>
      <c r="E2176" s="63"/>
      <c r="F2176" s="64"/>
    </row>
    <row r="2177" spans="1:6" x14ac:dyDescent="0.3">
      <c r="A2177" s="2"/>
      <c r="B2177" s="65"/>
      <c r="C2177" s="65"/>
      <c r="D2177" s="2"/>
      <c r="E2177" s="2"/>
      <c r="F2177" s="2"/>
    </row>
    <row r="2178" spans="1:6" x14ac:dyDescent="0.3">
      <c r="A2178" s="63"/>
      <c r="B2178" s="64"/>
      <c r="C2178" s="64"/>
      <c r="D2178" s="64"/>
      <c r="E2178" s="63"/>
      <c r="F2178" s="64"/>
    </row>
    <row r="2179" spans="1:6" x14ac:dyDescent="0.3">
      <c r="A2179" s="2"/>
      <c r="B2179" s="65"/>
      <c r="C2179" s="65"/>
      <c r="D2179" s="2"/>
      <c r="E2179" s="2"/>
      <c r="F2179" s="2"/>
    </row>
    <row r="2180" spans="1:6" x14ac:dyDescent="0.3">
      <c r="A2180" s="63"/>
      <c r="B2180" s="64"/>
      <c r="C2180" s="64"/>
      <c r="D2180" s="64"/>
      <c r="E2180" s="63"/>
      <c r="F2180" s="64"/>
    </row>
    <row r="2181" spans="1:6" x14ac:dyDescent="0.3">
      <c r="A2181" s="2"/>
      <c r="B2181" s="65"/>
      <c r="C2181" s="65"/>
      <c r="D2181" s="2"/>
      <c r="E2181" s="2"/>
      <c r="F2181" s="2"/>
    </row>
    <row r="2182" spans="1:6" x14ac:dyDescent="0.3">
      <c r="A2182" s="63"/>
      <c r="B2182" s="64"/>
      <c r="C2182" s="64"/>
      <c r="D2182" s="64"/>
      <c r="E2182" s="63"/>
      <c r="F2182" s="64"/>
    </row>
    <row r="2183" spans="1:6" x14ac:dyDescent="0.3">
      <c r="A2183" s="2"/>
      <c r="B2183" s="65"/>
      <c r="C2183" s="65"/>
      <c r="D2183" s="2"/>
      <c r="E2183" s="2"/>
      <c r="F2183" s="2"/>
    </row>
    <row r="2184" spans="1:6" x14ac:dyDescent="0.3">
      <c r="A2184" s="63"/>
      <c r="B2184" s="64"/>
      <c r="C2184" s="64"/>
      <c r="D2184" s="64"/>
      <c r="E2184" s="63"/>
      <c r="F2184" s="64"/>
    </row>
    <row r="2185" spans="1:6" x14ac:dyDescent="0.3">
      <c r="A2185" s="2"/>
      <c r="B2185" s="65"/>
      <c r="C2185" s="65"/>
      <c r="D2185" s="2"/>
      <c r="E2185" s="2"/>
      <c r="F2185" s="2"/>
    </row>
    <row r="2186" spans="1:6" x14ac:dyDescent="0.3">
      <c r="A2186" s="63"/>
      <c r="B2186" s="64"/>
      <c r="C2186" s="64"/>
      <c r="D2186" s="64"/>
      <c r="E2186" s="63"/>
      <c r="F2186" s="64"/>
    </row>
    <row r="2187" spans="1:6" x14ac:dyDescent="0.3">
      <c r="A2187" s="2"/>
      <c r="B2187" s="65"/>
      <c r="C2187" s="65"/>
      <c r="D2187" s="2"/>
      <c r="E2187" s="2"/>
      <c r="F2187" s="2"/>
    </row>
    <row r="2188" spans="1:6" x14ac:dyDescent="0.3">
      <c r="A2188" s="63"/>
      <c r="B2188" s="64"/>
      <c r="C2188" s="64"/>
      <c r="D2188" s="64"/>
      <c r="E2188" s="63"/>
      <c r="F2188" s="64"/>
    </row>
    <row r="2189" spans="1:6" x14ac:dyDescent="0.3">
      <c r="A2189" s="2"/>
      <c r="B2189" s="65"/>
      <c r="C2189" s="65"/>
      <c r="D2189" s="2"/>
      <c r="E2189" s="2"/>
      <c r="F2189" s="2"/>
    </row>
    <row r="2190" spans="1:6" x14ac:dyDescent="0.3">
      <c r="A2190" s="63"/>
      <c r="B2190" s="64"/>
      <c r="C2190" s="64"/>
      <c r="D2190" s="64"/>
      <c r="E2190" s="63"/>
      <c r="F2190" s="64"/>
    </row>
    <row r="2191" spans="1:6" x14ac:dyDescent="0.3">
      <c r="A2191" s="2"/>
      <c r="B2191" s="65"/>
      <c r="C2191" s="65"/>
      <c r="D2191" s="2"/>
      <c r="E2191" s="2"/>
      <c r="F2191" s="2"/>
    </row>
    <row r="2192" spans="1:6" x14ac:dyDescent="0.3">
      <c r="A2192" s="63"/>
      <c r="B2192" s="64"/>
      <c r="C2192" s="64"/>
      <c r="D2192" s="64"/>
      <c r="E2192" s="63"/>
      <c r="F2192" s="64"/>
    </row>
    <row r="2193" spans="1:6" x14ac:dyDescent="0.3">
      <c r="A2193" s="2"/>
      <c r="B2193" s="65"/>
      <c r="C2193" s="65"/>
      <c r="D2193" s="2"/>
      <c r="E2193" s="2"/>
      <c r="F2193" s="2"/>
    </row>
    <row r="2194" spans="1:6" x14ac:dyDescent="0.3">
      <c r="A2194" s="63"/>
      <c r="B2194" s="64"/>
      <c r="C2194" s="64"/>
      <c r="D2194" s="64"/>
      <c r="E2194" s="63"/>
      <c r="F2194" s="64"/>
    </row>
    <row r="2195" spans="1:6" x14ac:dyDescent="0.3">
      <c r="A2195" s="2"/>
      <c r="B2195" s="65"/>
      <c r="C2195" s="65"/>
      <c r="D2195" s="2"/>
      <c r="E2195" s="2"/>
      <c r="F2195" s="2"/>
    </row>
    <row r="2196" spans="1:6" x14ac:dyDescent="0.3">
      <c r="A2196" s="63"/>
      <c r="B2196" s="64"/>
      <c r="C2196" s="64"/>
      <c r="D2196" s="64"/>
      <c r="E2196" s="63"/>
      <c r="F2196" s="64"/>
    </row>
    <row r="2197" spans="1:6" x14ac:dyDescent="0.3">
      <c r="A2197" s="2"/>
      <c r="B2197" s="65"/>
      <c r="C2197" s="65"/>
      <c r="D2197" s="2"/>
      <c r="E2197" s="2"/>
      <c r="F2197" s="2"/>
    </row>
    <row r="2198" spans="1:6" x14ac:dyDescent="0.3">
      <c r="A2198" s="63"/>
      <c r="B2198" s="64"/>
      <c r="C2198" s="64"/>
      <c r="D2198" s="64"/>
      <c r="E2198" s="63"/>
      <c r="F2198" s="64"/>
    </row>
    <row r="2199" spans="1:6" x14ac:dyDescent="0.3">
      <c r="A2199" s="2"/>
      <c r="B2199" s="65"/>
      <c r="C2199" s="65"/>
      <c r="D2199" s="2"/>
      <c r="E2199" s="2"/>
      <c r="F2199" s="2"/>
    </row>
    <row r="2200" spans="1:6" x14ac:dyDescent="0.3">
      <c r="A2200" s="63"/>
      <c r="B2200" s="64"/>
      <c r="C2200" s="64"/>
      <c r="D2200" s="64"/>
      <c r="E2200" s="63"/>
      <c r="F2200" s="64"/>
    </row>
    <row r="2201" spans="1:6" x14ac:dyDescent="0.3">
      <c r="A2201" s="2"/>
      <c r="B2201" s="65"/>
      <c r="C2201" s="65"/>
      <c r="D2201" s="2"/>
      <c r="E2201" s="2"/>
      <c r="F2201" s="2"/>
    </row>
    <row r="2202" spans="1:6" x14ac:dyDescent="0.3">
      <c r="A2202" s="63"/>
      <c r="B2202" s="64"/>
      <c r="C2202" s="64"/>
      <c r="D2202" s="64"/>
      <c r="E2202" s="63"/>
      <c r="F2202" s="64"/>
    </row>
    <row r="2203" spans="1:6" x14ac:dyDescent="0.3">
      <c r="A2203" s="2"/>
      <c r="B2203" s="65"/>
      <c r="C2203" s="65"/>
      <c r="D2203" s="2"/>
      <c r="E2203" s="2"/>
      <c r="F2203" s="2"/>
    </row>
    <row r="2204" spans="1:6" x14ac:dyDescent="0.3">
      <c r="A2204" s="63"/>
      <c r="B2204" s="64"/>
      <c r="C2204" s="64"/>
      <c r="D2204" s="64"/>
      <c r="E2204" s="63"/>
      <c r="F2204" s="64"/>
    </row>
    <row r="2205" spans="1:6" x14ac:dyDescent="0.3">
      <c r="A2205" s="2"/>
      <c r="B2205" s="65"/>
      <c r="C2205" s="65"/>
      <c r="D2205" s="2"/>
      <c r="E2205" s="2"/>
      <c r="F2205" s="2"/>
    </row>
    <row r="2206" spans="1:6" x14ac:dyDescent="0.3">
      <c r="A2206" s="63"/>
      <c r="B2206" s="64"/>
      <c r="C2206" s="64"/>
      <c r="D2206" s="64"/>
      <c r="E2206" s="63"/>
      <c r="F2206" s="64"/>
    </row>
    <row r="2207" spans="1:6" x14ac:dyDescent="0.3">
      <c r="A2207" s="2"/>
      <c r="B2207" s="65"/>
      <c r="C2207" s="65"/>
      <c r="D2207" s="2"/>
      <c r="E2207" s="2"/>
      <c r="F2207" s="2"/>
    </row>
    <row r="2208" spans="1:6" x14ac:dyDescent="0.3">
      <c r="A2208" s="63"/>
      <c r="B2208" s="64"/>
      <c r="C2208" s="64"/>
      <c r="D2208" s="64"/>
      <c r="E2208" s="63"/>
      <c r="F2208" s="64"/>
    </row>
    <row r="2209" spans="1:6" x14ac:dyDescent="0.3">
      <c r="A2209" s="2"/>
      <c r="B2209" s="65"/>
      <c r="C2209" s="65"/>
      <c r="D2209" s="2"/>
      <c r="E2209" s="2"/>
      <c r="F2209" s="2"/>
    </row>
    <row r="2210" spans="1:6" x14ac:dyDescent="0.3">
      <c r="A2210" s="63"/>
      <c r="B2210" s="64"/>
      <c r="C2210" s="64"/>
      <c r="D2210" s="64"/>
      <c r="E2210" s="63"/>
      <c r="F2210" s="64"/>
    </row>
    <row r="2211" spans="1:6" x14ac:dyDescent="0.3">
      <c r="A2211" s="2"/>
      <c r="B2211" s="65"/>
      <c r="C2211" s="65"/>
      <c r="D2211" s="2"/>
      <c r="E2211" s="2"/>
      <c r="F2211" s="2"/>
    </row>
    <row r="2212" spans="1:6" x14ac:dyDescent="0.3">
      <c r="A2212" s="63"/>
      <c r="B2212" s="64"/>
      <c r="C2212" s="64"/>
      <c r="D2212" s="64"/>
      <c r="E2212" s="63"/>
      <c r="F2212" s="64"/>
    </row>
    <row r="2213" spans="1:6" x14ac:dyDescent="0.3">
      <c r="A2213" s="2"/>
      <c r="B2213" s="65"/>
      <c r="C2213" s="65"/>
      <c r="D2213" s="2"/>
      <c r="E2213" s="2"/>
      <c r="F2213" s="2"/>
    </row>
    <row r="2214" spans="1:6" x14ac:dyDescent="0.3">
      <c r="A2214" s="63"/>
      <c r="B2214" s="64"/>
      <c r="C2214" s="64"/>
      <c r="D2214" s="64"/>
      <c r="E2214" s="63"/>
      <c r="F2214" s="64"/>
    </row>
    <row r="2215" spans="1:6" x14ac:dyDescent="0.3">
      <c r="A2215" s="2"/>
      <c r="B2215" s="65"/>
      <c r="C2215" s="65"/>
      <c r="D2215" s="2"/>
      <c r="E2215" s="2"/>
      <c r="F2215" s="2"/>
    </row>
    <row r="2216" spans="1:6" x14ac:dyDescent="0.3">
      <c r="A2216" s="63"/>
      <c r="B2216" s="64"/>
      <c r="C2216" s="64"/>
      <c r="D2216" s="64"/>
      <c r="E2216" s="63"/>
      <c r="F2216" s="64"/>
    </row>
    <row r="2217" spans="1:6" x14ac:dyDescent="0.3">
      <c r="A2217" s="2"/>
      <c r="B2217" s="65"/>
      <c r="C2217" s="65"/>
      <c r="D2217" s="2"/>
      <c r="E2217" s="2"/>
      <c r="F2217" s="2"/>
    </row>
    <row r="2218" spans="1:6" x14ac:dyDescent="0.3">
      <c r="A2218" s="63"/>
      <c r="B2218" s="64"/>
      <c r="C2218" s="64"/>
      <c r="D2218" s="64"/>
      <c r="E2218" s="63"/>
      <c r="F2218" s="64"/>
    </row>
    <row r="2219" spans="1:6" x14ac:dyDescent="0.3">
      <c r="A2219" s="2"/>
      <c r="B2219" s="65"/>
      <c r="C2219" s="65"/>
      <c r="D2219" s="2"/>
      <c r="E2219" s="2"/>
      <c r="F2219" s="2"/>
    </row>
    <row r="2220" spans="1:6" x14ac:dyDescent="0.3">
      <c r="A2220" s="63"/>
      <c r="B2220" s="64"/>
      <c r="C2220" s="64"/>
      <c r="D2220" s="64"/>
      <c r="E2220" s="63"/>
      <c r="F2220" s="64"/>
    </row>
    <row r="2221" spans="1:6" x14ac:dyDescent="0.3">
      <c r="A2221" s="2"/>
      <c r="B2221" s="65"/>
      <c r="C2221" s="65"/>
      <c r="D2221" s="2"/>
      <c r="E2221" s="2"/>
      <c r="F2221" s="2"/>
    </row>
    <row r="2222" spans="1:6" x14ac:dyDescent="0.3">
      <c r="A2222" s="63"/>
      <c r="B2222" s="64"/>
      <c r="C2222" s="64"/>
      <c r="D2222" s="64"/>
      <c r="E2222" s="63"/>
      <c r="F2222" s="64"/>
    </row>
    <row r="2223" spans="1:6" x14ac:dyDescent="0.3">
      <c r="A2223" s="2"/>
      <c r="B2223" s="65"/>
      <c r="C2223" s="65"/>
      <c r="D2223" s="2"/>
      <c r="E2223" s="2"/>
      <c r="F2223" s="2"/>
    </row>
    <row r="2224" spans="1:6" x14ac:dyDescent="0.3">
      <c r="A2224" s="63"/>
      <c r="B2224" s="64"/>
      <c r="C2224" s="64"/>
      <c r="D2224" s="64"/>
      <c r="E2224" s="63"/>
      <c r="F2224" s="64"/>
    </row>
    <row r="2225" spans="1:6" x14ac:dyDescent="0.3">
      <c r="A2225" s="2"/>
      <c r="B2225" s="65"/>
      <c r="C2225" s="65"/>
      <c r="D2225" s="2"/>
      <c r="E2225" s="2"/>
      <c r="F2225" s="2"/>
    </row>
    <row r="2226" spans="1:6" x14ac:dyDescent="0.3">
      <c r="A2226" s="63"/>
      <c r="B2226" s="64"/>
      <c r="C2226" s="64"/>
      <c r="D2226" s="64"/>
      <c r="E2226" s="63"/>
      <c r="F2226" s="64"/>
    </row>
    <row r="2227" spans="1:6" x14ac:dyDescent="0.3">
      <c r="A2227" s="2"/>
      <c r="B2227" s="65"/>
      <c r="C2227" s="65"/>
      <c r="D2227" s="2"/>
      <c r="E2227" s="2"/>
      <c r="F2227" s="2"/>
    </row>
    <row r="2228" spans="1:6" x14ac:dyDescent="0.3">
      <c r="A2228" s="63"/>
      <c r="B2228" s="64"/>
      <c r="C2228" s="64"/>
      <c r="D2228" s="64"/>
      <c r="E2228" s="63"/>
      <c r="F2228" s="64"/>
    </row>
    <row r="2229" spans="1:6" x14ac:dyDescent="0.3">
      <c r="A2229" s="2"/>
      <c r="B2229" s="65"/>
      <c r="C2229" s="65"/>
      <c r="D2229" s="2"/>
      <c r="E2229" s="2"/>
      <c r="F2229" s="2"/>
    </row>
    <row r="2230" spans="1:6" x14ac:dyDescent="0.3">
      <c r="A2230" s="63"/>
      <c r="B2230" s="64"/>
      <c r="C2230" s="64"/>
      <c r="D2230" s="64"/>
      <c r="E2230" s="63"/>
      <c r="F2230" s="64"/>
    </row>
    <row r="2231" spans="1:6" x14ac:dyDescent="0.3">
      <c r="A2231" s="2"/>
      <c r="B2231" s="65"/>
      <c r="C2231" s="65"/>
      <c r="D2231" s="2"/>
      <c r="E2231" s="2"/>
      <c r="F2231" s="2"/>
    </row>
    <row r="2232" spans="1:6" x14ac:dyDescent="0.3">
      <c r="A2232" s="63"/>
      <c r="B2232" s="64"/>
      <c r="C2232" s="64"/>
      <c r="D2232" s="64"/>
      <c r="E2232" s="63"/>
      <c r="F2232" s="64"/>
    </row>
    <row r="2233" spans="1:6" x14ac:dyDescent="0.3">
      <c r="A2233" s="2"/>
      <c r="B2233" s="65"/>
      <c r="C2233" s="65"/>
      <c r="D2233" s="2"/>
      <c r="E2233" s="2"/>
      <c r="F2233" s="2"/>
    </row>
    <row r="2234" spans="1:6" x14ac:dyDescent="0.3">
      <c r="A2234" s="63"/>
      <c r="B2234" s="64"/>
      <c r="C2234" s="64"/>
      <c r="D2234" s="64"/>
      <c r="E2234" s="63"/>
      <c r="F2234" s="64"/>
    </row>
    <row r="2235" spans="1:6" x14ac:dyDescent="0.3">
      <c r="A2235" s="2"/>
      <c r="B2235" s="65"/>
      <c r="C2235" s="65"/>
      <c r="D2235" s="2"/>
      <c r="E2235" s="2"/>
      <c r="F2235" s="2"/>
    </row>
    <row r="2236" spans="1:6" x14ac:dyDescent="0.3">
      <c r="A2236" s="63"/>
      <c r="B2236" s="64"/>
      <c r="C2236" s="64"/>
      <c r="D2236" s="64"/>
      <c r="E2236" s="63"/>
      <c r="F2236" s="64"/>
    </row>
    <row r="2237" spans="1:6" x14ac:dyDescent="0.3">
      <c r="A2237" s="2"/>
      <c r="B2237" s="65"/>
      <c r="C2237" s="65"/>
      <c r="D2237" s="2"/>
      <c r="E2237" s="2"/>
      <c r="F2237" s="2"/>
    </row>
    <row r="2238" spans="1:6" x14ac:dyDescent="0.3">
      <c r="A2238" s="63"/>
      <c r="B2238" s="64"/>
      <c r="C2238" s="64"/>
      <c r="D2238" s="64"/>
      <c r="E2238" s="63"/>
      <c r="F2238" s="64"/>
    </row>
    <row r="2239" spans="1:6" x14ac:dyDescent="0.3">
      <c r="A2239" s="2"/>
      <c r="B2239" s="65"/>
      <c r="C2239" s="65"/>
      <c r="D2239" s="2"/>
      <c r="E2239" s="2"/>
      <c r="F2239" s="2"/>
    </row>
    <row r="2240" spans="1:6" x14ac:dyDescent="0.3">
      <c r="A2240" s="63"/>
      <c r="B2240" s="64"/>
      <c r="C2240" s="64"/>
      <c r="D2240" s="64"/>
      <c r="E2240" s="63"/>
      <c r="F2240" s="64"/>
    </row>
    <row r="2241" spans="1:6" x14ac:dyDescent="0.3">
      <c r="A2241" s="2"/>
      <c r="B2241" s="65"/>
      <c r="C2241" s="65"/>
      <c r="D2241" s="2"/>
      <c r="E2241" s="2"/>
      <c r="F2241" s="2"/>
    </row>
    <row r="2242" spans="1:6" x14ac:dyDescent="0.3">
      <c r="A2242" s="63"/>
      <c r="B2242" s="64"/>
      <c r="C2242" s="64"/>
      <c r="D2242" s="64"/>
      <c r="E2242" s="63"/>
      <c r="F2242" s="64"/>
    </row>
    <row r="2243" spans="1:6" x14ac:dyDescent="0.3">
      <c r="A2243" s="2"/>
      <c r="B2243" s="65"/>
      <c r="C2243" s="65"/>
      <c r="D2243" s="2"/>
      <c r="E2243" s="2"/>
      <c r="F2243" s="2"/>
    </row>
    <row r="2244" spans="1:6" x14ac:dyDescent="0.3">
      <c r="A2244" s="63"/>
      <c r="B2244" s="64"/>
      <c r="C2244" s="64"/>
      <c r="D2244" s="64"/>
      <c r="E2244" s="63"/>
      <c r="F2244" s="64"/>
    </row>
    <row r="2245" spans="1:6" x14ac:dyDescent="0.3">
      <c r="A2245" s="2"/>
      <c r="B2245" s="65"/>
      <c r="C2245" s="65"/>
      <c r="D2245" s="2"/>
      <c r="E2245" s="2"/>
      <c r="F2245" s="2"/>
    </row>
    <row r="2246" spans="1:6" x14ac:dyDescent="0.3">
      <c r="A2246" s="63"/>
      <c r="B2246" s="64"/>
      <c r="C2246" s="64"/>
      <c r="D2246" s="64"/>
      <c r="E2246" s="63"/>
      <c r="F2246" s="64"/>
    </row>
    <row r="2247" spans="1:6" x14ac:dyDescent="0.3">
      <c r="A2247" s="2"/>
      <c r="B2247" s="65"/>
      <c r="C2247" s="65"/>
      <c r="D2247" s="2"/>
      <c r="E2247" s="2"/>
      <c r="F2247" s="2"/>
    </row>
    <row r="2248" spans="1:6" x14ac:dyDescent="0.3">
      <c r="A2248" s="63"/>
      <c r="B2248" s="64"/>
      <c r="C2248" s="64"/>
      <c r="D2248" s="64"/>
      <c r="E2248" s="63"/>
      <c r="F2248" s="64"/>
    </row>
    <row r="2249" spans="1:6" x14ac:dyDescent="0.3">
      <c r="A2249" s="2"/>
      <c r="B2249" s="65"/>
      <c r="C2249" s="65"/>
      <c r="D2249" s="2"/>
      <c r="E2249" s="2"/>
      <c r="F2249" s="2"/>
    </row>
    <row r="2250" spans="1:6" x14ac:dyDescent="0.3">
      <c r="A2250" s="63"/>
      <c r="B2250" s="64"/>
      <c r="C2250" s="64"/>
      <c r="D2250" s="64"/>
      <c r="E2250" s="63"/>
      <c r="F2250" s="64"/>
    </row>
    <row r="2251" spans="1:6" x14ac:dyDescent="0.3">
      <c r="A2251" s="2"/>
      <c r="B2251" s="65"/>
      <c r="C2251" s="65"/>
      <c r="D2251" s="2"/>
      <c r="E2251" s="2"/>
      <c r="F2251" s="2"/>
    </row>
    <row r="2252" spans="1:6" x14ac:dyDescent="0.3">
      <c r="A2252" s="63"/>
      <c r="B2252" s="64"/>
      <c r="C2252" s="64"/>
      <c r="D2252" s="64"/>
      <c r="E2252" s="63"/>
      <c r="F2252" s="64"/>
    </row>
    <row r="2253" spans="1:6" x14ac:dyDescent="0.3">
      <c r="A2253" s="2"/>
      <c r="B2253" s="65"/>
      <c r="C2253" s="65"/>
      <c r="D2253" s="2"/>
      <c r="E2253" s="2"/>
      <c r="F2253" s="2"/>
    </row>
    <row r="2254" spans="1:6" x14ac:dyDescent="0.3">
      <c r="A2254" s="63"/>
      <c r="B2254" s="64"/>
      <c r="C2254" s="64"/>
      <c r="D2254" s="64"/>
      <c r="E2254" s="63"/>
      <c r="F2254" s="64"/>
    </row>
    <row r="2255" spans="1:6" x14ac:dyDescent="0.3">
      <c r="A2255" s="2"/>
      <c r="B2255" s="65"/>
      <c r="C2255" s="65"/>
      <c r="D2255" s="2"/>
      <c r="E2255" s="2"/>
      <c r="F2255" s="2"/>
    </row>
    <row r="2256" spans="1:6" x14ac:dyDescent="0.3">
      <c r="A2256" s="63"/>
      <c r="B2256" s="64"/>
      <c r="C2256" s="64"/>
      <c r="D2256" s="64"/>
      <c r="E2256" s="63"/>
      <c r="F2256" s="64"/>
    </row>
    <row r="2257" spans="1:6" x14ac:dyDescent="0.3">
      <c r="A2257" s="2"/>
      <c r="B2257" s="65"/>
      <c r="C2257" s="65"/>
      <c r="D2257" s="2"/>
      <c r="E2257" s="2"/>
      <c r="F2257" s="2"/>
    </row>
    <row r="2258" spans="1:6" x14ac:dyDescent="0.3">
      <c r="A2258" s="63"/>
      <c r="B2258" s="64"/>
      <c r="C2258" s="64"/>
      <c r="D2258" s="64"/>
      <c r="E2258" s="63"/>
      <c r="F2258" s="64"/>
    </row>
    <row r="2259" spans="1:6" x14ac:dyDescent="0.3">
      <c r="A2259" s="2"/>
      <c r="B2259" s="65"/>
      <c r="C2259" s="65"/>
      <c r="D2259" s="2"/>
      <c r="E2259" s="2"/>
      <c r="F2259" s="2"/>
    </row>
    <row r="2260" spans="1:6" x14ac:dyDescent="0.3">
      <c r="A2260" s="63"/>
      <c r="B2260" s="64"/>
      <c r="C2260" s="64"/>
      <c r="D2260" s="64"/>
      <c r="E2260" s="63"/>
      <c r="F2260" s="64"/>
    </row>
    <row r="2261" spans="1:6" x14ac:dyDescent="0.3">
      <c r="A2261" s="2"/>
      <c r="B2261" s="65"/>
      <c r="C2261" s="65"/>
      <c r="D2261" s="2"/>
      <c r="E2261" s="2"/>
      <c r="F2261" s="2"/>
    </row>
    <row r="2262" spans="1:6" x14ac:dyDescent="0.3">
      <c r="A2262" s="63"/>
      <c r="B2262" s="64"/>
      <c r="C2262" s="64"/>
      <c r="D2262" s="64"/>
      <c r="E2262" s="63"/>
      <c r="F2262" s="64"/>
    </row>
    <row r="2263" spans="1:6" x14ac:dyDescent="0.3">
      <c r="A2263" s="2"/>
      <c r="B2263" s="65"/>
      <c r="C2263" s="65"/>
      <c r="D2263" s="2"/>
      <c r="E2263" s="2"/>
      <c r="F2263" s="2"/>
    </row>
    <row r="2264" spans="1:6" x14ac:dyDescent="0.3">
      <c r="A2264" s="63"/>
      <c r="B2264" s="64"/>
      <c r="C2264" s="64"/>
      <c r="D2264" s="64"/>
      <c r="E2264" s="63"/>
      <c r="F2264" s="64"/>
    </row>
    <row r="2265" spans="1:6" x14ac:dyDescent="0.3">
      <c r="A2265" s="2"/>
      <c r="B2265" s="65"/>
      <c r="C2265" s="65"/>
      <c r="D2265" s="2"/>
      <c r="E2265" s="2"/>
      <c r="F2265" s="2"/>
    </row>
    <row r="2266" spans="1:6" x14ac:dyDescent="0.3">
      <c r="A2266" s="63"/>
      <c r="B2266" s="64"/>
      <c r="C2266" s="64"/>
      <c r="D2266" s="64"/>
      <c r="E2266" s="63"/>
      <c r="F2266" s="64"/>
    </row>
    <row r="2267" spans="1:6" x14ac:dyDescent="0.3">
      <c r="A2267" s="2"/>
      <c r="B2267" s="65"/>
      <c r="C2267" s="65"/>
      <c r="D2267" s="2"/>
      <c r="E2267" s="2"/>
      <c r="F2267" s="2"/>
    </row>
    <row r="2268" spans="1:6" x14ac:dyDescent="0.3">
      <c r="A2268" s="63"/>
      <c r="B2268" s="64"/>
      <c r="C2268" s="64"/>
      <c r="D2268" s="64"/>
      <c r="E2268" s="63"/>
      <c r="F2268" s="64"/>
    </row>
    <row r="2269" spans="1:6" x14ac:dyDescent="0.3">
      <c r="A2269" s="2"/>
      <c r="B2269" s="65"/>
      <c r="C2269" s="65"/>
      <c r="D2269" s="2"/>
      <c r="E2269" s="2"/>
      <c r="F2269" s="2"/>
    </row>
    <row r="2270" spans="1:6" x14ac:dyDescent="0.3">
      <c r="A2270" s="63"/>
      <c r="B2270" s="64"/>
      <c r="C2270" s="64"/>
      <c r="D2270" s="64"/>
      <c r="E2270" s="63"/>
      <c r="F2270" s="64"/>
    </row>
    <row r="2271" spans="1:6" x14ac:dyDescent="0.3">
      <c r="A2271" s="2"/>
      <c r="B2271" s="65"/>
      <c r="C2271" s="65"/>
      <c r="D2271" s="2"/>
      <c r="E2271" s="2"/>
      <c r="F2271" s="2"/>
    </row>
    <row r="2272" spans="1:6" x14ac:dyDescent="0.3">
      <c r="A2272" s="63"/>
      <c r="B2272" s="64"/>
      <c r="C2272" s="64"/>
      <c r="D2272" s="64"/>
      <c r="E2272" s="63"/>
      <c r="F2272" s="64"/>
    </row>
    <row r="2273" spans="1:6" x14ac:dyDescent="0.3">
      <c r="A2273" s="2"/>
      <c r="B2273" s="65"/>
      <c r="C2273" s="65"/>
      <c r="D2273" s="2"/>
      <c r="E2273" s="2"/>
      <c r="F2273" s="2"/>
    </row>
    <row r="2274" spans="1:6" x14ac:dyDescent="0.3">
      <c r="A2274" s="63"/>
      <c r="B2274" s="64"/>
      <c r="C2274" s="64"/>
      <c r="D2274" s="64"/>
      <c r="E2274" s="63"/>
      <c r="F2274" s="64"/>
    </row>
    <row r="2275" spans="1:6" x14ac:dyDescent="0.3">
      <c r="A2275" s="2"/>
      <c r="B2275" s="65"/>
      <c r="C2275" s="65"/>
      <c r="D2275" s="2"/>
      <c r="E2275" s="2"/>
      <c r="F2275" s="2"/>
    </row>
    <row r="2276" spans="1:6" x14ac:dyDescent="0.3">
      <c r="A2276" s="63"/>
      <c r="B2276" s="64"/>
      <c r="C2276" s="64"/>
      <c r="D2276" s="64"/>
      <c r="E2276" s="63"/>
      <c r="F2276" s="64"/>
    </row>
    <row r="2277" spans="1:6" x14ac:dyDescent="0.3">
      <c r="A2277" s="2"/>
      <c r="B2277" s="65"/>
      <c r="C2277" s="65"/>
      <c r="D2277" s="2"/>
      <c r="E2277" s="2"/>
      <c r="F2277" s="2"/>
    </row>
    <row r="2278" spans="1:6" x14ac:dyDescent="0.3">
      <c r="A2278" s="63"/>
      <c r="B2278" s="64"/>
      <c r="C2278" s="64"/>
      <c r="D2278" s="64"/>
      <c r="E2278" s="63"/>
      <c r="F2278" s="64"/>
    </row>
    <row r="2279" spans="1:6" x14ac:dyDescent="0.3">
      <c r="A2279" s="2"/>
      <c r="B2279" s="65"/>
      <c r="C2279" s="65"/>
      <c r="D2279" s="2"/>
      <c r="E2279" s="2"/>
      <c r="F2279" s="2"/>
    </row>
    <row r="2280" spans="1:6" x14ac:dyDescent="0.3">
      <c r="A2280" s="63"/>
      <c r="B2280" s="64"/>
      <c r="C2280" s="64"/>
      <c r="D2280" s="64"/>
      <c r="E2280" s="63"/>
      <c r="F2280" s="64"/>
    </row>
    <row r="2281" spans="1:6" x14ac:dyDescent="0.3">
      <c r="A2281" s="2"/>
      <c r="B2281" s="65"/>
      <c r="C2281" s="65"/>
      <c r="D2281" s="2"/>
      <c r="E2281" s="2"/>
      <c r="F2281" s="2"/>
    </row>
    <row r="2282" spans="1:6" x14ac:dyDescent="0.3">
      <c r="A2282" s="63"/>
      <c r="B2282" s="64"/>
      <c r="C2282" s="64"/>
      <c r="D2282" s="64"/>
      <c r="E2282" s="63"/>
      <c r="F2282" s="64"/>
    </row>
    <row r="2283" spans="1:6" x14ac:dyDescent="0.3">
      <c r="A2283" s="2"/>
      <c r="B2283" s="65"/>
      <c r="C2283" s="65"/>
      <c r="D2283" s="2"/>
      <c r="E2283" s="2"/>
      <c r="F2283" s="2"/>
    </row>
    <row r="2284" spans="1:6" x14ac:dyDescent="0.3">
      <c r="A2284" s="63"/>
      <c r="B2284" s="64"/>
      <c r="C2284" s="64"/>
      <c r="D2284" s="64"/>
      <c r="E2284" s="63"/>
      <c r="F2284" s="64"/>
    </row>
    <row r="2285" spans="1:6" x14ac:dyDescent="0.3">
      <c r="A2285" s="2"/>
      <c r="B2285" s="65"/>
      <c r="C2285" s="65"/>
      <c r="D2285" s="2"/>
      <c r="E2285" s="2"/>
      <c r="F2285" s="2"/>
    </row>
    <row r="2286" spans="1:6" x14ac:dyDescent="0.3">
      <c r="A2286" s="63"/>
      <c r="B2286" s="64"/>
      <c r="C2286" s="64"/>
      <c r="D2286" s="64"/>
      <c r="E2286" s="63"/>
      <c r="F2286" s="64"/>
    </row>
    <row r="2287" spans="1:6" x14ac:dyDescent="0.3">
      <c r="A2287" s="2"/>
      <c r="B2287" s="65"/>
      <c r="C2287" s="65"/>
      <c r="D2287" s="2"/>
      <c r="E2287" s="2"/>
      <c r="F2287" s="2"/>
    </row>
    <row r="2288" spans="1:6" x14ac:dyDescent="0.3">
      <c r="A2288" s="63"/>
      <c r="B2288" s="64"/>
      <c r="C2288" s="64"/>
      <c r="D2288" s="64"/>
      <c r="E2288" s="63"/>
      <c r="F2288" s="64"/>
    </row>
    <row r="2289" spans="1:6" x14ac:dyDescent="0.3">
      <c r="A2289" s="2"/>
      <c r="B2289" s="65"/>
      <c r="C2289" s="65"/>
      <c r="D2289" s="2"/>
      <c r="E2289" s="2"/>
      <c r="F2289" s="2"/>
    </row>
    <row r="2290" spans="1:6" x14ac:dyDescent="0.3">
      <c r="A2290" s="63"/>
      <c r="B2290" s="64"/>
      <c r="C2290" s="64"/>
      <c r="D2290" s="64"/>
      <c r="E2290" s="63"/>
      <c r="F2290" s="64"/>
    </row>
    <row r="2291" spans="1:6" x14ac:dyDescent="0.3">
      <c r="A2291" s="2"/>
      <c r="B2291" s="65"/>
      <c r="C2291" s="65"/>
      <c r="D2291" s="2"/>
      <c r="E2291" s="2"/>
      <c r="F2291" s="2"/>
    </row>
    <row r="2292" spans="1:6" x14ac:dyDescent="0.3">
      <c r="A2292" s="63"/>
      <c r="B2292" s="64"/>
      <c r="C2292" s="64"/>
      <c r="D2292" s="64"/>
      <c r="E2292" s="63"/>
      <c r="F2292" s="64"/>
    </row>
    <row r="2293" spans="1:6" x14ac:dyDescent="0.3">
      <c r="A2293" s="2"/>
      <c r="B2293" s="65"/>
      <c r="C2293" s="65"/>
      <c r="D2293" s="2"/>
      <c r="E2293" s="2"/>
      <c r="F2293" s="2"/>
    </row>
    <row r="2294" spans="1:6" x14ac:dyDescent="0.3">
      <c r="A2294" s="63"/>
      <c r="B2294" s="64"/>
      <c r="C2294" s="64"/>
      <c r="D2294" s="64"/>
      <c r="E2294" s="63"/>
      <c r="F2294" s="64"/>
    </row>
    <row r="2295" spans="1:6" x14ac:dyDescent="0.3">
      <c r="A2295" s="2"/>
      <c r="B2295" s="65"/>
      <c r="C2295" s="65"/>
      <c r="D2295" s="2"/>
      <c r="E2295" s="2"/>
      <c r="F2295" s="2"/>
    </row>
    <row r="2296" spans="1:6" x14ac:dyDescent="0.3">
      <c r="A2296" s="63"/>
      <c r="B2296" s="64"/>
      <c r="C2296" s="64"/>
      <c r="D2296" s="64"/>
      <c r="E2296" s="63"/>
      <c r="F2296" s="64"/>
    </row>
    <row r="2297" spans="1:6" x14ac:dyDescent="0.3">
      <c r="A2297" s="2"/>
      <c r="B2297" s="65"/>
      <c r="C2297" s="65"/>
      <c r="D2297" s="2"/>
      <c r="E2297" s="2"/>
      <c r="F2297" s="2"/>
    </row>
    <row r="2298" spans="1:6" x14ac:dyDescent="0.3">
      <c r="A2298" s="63"/>
      <c r="B2298" s="64"/>
      <c r="C2298" s="64"/>
      <c r="D2298" s="64"/>
      <c r="E2298" s="63"/>
      <c r="F2298" s="64"/>
    </row>
    <row r="2299" spans="1:6" x14ac:dyDescent="0.3">
      <c r="A2299" s="2"/>
      <c r="B2299" s="65"/>
      <c r="C2299" s="65"/>
      <c r="D2299" s="2"/>
      <c r="E2299" s="2"/>
      <c r="F2299" s="2"/>
    </row>
    <row r="2300" spans="1:6" x14ac:dyDescent="0.3">
      <c r="A2300" s="63"/>
      <c r="B2300" s="64"/>
      <c r="C2300" s="64"/>
      <c r="D2300" s="64"/>
      <c r="E2300" s="63"/>
      <c r="F2300" s="64"/>
    </row>
    <row r="2301" spans="1:6" x14ac:dyDescent="0.3">
      <c r="A2301" s="2"/>
      <c r="B2301" s="65"/>
      <c r="C2301" s="65"/>
      <c r="D2301" s="2"/>
      <c r="E2301" s="2"/>
      <c r="F2301" s="2"/>
    </row>
    <row r="2302" spans="1:6" x14ac:dyDescent="0.3">
      <c r="A2302" s="63"/>
      <c r="B2302" s="64"/>
      <c r="C2302" s="64"/>
      <c r="D2302" s="64"/>
      <c r="E2302" s="63"/>
      <c r="F2302" s="64"/>
    </row>
    <row r="2303" spans="1:6" x14ac:dyDescent="0.3">
      <c r="A2303" s="2"/>
      <c r="B2303" s="65"/>
      <c r="C2303" s="65"/>
      <c r="D2303" s="2"/>
      <c r="E2303" s="2"/>
      <c r="F2303" s="2"/>
    </row>
    <row r="2304" spans="1:6" x14ac:dyDescent="0.3">
      <c r="A2304" s="63"/>
      <c r="B2304" s="64"/>
      <c r="C2304" s="64"/>
      <c r="D2304" s="64"/>
      <c r="E2304" s="63"/>
      <c r="F2304" s="64"/>
    </row>
    <row r="2305" spans="1:6" x14ac:dyDescent="0.3">
      <c r="A2305" s="2"/>
      <c r="B2305" s="65"/>
      <c r="C2305" s="65"/>
      <c r="D2305" s="2"/>
      <c r="E2305" s="2"/>
      <c r="F2305" s="2"/>
    </row>
    <row r="2306" spans="1:6" x14ac:dyDescent="0.3">
      <c r="A2306" s="63"/>
      <c r="B2306" s="64"/>
      <c r="C2306" s="64"/>
      <c r="D2306" s="64"/>
      <c r="E2306" s="63"/>
      <c r="F2306" s="64"/>
    </row>
    <row r="2307" spans="1:6" x14ac:dyDescent="0.3">
      <c r="A2307" s="2"/>
      <c r="B2307" s="65"/>
      <c r="C2307" s="65"/>
      <c r="D2307" s="2"/>
      <c r="E2307" s="2"/>
      <c r="F2307" s="2"/>
    </row>
    <row r="2308" spans="1:6" x14ac:dyDescent="0.3">
      <c r="A2308" s="63"/>
      <c r="B2308" s="64"/>
      <c r="C2308" s="64"/>
      <c r="D2308" s="64"/>
      <c r="E2308" s="63"/>
      <c r="F2308" s="64"/>
    </row>
    <row r="2309" spans="1:6" x14ac:dyDescent="0.3">
      <c r="A2309" s="2"/>
      <c r="B2309" s="65"/>
      <c r="C2309" s="65"/>
      <c r="D2309" s="2"/>
      <c r="E2309" s="2"/>
      <c r="F2309" s="2"/>
    </row>
    <row r="2310" spans="1:6" x14ac:dyDescent="0.3">
      <c r="A2310" s="63"/>
      <c r="B2310" s="64"/>
      <c r="C2310" s="64"/>
      <c r="D2310" s="64"/>
      <c r="E2310" s="63"/>
      <c r="F2310" s="64"/>
    </row>
    <row r="2311" spans="1:6" x14ac:dyDescent="0.3">
      <c r="A2311" s="2"/>
      <c r="B2311" s="65"/>
      <c r="C2311" s="65"/>
      <c r="D2311" s="2"/>
      <c r="E2311" s="2"/>
      <c r="F2311" s="2"/>
    </row>
    <row r="2312" spans="1:6" x14ac:dyDescent="0.3">
      <c r="A2312" s="63"/>
      <c r="B2312" s="64"/>
      <c r="C2312" s="64"/>
      <c r="D2312" s="64"/>
      <c r="E2312" s="63"/>
      <c r="F2312" s="64"/>
    </row>
    <row r="2313" spans="1:6" x14ac:dyDescent="0.3">
      <c r="A2313" s="2"/>
      <c r="B2313" s="65"/>
      <c r="C2313" s="65"/>
      <c r="D2313" s="2"/>
      <c r="E2313" s="2"/>
      <c r="F2313" s="2"/>
    </row>
    <row r="2314" spans="1:6" x14ac:dyDescent="0.3">
      <c r="A2314" s="63"/>
      <c r="B2314" s="64"/>
      <c r="C2314" s="64"/>
      <c r="D2314" s="64"/>
      <c r="E2314" s="63"/>
      <c r="F2314" s="64"/>
    </row>
    <row r="2315" spans="1:6" x14ac:dyDescent="0.3">
      <c r="A2315" s="2"/>
      <c r="B2315" s="65"/>
      <c r="C2315" s="65"/>
      <c r="D2315" s="2"/>
      <c r="E2315" s="2"/>
      <c r="F2315" s="2"/>
    </row>
    <row r="2316" spans="1:6" x14ac:dyDescent="0.3">
      <c r="A2316" s="63"/>
      <c r="B2316" s="64"/>
      <c r="C2316" s="64"/>
      <c r="D2316" s="64"/>
      <c r="E2316" s="63"/>
      <c r="F2316" s="64"/>
    </row>
    <row r="2317" spans="1:6" x14ac:dyDescent="0.3">
      <c r="A2317" s="2"/>
      <c r="B2317" s="65"/>
      <c r="C2317" s="65"/>
      <c r="D2317" s="2"/>
      <c r="E2317" s="2"/>
      <c r="F2317" s="2"/>
    </row>
    <row r="2318" spans="1:6" x14ac:dyDescent="0.3">
      <c r="A2318" s="63"/>
      <c r="B2318" s="64"/>
      <c r="C2318" s="64"/>
      <c r="D2318" s="64"/>
      <c r="E2318" s="63"/>
      <c r="F2318" s="64"/>
    </row>
    <row r="2319" spans="1:6" x14ac:dyDescent="0.3">
      <c r="A2319" s="2"/>
      <c r="B2319" s="65"/>
      <c r="C2319" s="65"/>
      <c r="D2319" s="2"/>
      <c r="E2319" s="2"/>
      <c r="F2319" s="2"/>
    </row>
    <row r="2320" spans="1:6" x14ac:dyDescent="0.3">
      <c r="A2320" s="63"/>
      <c r="B2320" s="64"/>
      <c r="C2320" s="64"/>
      <c r="D2320" s="64"/>
      <c r="E2320" s="63"/>
      <c r="F2320" s="64"/>
    </row>
    <row r="2321" spans="1:6" x14ac:dyDescent="0.3">
      <c r="A2321" s="2"/>
      <c r="B2321" s="65"/>
      <c r="C2321" s="65"/>
      <c r="D2321" s="2"/>
      <c r="E2321" s="2"/>
      <c r="F2321" s="2"/>
    </row>
    <row r="2322" spans="1:6" x14ac:dyDescent="0.3">
      <c r="A2322" s="63"/>
      <c r="B2322" s="64"/>
      <c r="C2322" s="64"/>
      <c r="D2322" s="64"/>
      <c r="E2322" s="63"/>
      <c r="F2322" s="64"/>
    </row>
    <row r="2323" spans="1:6" x14ac:dyDescent="0.3">
      <c r="A2323" s="2"/>
      <c r="B2323" s="65"/>
      <c r="C2323" s="65"/>
      <c r="D2323" s="2"/>
      <c r="E2323" s="2"/>
      <c r="F2323" s="2"/>
    </row>
    <row r="2324" spans="1:6" x14ac:dyDescent="0.3">
      <c r="A2324" s="63"/>
      <c r="B2324" s="64"/>
      <c r="C2324" s="64"/>
      <c r="D2324" s="64"/>
      <c r="E2324" s="63"/>
      <c r="F2324" s="64"/>
    </row>
    <row r="2325" spans="1:6" x14ac:dyDescent="0.3">
      <c r="A2325" s="2"/>
      <c r="B2325" s="65"/>
      <c r="C2325" s="65"/>
      <c r="D2325" s="2"/>
      <c r="E2325" s="2"/>
      <c r="F2325" s="2"/>
    </row>
    <row r="2326" spans="1:6" x14ac:dyDescent="0.3">
      <c r="A2326" s="63"/>
      <c r="B2326" s="64"/>
      <c r="C2326" s="64"/>
      <c r="D2326" s="64"/>
      <c r="E2326" s="63"/>
      <c r="F2326" s="64"/>
    </row>
    <row r="2327" spans="1:6" x14ac:dyDescent="0.3">
      <c r="A2327" s="2"/>
      <c r="B2327" s="65"/>
      <c r="C2327" s="65"/>
      <c r="D2327" s="2"/>
      <c r="E2327" s="2"/>
      <c r="F2327" s="2"/>
    </row>
    <row r="2328" spans="1:6" x14ac:dyDescent="0.3">
      <c r="A2328" s="63"/>
      <c r="B2328" s="64"/>
      <c r="C2328" s="64"/>
      <c r="D2328" s="64"/>
      <c r="E2328" s="63"/>
      <c r="F2328" s="64"/>
    </row>
    <row r="2329" spans="1:6" x14ac:dyDescent="0.3">
      <c r="A2329" s="2"/>
      <c r="B2329" s="65"/>
      <c r="C2329" s="65"/>
      <c r="D2329" s="2"/>
      <c r="E2329" s="2"/>
      <c r="F2329" s="2"/>
    </row>
    <row r="2330" spans="1:6" x14ac:dyDescent="0.3">
      <c r="A2330" s="63"/>
      <c r="B2330" s="64"/>
      <c r="C2330" s="64"/>
      <c r="D2330" s="64"/>
      <c r="E2330" s="63"/>
      <c r="F2330" s="64"/>
    </row>
    <row r="2331" spans="1:6" x14ac:dyDescent="0.3">
      <c r="A2331" s="2"/>
      <c r="B2331" s="65"/>
      <c r="C2331" s="65"/>
      <c r="D2331" s="2"/>
      <c r="E2331" s="2"/>
      <c r="F2331" s="2"/>
    </row>
    <row r="2332" spans="1:6" x14ac:dyDescent="0.3">
      <c r="A2332" s="63"/>
      <c r="B2332" s="64"/>
      <c r="C2332" s="64"/>
      <c r="D2332" s="64"/>
      <c r="E2332" s="63"/>
      <c r="F2332" s="64"/>
    </row>
    <row r="2333" spans="1:6" x14ac:dyDescent="0.3">
      <c r="A2333" s="2"/>
      <c r="B2333" s="65"/>
      <c r="C2333" s="65"/>
      <c r="D2333" s="2"/>
      <c r="E2333" s="2"/>
      <c r="F2333" s="2"/>
    </row>
    <row r="2334" spans="1:6" x14ac:dyDescent="0.3">
      <c r="A2334" s="63"/>
      <c r="B2334" s="64"/>
      <c r="C2334" s="64"/>
      <c r="D2334" s="64"/>
      <c r="E2334" s="63"/>
      <c r="F2334" s="64"/>
    </row>
    <row r="2335" spans="1:6" x14ac:dyDescent="0.3">
      <c r="A2335" s="2"/>
      <c r="B2335" s="65"/>
      <c r="C2335" s="65"/>
      <c r="D2335" s="2"/>
      <c r="E2335" s="2"/>
      <c r="F2335" s="2"/>
    </row>
    <row r="2336" spans="1:6" x14ac:dyDescent="0.3">
      <c r="A2336" s="63"/>
      <c r="B2336" s="64"/>
      <c r="C2336" s="64"/>
      <c r="D2336" s="64"/>
      <c r="E2336" s="63"/>
      <c r="F2336" s="64"/>
    </row>
    <row r="2337" spans="1:6" x14ac:dyDescent="0.3">
      <c r="A2337" s="2"/>
      <c r="B2337" s="65"/>
      <c r="C2337" s="65"/>
      <c r="D2337" s="2"/>
      <c r="E2337" s="2"/>
      <c r="F2337" s="2"/>
    </row>
    <row r="2338" spans="1:6" x14ac:dyDescent="0.3">
      <c r="A2338" s="63"/>
      <c r="B2338" s="64"/>
      <c r="C2338" s="64"/>
      <c r="D2338" s="64"/>
      <c r="E2338" s="63"/>
      <c r="F2338" s="64"/>
    </row>
    <row r="2339" spans="1:6" x14ac:dyDescent="0.3">
      <c r="A2339" s="2"/>
      <c r="B2339" s="65"/>
      <c r="C2339" s="65"/>
      <c r="D2339" s="2"/>
      <c r="E2339" s="2"/>
      <c r="F2339" s="2"/>
    </row>
    <row r="2340" spans="1:6" x14ac:dyDescent="0.3">
      <c r="A2340" s="63"/>
      <c r="B2340" s="64"/>
      <c r="C2340" s="64"/>
      <c r="D2340" s="64"/>
      <c r="E2340" s="63"/>
      <c r="F2340" s="64"/>
    </row>
    <row r="2341" spans="1:6" x14ac:dyDescent="0.3">
      <c r="A2341" s="2"/>
      <c r="B2341" s="65"/>
      <c r="C2341" s="65"/>
      <c r="D2341" s="2"/>
      <c r="E2341" s="2"/>
      <c r="F2341" s="2"/>
    </row>
    <row r="2342" spans="1:6" x14ac:dyDescent="0.3">
      <c r="A2342" s="63"/>
      <c r="B2342" s="64"/>
      <c r="C2342" s="64"/>
      <c r="D2342" s="64"/>
      <c r="E2342" s="63"/>
      <c r="F2342" s="64"/>
    </row>
    <row r="2343" spans="1:6" x14ac:dyDescent="0.3">
      <c r="A2343" s="2"/>
      <c r="B2343" s="65"/>
      <c r="C2343" s="65"/>
      <c r="D2343" s="2"/>
      <c r="E2343" s="2"/>
      <c r="F2343" s="2"/>
    </row>
    <row r="2344" spans="1:6" x14ac:dyDescent="0.3">
      <c r="A2344" s="63"/>
      <c r="B2344" s="64"/>
      <c r="C2344" s="64"/>
      <c r="D2344" s="64"/>
      <c r="E2344" s="63"/>
      <c r="F2344" s="64"/>
    </row>
    <row r="2345" spans="1:6" x14ac:dyDescent="0.3">
      <c r="A2345" s="2"/>
      <c r="B2345" s="65"/>
      <c r="C2345" s="65"/>
      <c r="D2345" s="2"/>
      <c r="E2345" s="2"/>
      <c r="F2345" s="2"/>
    </row>
    <row r="2346" spans="1:6" x14ac:dyDescent="0.3">
      <c r="A2346" s="63"/>
      <c r="B2346" s="64"/>
      <c r="C2346" s="64"/>
      <c r="D2346" s="64"/>
      <c r="E2346" s="63"/>
      <c r="F2346" s="64"/>
    </row>
    <row r="2347" spans="1:6" x14ac:dyDescent="0.3">
      <c r="A2347" s="2"/>
      <c r="B2347" s="65"/>
      <c r="C2347" s="65"/>
      <c r="D2347" s="2"/>
      <c r="E2347" s="2"/>
      <c r="F2347" s="2"/>
    </row>
    <row r="2348" spans="1:6" x14ac:dyDescent="0.3">
      <c r="A2348" s="63"/>
      <c r="B2348" s="64"/>
      <c r="C2348" s="64"/>
      <c r="D2348" s="64"/>
      <c r="E2348" s="63"/>
      <c r="F2348" s="64"/>
    </row>
    <row r="2349" spans="1:6" x14ac:dyDescent="0.3">
      <c r="A2349" s="2"/>
      <c r="B2349" s="65"/>
      <c r="C2349" s="65"/>
      <c r="D2349" s="2"/>
      <c r="E2349" s="2"/>
      <c r="F2349" s="2"/>
    </row>
    <row r="2350" spans="1:6" x14ac:dyDescent="0.3">
      <c r="A2350" s="63"/>
      <c r="B2350" s="64"/>
      <c r="C2350" s="64"/>
      <c r="D2350" s="64"/>
      <c r="E2350" s="63"/>
      <c r="F2350" s="64"/>
    </row>
    <row r="2351" spans="1:6" x14ac:dyDescent="0.3">
      <c r="A2351" s="2"/>
      <c r="B2351" s="65"/>
      <c r="C2351" s="65"/>
      <c r="D2351" s="2"/>
      <c r="E2351" s="2"/>
      <c r="F2351" s="2"/>
    </row>
    <row r="2352" spans="1:6" x14ac:dyDescent="0.3">
      <c r="A2352" s="63"/>
      <c r="B2352" s="64"/>
      <c r="C2352" s="64"/>
      <c r="D2352" s="64"/>
      <c r="E2352" s="63"/>
      <c r="F2352" s="64"/>
    </row>
    <row r="2353" spans="1:6" x14ac:dyDescent="0.3">
      <c r="A2353" s="2"/>
      <c r="B2353" s="65"/>
      <c r="C2353" s="65"/>
      <c r="D2353" s="2"/>
      <c r="E2353" s="2"/>
      <c r="F2353" s="2"/>
    </row>
    <row r="2354" spans="1:6" x14ac:dyDescent="0.3">
      <c r="A2354" s="63"/>
      <c r="B2354" s="64"/>
      <c r="C2354" s="64"/>
      <c r="D2354" s="64"/>
      <c r="E2354" s="63"/>
      <c r="F2354" s="64"/>
    </row>
    <row r="2355" spans="1:6" x14ac:dyDescent="0.3">
      <c r="A2355" s="2"/>
      <c r="B2355" s="65"/>
      <c r="C2355" s="65"/>
      <c r="D2355" s="2"/>
      <c r="E2355" s="2"/>
      <c r="F2355" s="2"/>
    </row>
    <row r="2356" spans="1:6" x14ac:dyDescent="0.3">
      <c r="A2356" s="63"/>
      <c r="B2356" s="64"/>
      <c r="C2356" s="64"/>
      <c r="D2356" s="64"/>
      <c r="E2356" s="63"/>
      <c r="F2356" s="64"/>
    </row>
    <row r="2357" spans="1:6" x14ac:dyDescent="0.3">
      <c r="A2357" s="2"/>
      <c r="B2357" s="65"/>
      <c r="C2357" s="65"/>
      <c r="D2357" s="2"/>
      <c r="E2357" s="2"/>
      <c r="F2357" s="2"/>
    </row>
    <row r="2358" spans="1:6" x14ac:dyDescent="0.3">
      <c r="A2358" s="63"/>
      <c r="B2358" s="64"/>
      <c r="C2358" s="64"/>
      <c r="D2358" s="64"/>
      <c r="E2358" s="63"/>
      <c r="F2358" s="64"/>
    </row>
    <row r="2359" spans="1:6" x14ac:dyDescent="0.3">
      <c r="A2359" s="2"/>
      <c r="B2359" s="65"/>
      <c r="C2359" s="65"/>
      <c r="D2359" s="2"/>
      <c r="E2359" s="2"/>
      <c r="F2359" s="2"/>
    </row>
    <row r="2360" spans="1:6" x14ac:dyDescent="0.3">
      <c r="A2360" s="63"/>
      <c r="B2360" s="64"/>
      <c r="C2360" s="64"/>
      <c r="D2360" s="64"/>
      <c r="E2360" s="63"/>
      <c r="F2360" s="64"/>
    </row>
    <row r="2361" spans="1:6" x14ac:dyDescent="0.3">
      <c r="A2361" s="2"/>
      <c r="B2361" s="65"/>
      <c r="C2361" s="65"/>
      <c r="D2361" s="2"/>
      <c r="E2361" s="2"/>
      <c r="F2361" s="2"/>
    </row>
    <row r="2362" spans="1:6" x14ac:dyDescent="0.3">
      <c r="A2362" s="63"/>
      <c r="B2362" s="64"/>
      <c r="C2362" s="64"/>
      <c r="D2362" s="64"/>
      <c r="E2362" s="63"/>
      <c r="F2362" s="64"/>
    </row>
    <row r="2363" spans="1:6" x14ac:dyDescent="0.3">
      <c r="A2363" s="2"/>
      <c r="B2363" s="65"/>
      <c r="C2363" s="65"/>
      <c r="D2363" s="2"/>
      <c r="E2363" s="2"/>
      <c r="F2363" s="2"/>
    </row>
    <row r="2364" spans="1:6" x14ac:dyDescent="0.3">
      <c r="A2364" s="63"/>
      <c r="B2364" s="64"/>
      <c r="C2364" s="64"/>
      <c r="D2364" s="64"/>
      <c r="E2364" s="63"/>
      <c r="F2364" s="64"/>
    </row>
    <row r="2365" spans="1:6" x14ac:dyDescent="0.3">
      <c r="A2365" s="2"/>
      <c r="B2365" s="65"/>
      <c r="C2365" s="65"/>
      <c r="D2365" s="2"/>
      <c r="E2365" s="2"/>
      <c r="F2365" s="2"/>
    </row>
    <row r="2366" spans="1:6" x14ac:dyDescent="0.3">
      <c r="A2366" s="63"/>
      <c r="B2366" s="64"/>
      <c r="C2366" s="64"/>
      <c r="D2366" s="64"/>
      <c r="E2366" s="63"/>
      <c r="F2366" s="64"/>
    </row>
    <row r="2367" spans="1:6" x14ac:dyDescent="0.3">
      <c r="A2367" s="2"/>
      <c r="B2367" s="65"/>
      <c r="C2367" s="65"/>
      <c r="D2367" s="2"/>
      <c r="E2367" s="2"/>
      <c r="F2367" s="2"/>
    </row>
    <row r="2368" spans="1:6" x14ac:dyDescent="0.3">
      <c r="A2368" s="63"/>
      <c r="B2368" s="64"/>
      <c r="C2368" s="64"/>
      <c r="D2368" s="64"/>
      <c r="E2368" s="63"/>
      <c r="F2368" s="64"/>
    </row>
    <row r="2369" spans="1:6" x14ac:dyDescent="0.3">
      <c r="A2369" s="2"/>
      <c r="B2369" s="65"/>
      <c r="C2369" s="65"/>
      <c r="D2369" s="2"/>
      <c r="E2369" s="2"/>
      <c r="F2369" s="2"/>
    </row>
    <row r="2370" spans="1:6" x14ac:dyDescent="0.3">
      <c r="A2370" s="63"/>
      <c r="B2370" s="64"/>
      <c r="C2370" s="64"/>
      <c r="D2370" s="64"/>
      <c r="E2370" s="63"/>
      <c r="F2370" s="64"/>
    </row>
    <row r="2371" spans="1:6" x14ac:dyDescent="0.3">
      <c r="A2371" s="2"/>
      <c r="B2371" s="65"/>
      <c r="C2371" s="65"/>
      <c r="D2371" s="2"/>
      <c r="E2371" s="2"/>
      <c r="F2371" s="2"/>
    </row>
    <row r="2372" spans="1:6" x14ac:dyDescent="0.3">
      <c r="A2372" s="63"/>
      <c r="B2372" s="64"/>
      <c r="C2372" s="64"/>
      <c r="D2372" s="64"/>
      <c r="E2372" s="63"/>
      <c r="F2372" s="64"/>
    </row>
    <row r="2373" spans="1:6" x14ac:dyDescent="0.3">
      <c r="A2373" s="2"/>
      <c r="B2373" s="65"/>
      <c r="C2373" s="65"/>
      <c r="D2373" s="2"/>
      <c r="E2373" s="2"/>
      <c r="F2373" s="2"/>
    </row>
    <row r="2374" spans="1:6" x14ac:dyDescent="0.3">
      <c r="A2374" s="63"/>
      <c r="B2374" s="64"/>
      <c r="C2374" s="64"/>
      <c r="D2374" s="64"/>
      <c r="E2374" s="63"/>
      <c r="F2374" s="64"/>
    </row>
    <row r="2375" spans="1:6" x14ac:dyDescent="0.3">
      <c r="A2375" s="2"/>
      <c r="B2375" s="65"/>
      <c r="C2375" s="65"/>
      <c r="D2375" s="2"/>
      <c r="E2375" s="2"/>
      <c r="F2375" s="2"/>
    </row>
    <row r="2376" spans="1:6" x14ac:dyDescent="0.3">
      <c r="A2376" s="63"/>
      <c r="B2376" s="64"/>
      <c r="C2376" s="64"/>
      <c r="D2376" s="64"/>
      <c r="E2376" s="63"/>
      <c r="F2376" s="64"/>
    </row>
    <row r="2377" spans="1:6" x14ac:dyDescent="0.3">
      <c r="A2377" s="2"/>
      <c r="B2377" s="65"/>
      <c r="C2377" s="65"/>
      <c r="D2377" s="2"/>
      <c r="E2377" s="2"/>
      <c r="F2377" s="2"/>
    </row>
    <row r="2378" spans="1:6" x14ac:dyDescent="0.3">
      <c r="A2378" s="63"/>
      <c r="B2378" s="64"/>
      <c r="C2378" s="64"/>
      <c r="D2378" s="64"/>
      <c r="E2378" s="63"/>
      <c r="F2378" s="64"/>
    </row>
    <row r="2379" spans="1:6" x14ac:dyDescent="0.3">
      <c r="A2379" s="2"/>
      <c r="B2379" s="65"/>
      <c r="C2379" s="65"/>
      <c r="D2379" s="2"/>
      <c r="E2379" s="2"/>
      <c r="F2379" s="2"/>
    </row>
    <row r="2380" spans="1:6" x14ac:dyDescent="0.3">
      <c r="A2380" s="63"/>
      <c r="B2380" s="64"/>
      <c r="C2380" s="64"/>
      <c r="D2380" s="64"/>
      <c r="E2380" s="63"/>
      <c r="F2380" s="64"/>
    </row>
    <row r="2381" spans="1:6" x14ac:dyDescent="0.3">
      <c r="A2381" s="2"/>
      <c r="B2381" s="65"/>
      <c r="C2381" s="65"/>
      <c r="D2381" s="2"/>
      <c r="E2381" s="2"/>
      <c r="F2381" s="2"/>
    </row>
    <row r="2382" spans="1:6" x14ac:dyDescent="0.3">
      <c r="A2382" s="63"/>
      <c r="B2382" s="64"/>
      <c r="C2382" s="64"/>
      <c r="D2382" s="64"/>
      <c r="E2382" s="63"/>
      <c r="F2382" s="64"/>
    </row>
    <row r="2383" spans="1:6" x14ac:dyDescent="0.3">
      <c r="A2383" s="2"/>
      <c r="B2383" s="65"/>
      <c r="C2383" s="65"/>
      <c r="D2383" s="2"/>
      <c r="E2383" s="2"/>
      <c r="F2383" s="2"/>
    </row>
    <row r="2384" spans="1:6" x14ac:dyDescent="0.3">
      <c r="A2384" s="63"/>
      <c r="B2384" s="64"/>
      <c r="C2384" s="64"/>
      <c r="D2384" s="64"/>
      <c r="E2384" s="63"/>
      <c r="F2384" s="64"/>
    </row>
    <row r="2385" spans="1:6" x14ac:dyDescent="0.3">
      <c r="A2385" s="2"/>
      <c r="B2385" s="65"/>
      <c r="C2385" s="65"/>
      <c r="D2385" s="2"/>
      <c r="E2385" s="2"/>
      <c r="F2385" s="2"/>
    </row>
    <row r="2386" spans="1:6" x14ac:dyDescent="0.3">
      <c r="A2386" s="63"/>
      <c r="B2386" s="64"/>
      <c r="C2386" s="64"/>
      <c r="D2386" s="64"/>
      <c r="E2386" s="63"/>
      <c r="F2386" s="64"/>
    </row>
    <row r="2387" spans="1:6" x14ac:dyDescent="0.3">
      <c r="A2387" s="2"/>
      <c r="B2387" s="65"/>
      <c r="C2387" s="65"/>
      <c r="D2387" s="2"/>
      <c r="E2387" s="2"/>
      <c r="F2387" s="2"/>
    </row>
    <row r="2388" spans="1:6" x14ac:dyDescent="0.3">
      <c r="A2388" s="63"/>
      <c r="B2388" s="64"/>
      <c r="C2388" s="64"/>
      <c r="D2388" s="64"/>
      <c r="E2388" s="63"/>
      <c r="F2388" s="64"/>
    </row>
    <row r="2389" spans="1:6" x14ac:dyDescent="0.3">
      <c r="A2389" s="2"/>
      <c r="B2389" s="65"/>
      <c r="C2389" s="65"/>
      <c r="D2389" s="2"/>
      <c r="E2389" s="2"/>
      <c r="F2389" s="2"/>
    </row>
    <row r="2390" spans="1:6" x14ac:dyDescent="0.3">
      <c r="A2390" s="63"/>
      <c r="B2390" s="64"/>
      <c r="C2390" s="64"/>
      <c r="D2390" s="64"/>
      <c r="E2390" s="63"/>
      <c r="F2390" s="64"/>
    </row>
    <row r="2391" spans="1:6" x14ac:dyDescent="0.3">
      <c r="A2391" s="2"/>
      <c r="B2391" s="65"/>
      <c r="C2391" s="65"/>
      <c r="D2391" s="2"/>
      <c r="E2391" s="2"/>
      <c r="F2391" s="2"/>
    </row>
    <row r="2392" spans="1:6" x14ac:dyDescent="0.3">
      <c r="A2392" s="63"/>
      <c r="B2392" s="64"/>
      <c r="C2392" s="64"/>
      <c r="D2392" s="64"/>
      <c r="E2392" s="63"/>
      <c r="F2392" s="64"/>
    </row>
    <row r="2393" spans="1:6" x14ac:dyDescent="0.3">
      <c r="A2393" s="2"/>
      <c r="B2393" s="65"/>
      <c r="C2393" s="65"/>
      <c r="D2393" s="2"/>
      <c r="E2393" s="2"/>
      <c r="F2393" s="2"/>
    </row>
    <row r="2394" spans="1:6" x14ac:dyDescent="0.3">
      <c r="A2394" s="63"/>
      <c r="B2394" s="64"/>
      <c r="C2394" s="64"/>
      <c r="D2394" s="64"/>
      <c r="E2394" s="63"/>
      <c r="F2394" s="64"/>
    </row>
    <row r="2395" spans="1:6" x14ac:dyDescent="0.3">
      <c r="A2395" s="2"/>
      <c r="B2395" s="65"/>
      <c r="C2395" s="65"/>
      <c r="D2395" s="2"/>
      <c r="E2395" s="2"/>
      <c r="F2395" s="2"/>
    </row>
    <row r="2396" spans="1:6" x14ac:dyDescent="0.3">
      <c r="A2396" s="63"/>
      <c r="B2396" s="64"/>
      <c r="C2396" s="64"/>
      <c r="D2396" s="64"/>
      <c r="E2396" s="63"/>
      <c r="F2396" s="64"/>
    </row>
    <row r="2397" spans="1:6" x14ac:dyDescent="0.3">
      <c r="A2397" s="2"/>
      <c r="B2397" s="65"/>
      <c r="C2397" s="65"/>
      <c r="D2397" s="2"/>
      <c r="E2397" s="2"/>
      <c r="F2397" s="2"/>
    </row>
    <row r="2398" spans="1:6" x14ac:dyDescent="0.3">
      <c r="A2398" s="63"/>
      <c r="B2398" s="64"/>
      <c r="C2398" s="64"/>
      <c r="D2398" s="64"/>
      <c r="E2398" s="63"/>
      <c r="F2398" s="64"/>
    </row>
    <row r="2399" spans="1:6" x14ac:dyDescent="0.3">
      <c r="A2399" s="2"/>
      <c r="B2399" s="65"/>
      <c r="C2399" s="65"/>
      <c r="D2399" s="2"/>
      <c r="E2399" s="2"/>
      <c r="F2399" s="2"/>
    </row>
    <row r="2400" spans="1:6" x14ac:dyDescent="0.3">
      <c r="A2400" s="63"/>
      <c r="B2400" s="64"/>
      <c r="C2400" s="64"/>
      <c r="D2400" s="64"/>
      <c r="E2400" s="63"/>
      <c r="F2400" s="64"/>
    </row>
    <row r="2401" spans="1:6" x14ac:dyDescent="0.3">
      <c r="A2401" s="2"/>
      <c r="B2401" s="65"/>
      <c r="C2401" s="65"/>
      <c r="D2401" s="2"/>
      <c r="E2401" s="2"/>
      <c r="F2401" s="2"/>
    </row>
    <row r="2402" spans="1:6" x14ac:dyDescent="0.3">
      <c r="A2402" s="63"/>
      <c r="B2402" s="64"/>
      <c r="C2402" s="64"/>
      <c r="D2402" s="64"/>
      <c r="E2402" s="63"/>
      <c r="F2402" s="64"/>
    </row>
    <row r="2403" spans="1:6" x14ac:dyDescent="0.3">
      <c r="A2403" s="2"/>
      <c r="B2403" s="65"/>
      <c r="C2403" s="65"/>
      <c r="D2403" s="2"/>
      <c r="E2403" s="2"/>
      <c r="F2403" s="2"/>
    </row>
    <row r="2404" spans="1:6" x14ac:dyDescent="0.3">
      <c r="A2404" s="63"/>
      <c r="B2404" s="64"/>
      <c r="C2404" s="64"/>
      <c r="D2404" s="64"/>
      <c r="E2404" s="63"/>
      <c r="F2404" s="64"/>
    </row>
    <row r="2405" spans="1:6" x14ac:dyDescent="0.3">
      <c r="A2405" s="2"/>
      <c r="B2405" s="65"/>
      <c r="C2405" s="65"/>
      <c r="D2405" s="2"/>
      <c r="E2405" s="2"/>
      <c r="F2405" s="2"/>
    </row>
    <row r="2406" spans="1:6" x14ac:dyDescent="0.3">
      <c r="A2406" s="63"/>
      <c r="B2406" s="64"/>
      <c r="C2406" s="64"/>
      <c r="D2406" s="64"/>
      <c r="E2406" s="63"/>
      <c r="F2406" s="64"/>
    </row>
    <row r="2407" spans="1:6" x14ac:dyDescent="0.3">
      <c r="A2407" s="2"/>
      <c r="B2407" s="65"/>
      <c r="C2407" s="65"/>
      <c r="D2407" s="2"/>
      <c r="E2407" s="2"/>
      <c r="F2407" s="2"/>
    </row>
    <row r="2408" spans="1:6" x14ac:dyDescent="0.3">
      <c r="A2408" s="63"/>
      <c r="B2408" s="64"/>
      <c r="C2408" s="64"/>
      <c r="D2408" s="64"/>
      <c r="E2408" s="63"/>
      <c r="F2408" s="64"/>
    </row>
    <row r="2409" spans="1:6" x14ac:dyDescent="0.3">
      <c r="A2409" s="2"/>
      <c r="B2409" s="65"/>
      <c r="C2409" s="65"/>
      <c r="D2409" s="2"/>
      <c r="E2409" s="2"/>
      <c r="F2409" s="2"/>
    </row>
    <row r="2410" spans="1:6" x14ac:dyDescent="0.3">
      <c r="A2410" s="63"/>
      <c r="B2410" s="64"/>
      <c r="C2410" s="64"/>
      <c r="D2410" s="64"/>
      <c r="E2410" s="63"/>
      <c r="F2410" s="64"/>
    </row>
    <row r="2411" spans="1:6" x14ac:dyDescent="0.3">
      <c r="A2411" s="2"/>
      <c r="B2411" s="65"/>
      <c r="C2411" s="65"/>
      <c r="D2411" s="2"/>
      <c r="E2411" s="2"/>
      <c r="F2411" s="2"/>
    </row>
    <row r="2412" spans="1:6" x14ac:dyDescent="0.3">
      <c r="A2412" s="63"/>
      <c r="B2412" s="64"/>
      <c r="C2412" s="64"/>
      <c r="D2412" s="64"/>
      <c r="E2412" s="63"/>
      <c r="F2412" s="64"/>
    </row>
    <row r="2413" spans="1:6" x14ac:dyDescent="0.3">
      <c r="A2413" s="2"/>
      <c r="B2413" s="65"/>
      <c r="C2413" s="65"/>
      <c r="D2413" s="2"/>
      <c r="E2413" s="2"/>
      <c r="F2413" s="2"/>
    </row>
    <row r="2414" spans="1:6" x14ac:dyDescent="0.3">
      <c r="A2414" s="63"/>
      <c r="B2414" s="64"/>
      <c r="C2414" s="64"/>
      <c r="D2414" s="64"/>
      <c r="E2414" s="63"/>
      <c r="F2414" s="64"/>
    </row>
    <row r="2415" spans="1:6" x14ac:dyDescent="0.3">
      <c r="A2415" s="2"/>
      <c r="B2415" s="65"/>
      <c r="C2415" s="65"/>
      <c r="D2415" s="2"/>
      <c r="E2415" s="2"/>
      <c r="F2415" s="2"/>
    </row>
    <row r="2416" spans="1:6" x14ac:dyDescent="0.3">
      <c r="A2416" s="63"/>
      <c r="B2416" s="64"/>
      <c r="C2416" s="64"/>
      <c r="D2416" s="64"/>
      <c r="E2416" s="63"/>
      <c r="F2416" s="64"/>
    </row>
    <row r="2417" spans="1:6" x14ac:dyDescent="0.3">
      <c r="A2417" s="2"/>
      <c r="B2417" s="65"/>
      <c r="C2417" s="65"/>
      <c r="D2417" s="2"/>
      <c r="E2417" s="2"/>
      <c r="F2417" s="2"/>
    </row>
    <row r="2418" spans="1:6" x14ac:dyDescent="0.3">
      <c r="A2418" s="63"/>
      <c r="B2418" s="64"/>
      <c r="C2418" s="64"/>
      <c r="D2418" s="64"/>
      <c r="E2418" s="63"/>
      <c r="F2418" s="64"/>
    </row>
    <row r="2419" spans="1:6" x14ac:dyDescent="0.3">
      <c r="A2419" s="2"/>
      <c r="B2419" s="65"/>
      <c r="C2419" s="65"/>
      <c r="D2419" s="2"/>
      <c r="E2419" s="2"/>
      <c r="F2419" s="2"/>
    </row>
    <row r="2420" spans="1:6" x14ac:dyDescent="0.3">
      <c r="A2420" s="63"/>
      <c r="B2420" s="64"/>
      <c r="C2420" s="64"/>
      <c r="D2420" s="64"/>
      <c r="E2420" s="63"/>
      <c r="F2420" s="64"/>
    </row>
    <row r="2421" spans="1:6" x14ac:dyDescent="0.3">
      <c r="A2421" s="2"/>
      <c r="B2421" s="65"/>
      <c r="C2421" s="65"/>
      <c r="D2421" s="2"/>
      <c r="E2421" s="2"/>
      <c r="F2421" s="2"/>
    </row>
    <row r="2422" spans="1:6" x14ac:dyDescent="0.3">
      <c r="A2422" s="63"/>
      <c r="B2422" s="64"/>
      <c r="C2422" s="64"/>
      <c r="D2422" s="64"/>
      <c r="E2422" s="63"/>
      <c r="F2422" s="64"/>
    </row>
    <row r="2423" spans="1:6" x14ac:dyDescent="0.3">
      <c r="A2423" s="2"/>
      <c r="B2423" s="65"/>
      <c r="C2423" s="65"/>
      <c r="D2423" s="2"/>
      <c r="E2423" s="2"/>
      <c r="F2423" s="2"/>
    </row>
    <row r="2424" spans="1:6" x14ac:dyDescent="0.3">
      <c r="A2424" s="63"/>
      <c r="B2424" s="64"/>
      <c r="C2424" s="64"/>
      <c r="D2424" s="64"/>
      <c r="E2424" s="63"/>
      <c r="F2424" s="64"/>
    </row>
    <row r="2425" spans="1:6" x14ac:dyDescent="0.3">
      <c r="A2425" s="2"/>
      <c r="B2425" s="65"/>
      <c r="C2425" s="65"/>
      <c r="D2425" s="2"/>
      <c r="E2425" s="2"/>
      <c r="F2425" s="2"/>
    </row>
    <row r="2426" spans="1:6" x14ac:dyDescent="0.3">
      <c r="A2426" s="63"/>
      <c r="B2426" s="64"/>
      <c r="C2426" s="64"/>
      <c r="D2426" s="64"/>
      <c r="E2426" s="63"/>
      <c r="F2426" s="64"/>
    </row>
    <row r="2427" spans="1:6" x14ac:dyDescent="0.3">
      <c r="A2427" s="2"/>
      <c r="B2427" s="65"/>
      <c r="C2427" s="65"/>
      <c r="D2427" s="2"/>
      <c r="E2427" s="2"/>
      <c r="F2427" s="2"/>
    </row>
    <row r="2428" spans="1:6" x14ac:dyDescent="0.3">
      <c r="A2428" s="63"/>
      <c r="B2428" s="64"/>
      <c r="C2428" s="64"/>
      <c r="D2428" s="64"/>
      <c r="E2428" s="63"/>
      <c r="F2428" s="64"/>
    </row>
    <row r="2429" spans="1:6" x14ac:dyDescent="0.3">
      <c r="A2429" s="2"/>
      <c r="B2429" s="65"/>
      <c r="C2429" s="65"/>
      <c r="D2429" s="2"/>
      <c r="E2429" s="2"/>
      <c r="F2429" s="2"/>
    </row>
    <row r="2430" spans="1:6" x14ac:dyDescent="0.3">
      <c r="A2430" s="63"/>
      <c r="B2430" s="64"/>
      <c r="C2430" s="64"/>
      <c r="D2430" s="64"/>
      <c r="E2430" s="63"/>
      <c r="F2430" s="64"/>
    </row>
    <row r="2431" spans="1:6" x14ac:dyDescent="0.3">
      <c r="A2431" s="2"/>
      <c r="B2431" s="65"/>
      <c r="C2431" s="65"/>
      <c r="D2431" s="2"/>
      <c r="E2431" s="2"/>
      <c r="F2431" s="2"/>
    </row>
    <row r="2432" spans="1:6" x14ac:dyDescent="0.3">
      <c r="A2432" s="63"/>
      <c r="B2432" s="64"/>
      <c r="C2432" s="64"/>
      <c r="D2432" s="64"/>
      <c r="E2432" s="63"/>
      <c r="F2432" s="64"/>
    </row>
    <row r="2433" spans="1:6" x14ac:dyDescent="0.3">
      <c r="A2433" s="2"/>
      <c r="B2433" s="65"/>
      <c r="C2433" s="65"/>
      <c r="D2433" s="2"/>
      <c r="E2433" s="2"/>
      <c r="F2433" s="2"/>
    </row>
    <row r="2434" spans="1:6" x14ac:dyDescent="0.3">
      <c r="A2434" s="63"/>
      <c r="B2434" s="64"/>
      <c r="C2434" s="64"/>
      <c r="D2434" s="64"/>
      <c r="E2434" s="63"/>
      <c r="F2434" s="64"/>
    </row>
    <row r="2435" spans="1:6" x14ac:dyDescent="0.3">
      <c r="A2435" s="2"/>
      <c r="B2435" s="65"/>
      <c r="C2435" s="65"/>
      <c r="D2435" s="2"/>
      <c r="E2435" s="2"/>
      <c r="F2435" s="2"/>
    </row>
    <row r="2436" spans="1:6" x14ac:dyDescent="0.3">
      <c r="A2436" s="63"/>
      <c r="B2436" s="64"/>
      <c r="C2436" s="64"/>
      <c r="D2436" s="64"/>
      <c r="E2436" s="63"/>
      <c r="F2436" s="64"/>
    </row>
    <row r="2437" spans="1:6" x14ac:dyDescent="0.3">
      <c r="A2437" s="2"/>
      <c r="B2437" s="65"/>
      <c r="C2437" s="65"/>
      <c r="D2437" s="2"/>
      <c r="E2437" s="2"/>
      <c r="F2437" s="2"/>
    </row>
    <row r="2438" spans="1:6" x14ac:dyDescent="0.3">
      <c r="A2438" s="63"/>
      <c r="B2438" s="64"/>
      <c r="C2438" s="64"/>
      <c r="D2438" s="64"/>
      <c r="E2438" s="63"/>
      <c r="F2438" s="64"/>
    </row>
    <row r="2439" spans="1:6" x14ac:dyDescent="0.3">
      <c r="A2439" s="2"/>
      <c r="B2439" s="65"/>
      <c r="C2439" s="65"/>
      <c r="D2439" s="2"/>
      <c r="E2439" s="2"/>
      <c r="F2439" s="2"/>
    </row>
    <row r="2440" spans="1:6" x14ac:dyDescent="0.3">
      <c r="A2440" s="63"/>
      <c r="B2440" s="64"/>
      <c r="C2440" s="64"/>
      <c r="D2440" s="64"/>
      <c r="E2440" s="63"/>
      <c r="F2440" s="64"/>
    </row>
    <row r="2441" spans="1:6" x14ac:dyDescent="0.3">
      <c r="A2441" s="2"/>
      <c r="B2441" s="65"/>
      <c r="C2441" s="65"/>
      <c r="D2441" s="2"/>
      <c r="E2441" s="2"/>
      <c r="F2441" s="2"/>
    </row>
    <row r="2442" spans="1:6" x14ac:dyDescent="0.3">
      <c r="A2442" s="63"/>
      <c r="B2442" s="64"/>
      <c r="C2442" s="64"/>
      <c r="D2442" s="64"/>
      <c r="E2442" s="63"/>
      <c r="F2442" s="64"/>
    </row>
    <row r="2443" spans="1:6" x14ac:dyDescent="0.3">
      <c r="A2443" s="2"/>
      <c r="B2443" s="65"/>
      <c r="C2443" s="65"/>
      <c r="D2443" s="2"/>
      <c r="E2443" s="2"/>
      <c r="F2443" s="2"/>
    </row>
    <row r="2444" spans="1:6" x14ac:dyDescent="0.3">
      <c r="A2444" s="63"/>
      <c r="B2444" s="64"/>
      <c r="C2444" s="64"/>
      <c r="D2444" s="64"/>
      <c r="E2444" s="63"/>
      <c r="F2444" s="64"/>
    </row>
    <row r="2445" spans="1:6" x14ac:dyDescent="0.3">
      <c r="A2445" s="2"/>
      <c r="B2445" s="65"/>
      <c r="C2445" s="65"/>
      <c r="D2445" s="2"/>
      <c r="E2445" s="2"/>
      <c r="F2445" s="2"/>
    </row>
    <row r="2446" spans="1:6" x14ac:dyDescent="0.3">
      <c r="A2446" s="63"/>
      <c r="B2446" s="64"/>
      <c r="C2446" s="64"/>
      <c r="D2446" s="64"/>
      <c r="E2446" s="63"/>
      <c r="F2446" s="64"/>
    </row>
    <row r="2447" spans="1:6" x14ac:dyDescent="0.3">
      <c r="A2447" s="2"/>
      <c r="B2447" s="65"/>
      <c r="C2447" s="65"/>
      <c r="D2447" s="2"/>
      <c r="E2447" s="2"/>
      <c r="F2447" s="2"/>
    </row>
    <row r="2448" spans="1:6" x14ac:dyDescent="0.3">
      <c r="A2448" s="63"/>
      <c r="B2448" s="64"/>
      <c r="C2448" s="64"/>
      <c r="D2448" s="64"/>
      <c r="E2448" s="63"/>
      <c r="F2448" s="64"/>
    </row>
    <row r="2449" spans="1:6" x14ac:dyDescent="0.3">
      <c r="A2449" s="2"/>
      <c r="B2449" s="65"/>
      <c r="C2449" s="65"/>
      <c r="D2449" s="2"/>
      <c r="E2449" s="2"/>
      <c r="F2449" s="2"/>
    </row>
    <row r="2450" spans="1:6" x14ac:dyDescent="0.3">
      <c r="A2450" s="63"/>
      <c r="B2450" s="64"/>
      <c r="C2450" s="64"/>
      <c r="D2450" s="64"/>
      <c r="E2450" s="63"/>
      <c r="F2450" s="64"/>
    </row>
    <row r="2451" spans="1:6" x14ac:dyDescent="0.3">
      <c r="A2451" s="2"/>
      <c r="B2451" s="65"/>
      <c r="C2451" s="65"/>
      <c r="D2451" s="2"/>
      <c r="E2451" s="2"/>
      <c r="F2451" s="2"/>
    </row>
    <row r="2452" spans="1:6" x14ac:dyDescent="0.3">
      <c r="A2452" s="63"/>
      <c r="B2452" s="64"/>
      <c r="C2452" s="64"/>
      <c r="D2452" s="64"/>
      <c r="E2452" s="63"/>
      <c r="F2452" s="64"/>
    </row>
    <row r="2453" spans="1:6" x14ac:dyDescent="0.3">
      <c r="A2453" s="2"/>
      <c r="B2453" s="65"/>
      <c r="C2453" s="65"/>
      <c r="D2453" s="2"/>
      <c r="E2453" s="2"/>
      <c r="F2453" s="2"/>
    </row>
    <row r="2454" spans="1:6" x14ac:dyDescent="0.3">
      <c r="A2454" s="63"/>
      <c r="B2454" s="64"/>
      <c r="C2454" s="64"/>
      <c r="D2454" s="64"/>
      <c r="E2454" s="63"/>
      <c r="F2454" s="64"/>
    </row>
    <row r="2455" spans="1:6" x14ac:dyDescent="0.3">
      <c r="A2455" s="2"/>
      <c r="B2455" s="65"/>
      <c r="C2455" s="65"/>
      <c r="D2455" s="2"/>
      <c r="E2455" s="2"/>
      <c r="F2455" s="2"/>
    </row>
    <row r="2456" spans="1:6" x14ac:dyDescent="0.3">
      <c r="A2456" s="63"/>
      <c r="B2456" s="64"/>
      <c r="C2456" s="64"/>
      <c r="D2456" s="64"/>
      <c r="E2456" s="63"/>
      <c r="F2456" s="64"/>
    </row>
    <row r="2457" spans="1:6" x14ac:dyDescent="0.3">
      <c r="A2457" s="2"/>
      <c r="B2457" s="65"/>
      <c r="C2457" s="65"/>
      <c r="D2457" s="2"/>
      <c r="E2457" s="2"/>
      <c r="F2457" s="2"/>
    </row>
    <row r="2458" spans="1:6" x14ac:dyDescent="0.3">
      <c r="A2458" s="63"/>
      <c r="B2458" s="64"/>
      <c r="C2458" s="64"/>
      <c r="D2458" s="64"/>
      <c r="E2458" s="63"/>
      <c r="F2458" s="64"/>
    </row>
    <row r="2459" spans="1:6" x14ac:dyDescent="0.3">
      <c r="A2459" s="2"/>
      <c r="B2459" s="65"/>
      <c r="C2459" s="65"/>
      <c r="D2459" s="2"/>
      <c r="E2459" s="2"/>
      <c r="F2459" s="2"/>
    </row>
    <row r="2460" spans="1:6" x14ac:dyDescent="0.3">
      <c r="A2460" s="63"/>
      <c r="B2460" s="64"/>
      <c r="C2460" s="64"/>
      <c r="D2460" s="64"/>
      <c r="E2460" s="63"/>
      <c r="F2460" s="64"/>
    </row>
    <row r="2461" spans="1:6" x14ac:dyDescent="0.3">
      <c r="A2461" s="2"/>
      <c r="B2461" s="65"/>
      <c r="C2461" s="65"/>
      <c r="D2461" s="2"/>
      <c r="E2461" s="2"/>
      <c r="F2461" s="2"/>
    </row>
    <row r="2462" spans="1:6" x14ac:dyDescent="0.3">
      <c r="A2462" s="63"/>
      <c r="B2462" s="64"/>
      <c r="C2462" s="64"/>
      <c r="D2462" s="64"/>
      <c r="E2462" s="63"/>
      <c r="F2462" s="64"/>
    </row>
    <row r="2463" spans="1:6" x14ac:dyDescent="0.3">
      <c r="A2463" s="2"/>
      <c r="B2463" s="65"/>
      <c r="C2463" s="65"/>
      <c r="D2463" s="2"/>
      <c r="E2463" s="2"/>
      <c r="F2463" s="2"/>
    </row>
    <row r="2464" spans="1:6" x14ac:dyDescent="0.3">
      <c r="A2464" s="63"/>
      <c r="B2464" s="64"/>
      <c r="C2464" s="64"/>
      <c r="D2464" s="64"/>
      <c r="E2464" s="63"/>
      <c r="F2464" s="64"/>
    </row>
    <row r="2465" spans="1:6" x14ac:dyDescent="0.3">
      <c r="A2465" s="2"/>
      <c r="B2465" s="65"/>
      <c r="C2465" s="65"/>
      <c r="D2465" s="2"/>
      <c r="E2465" s="2"/>
      <c r="F2465" s="2"/>
    </row>
    <row r="2466" spans="1:6" x14ac:dyDescent="0.3">
      <c r="A2466" s="63"/>
      <c r="B2466" s="64"/>
      <c r="C2466" s="64"/>
      <c r="D2466" s="64"/>
      <c r="E2466" s="63"/>
      <c r="F2466" s="64"/>
    </row>
    <row r="2467" spans="1:6" x14ac:dyDescent="0.3">
      <c r="A2467" s="2"/>
      <c r="B2467" s="65"/>
      <c r="C2467" s="65"/>
      <c r="D2467" s="2"/>
      <c r="E2467" s="2"/>
      <c r="F2467" s="2"/>
    </row>
    <row r="2468" spans="1:6" x14ac:dyDescent="0.3">
      <c r="A2468" s="63"/>
      <c r="B2468" s="64"/>
      <c r="C2468" s="64"/>
      <c r="D2468" s="64"/>
      <c r="E2468" s="63"/>
      <c r="F2468" s="64"/>
    </row>
    <row r="2469" spans="1:6" x14ac:dyDescent="0.3">
      <c r="A2469" s="2"/>
      <c r="B2469" s="65"/>
      <c r="C2469" s="65"/>
      <c r="D2469" s="2"/>
      <c r="E2469" s="2"/>
      <c r="F2469" s="2"/>
    </row>
    <row r="2470" spans="1:6" x14ac:dyDescent="0.3">
      <c r="A2470" s="63"/>
      <c r="B2470" s="64"/>
      <c r="C2470" s="64"/>
      <c r="D2470" s="64"/>
      <c r="E2470" s="63"/>
      <c r="F2470" s="64"/>
    </row>
    <row r="2471" spans="1:6" x14ac:dyDescent="0.3">
      <c r="A2471" s="2"/>
      <c r="B2471" s="65"/>
      <c r="C2471" s="65"/>
      <c r="D2471" s="2"/>
      <c r="E2471" s="2"/>
      <c r="F2471" s="2"/>
    </row>
    <row r="2472" spans="1:6" x14ac:dyDescent="0.3">
      <c r="A2472" s="63"/>
      <c r="B2472" s="64"/>
      <c r="C2472" s="64"/>
      <c r="D2472" s="64"/>
      <c r="E2472" s="63"/>
      <c r="F2472" s="64"/>
    </row>
    <row r="2473" spans="1:6" x14ac:dyDescent="0.3">
      <c r="A2473" s="2"/>
      <c r="B2473" s="65"/>
      <c r="C2473" s="65"/>
      <c r="D2473" s="2"/>
      <c r="E2473" s="2"/>
      <c r="F2473" s="2"/>
    </row>
    <row r="2474" spans="1:6" x14ac:dyDescent="0.3">
      <c r="A2474" s="63"/>
      <c r="B2474" s="64"/>
      <c r="C2474" s="64"/>
      <c r="D2474" s="64"/>
      <c r="E2474" s="63"/>
      <c r="F2474" s="64"/>
    </row>
    <row r="2475" spans="1:6" x14ac:dyDescent="0.3">
      <c r="A2475" s="2"/>
      <c r="B2475" s="65"/>
      <c r="C2475" s="65"/>
      <c r="D2475" s="2"/>
      <c r="E2475" s="2"/>
      <c r="F2475" s="2"/>
    </row>
    <row r="2476" spans="1:6" x14ac:dyDescent="0.3">
      <c r="A2476" s="63"/>
      <c r="B2476" s="64"/>
      <c r="C2476" s="64"/>
      <c r="D2476" s="64"/>
      <c r="E2476" s="63"/>
      <c r="F2476" s="64"/>
    </row>
    <row r="2477" spans="1:6" x14ac:dyDescent="0.3">
      <c r="A2477" s="2"/>
      <c r="B2477" s="65"/>
      <c r="C2477" s="65"/>
      <c r="D2477" s="2"/>
      <c r="E2477" s="2"/>
      <c r="F2477" s="2"/>
    </row>
    <row r="2478" spans="1:6" x14ac:dyDescent="0.3">
      <c r="A2478" s="63"/>
      <c r="B2478" s="64"/>
      <c r="C2478" s="64"/>
      <c r="D2478" s="64"/>
      <c r="E2478" s="63"/>
      <c r="F2478" s="64"/>
    </row>
    <row r="2479" spans="1:6" x14ac:dyDescent="0.3">
      <c r="A2479" s="2"/>
      <c r="B2479" s="65"/>
      <c r="C2479" s="65"/>
      <c r="D2479" s="2"/>
      <c r="E2479" s="2"/>
      <c r="F2479" s="2"/>
    </row>
    <row r="2480" spans="1:6" x14ac:dyDescent="0.3">
      <c r="A2480" s="63"/>
      <c r="B2480" s="64"/>
      <c r="C2480" s="64"/>
      <c r="D2480" s="64"/>
      <c r="E2480" s="63"/>
      <c r="F2480" s="64"/>
    </row>
    <row r="2481" spans="1:6" x14ac:dyDescent="0.3">
      <c r="A2481" s="2"/>
      <c r="B2481" s="65"/>
      <c r="C2481" s="65"/>
      <c r="D2481" s="2"/>
      <c r="E2481" s="2"/>
      <c r="F2481" s="2"/>
    </row>
    <row r="2482" spans="1:6" x14ac:dyDescent="0.3">
      <c r="A2482" s="63"/>
      <c r="B2482" s="64"/>
      <c r="C2482" s="64"/>
      <c r="D2482" s="64"/>
      <c r="E2482" s="63"/>
      <c r="F2482" s="64"/>
    </row>
    <row r="2483" spans="1:6" x14ac:dyDescent="0.3">
      <c r="A2483" s="2"/>
      <c r="B2483" s="65"/>
      <c r="C2483" s="65"/>
      <c r="D2483" s="2"/>
      <c r="E2483" s="2"/>
      <c r="F2483" s="2"/>
    </row>
    <row r="2484" spans="1:6" x14ac:dyDescent="0.3">
      <c r="A2484" s="63"/>
      <c r="B2484" s="64"/>
      <c r="C2484" s="64"/>
      <c r="D2484" s="64"/>
      <c r="E2484" s="63"/>
      <c r="F2484" s="64"/>
    </row>
    <row r="2485" spans="1:6" x14ac:dyDescent="0.3">
      <c r="A2485" s="2"/>
      <c r="B2485" s="65"/>
      <c r="C2485" s="65"/>
      <c r="D2485" s="2"/>
      <c r="E2485" s="2"/>
      <c r="F2485" s="2"/>
    </row>
    <row r="2486" spans="1:6" x14ac:dyDescent="0.3">
      <c r="A2486" s="63"/>
      <c r="B2486" s="64"/>
      <c r="C2486" s="64"/>
      <c r="D2486" s="64"/>
      <c r="E2486" s="63"/>
      <c r="F2486" s="64"/>
    </row>
    <row r="2487" spans="1:6" x14ac:dyDescent="0.3">
      <c r="A2487" s="2"/>
      <c r="B2487" s="65"/>
      <c r="C2487" s="65"/>
      <c r="D2487" s="2"/>
      <c r="E2487" s="2"/>
      <c r="F2487" s="2"/>
    </row>
    <row r="2488" spans="1:6" x14ac:dyDescent="0.3">
      <c r="A2488" s="63"/>
      <c r="B2488" s="64"/>
      <c r="C2488" s="64"/>
      <c r="D2488" s="64"/>
      <c r="E2488" s="63"/>
      <c r="F2488" s="64"/>
    </row>
    <row r="2489" spans="1:6" x14ac:dyDescent="0.3">
      <c r="A2489" s="2"/>
      <c r="B2489" s="65"/>
      <c r="C2489" s="65"/>
      <c r="D2489" s="2"/>
      <c r="E2489" s="2"/>
      <c r="F2489" s="2"/>
    </row>
    <row r="2490" spans="1:6" x14ac:dyDescent="0.3">
      <c r="A2490" s="63"/>
      <c r="B2490" s="64"/>
      <c r="C2490" s="64"/>
      <c r="D2490" s="64"/>
      <c r="E2490" s="63"/>
      <c r="F2490" s="64"/>
    </row>
    <row r="2491" spans="1:6" x14ac:dyDescent="0.3">
      <c r="A2491" s="2"/>
      <c r="B2491" s="65"/>
      <c r="C2491" s="65"/>
      <c r="D2491" s="2"/>
      <c r="E2491" s="2"/>
      <c r="F2491" s="2"/>
    </row>
    <row r="2492" spans="1:6" x14ac:dyDescent="0.3">
      <c r="A2492" s="63"/>
      <c r="B2492" s="64"/>
      <c r="C2492" s="64"/>
      <c r="D2492" s="64"/>
      <c r="E2492" s="63"/>
      <c r="F2492" s="64"/>
    </row>
    <row r="2493" spans="1:6" x14ac:dyDescent="0.3">
      <c r="A2493" s="2"/>
      <c r="B2493" s="65"/>
      <c r="C2493" s="65"/>
      <c r="D2493" s="2"/>
      <c r="E2493" s="2"/>
      <c r="F2493" s="2"/>
    </row>
    <row r="2494" spans="1:6" x14ac:dyDescent="0.3">
      <c r="A2494" s="63"/>
      <c r="B2494" s="64"/>
      <c r="C2494" s="64"/>
      <c r="D2494" s="64"/>
      <c r="E2494" s="63"/>
      <c r="F2494" s="64"/>
    </row>
    <row r="2495" spans="1:6" x14ac:dyDescent="0.3">
      <c r="A2495" s="2"/>
      <c r="B2495" s="65"/>
      <c r="C2495" s="65"/>
      <c r="D2495" s="2"/>
      <c r="E2495" s="2"/>
      <c r="F2495" s="2"/>
    </row>
    <row r="2496" spans="1:6" x14ac:dyDescent="0.3">
      <c r="A2496" s="63"/>
      <c r="B2496" s="64"/>
      <c r="C2496" s="64"/>
      <c r="D2496" s="64"/>
      <c r="E2496" s="63"/>
      <c r="F2496" s="64"/>
    </row>
    <row r="2497" spans="1:6" x14ac:dyDescent="0.3">
      <c r="A2497" s="2"/>
      <c r="B2497" s="65"/>
      <c r="C2497" s="65"/>
      <c r="D2497" s="2"/>
      <c r="E2497" s="2"/>
      <c r="F2497" s="2"/>
    </row>
    <row r="2498" spans="1:6" x14ac:dyDescent="0.3">
      <c r="A2498" s="63"/>
      <c r="B2498" s="64"/>
      <c r="C2498" s="64"/>
      <c r="D2498" s="64"/>
      <c r="E2498" s="63"/>
      <c r="F2498" s="64"/>
    </row>
    <row r="2499" spans="1:6" x14ac:dyDescent="0.3">
      <c r="A2499" s="2"/>
      <c r="B2499" s="65"/>
      <c r="C2499" s="65"/>
      <c r="D2499" s="2"/>
      <c r="E2499" s="2"/>
      <c r="F2499" s="2"/>
    </row>
    <row r="2500" spans="1:6" x14ac:dyDescent="0.3">
      <c r="A2500" s="63"/>
      <c r="B2500" s="64"/>
      <c r="C2500" s="64"/>
      <c r="D2500" s="64"/>
      <c r="E2500" s="63"/>
      <c r="F2500" s="64"/>
    </row>
    <row r="2501" spans="1:6" x14ac:dyDescent="0.3">
      <c r="A2501" s="2"/>
      <c r="B2501" s="65"/>
      <c r="C2501" s="65"/>
      <c r="D2501" s="2"/>
      <c r="E2501" s="2"/>
      <c r="F2501" s="2"/>
    </row>
    <row r="2502" spans="1:6" x14ac:dyDescent="0.3">
      <c r="A2502" s="63"/>
      <c r="B2502" s="64"/>
      <c r="C2502" s="64"/>
      <c r="D2502" s="64"/>
      <c r="E2502" s="63"/>
      <c r="F2502" s="64"/>
    </row>
    <row r="2503" spans="1:6" x14ac:dyDescent="0.3">
      <c r="A2503" s="2"/>
      <c r="B2503" s="65"/>
      <c r="C2503" s="65"/>
      <c r="D2503" s="2"/>
      <c r="E2503" s="2"/>
      <c r="F2503" s="2"/>
    </row>
    <row r="2504" spans="1:6" x14ac:dyDescent="0.3">
      <c r="A2504" s="63"/>
      <c r="B2504" s="64"/>
      <c r="C2504" s="64"/>
      <c r="D2504" s="64"/>
      <c r="E2504" s="63"/>
      <c r="F2504" s="64"/>
    </row>
    <row r="2505" spans="1:6" x14ac:dyDescent="0.3">
      <c r="A2505" s="2"/>
      <c r="B2505" s="65"/>
      <c r="C2505" s="65"/>
      <c r="D2505" s="2"/>
      <c r="E2505" s="2"/>
      <c r="F2505" s="2"/>
    </row>
    <row r="2506" spans="1:6" x14ac:dyDescent="0.3">
      <c r="A2506" s="63"/>
      <c r="B2506" s="64"/>
      <c r="C2506" s="64"/>
      <c r="D2506" s="64"/>
      <c r="E2506" s="63"/>
      <c r="F2506" s="64"/>
    </row>
    <row r="2507" spans="1:6" x14ac:dyDescent="0.3">
      <c r="A2507" s="2"/>
      <c r="B2507" s="65"/>
      <c r="C2507" s="65"/>
      <c r="D2507" s="2"/>
      <c r="E2507" s="2"/>
      <c r="F2507" s="2"/>
    </row>
    <row r="2508" spans="1:6" x14ac:dyDescent="0.3">
      <c r="A2508" s="63"/>
      <c r="B2508" s="64"/>
      <c r="C2508" s="64"/>
      <c r="D2508" s="64"/>
      <c r="E2508" s="63"/>
      <c r="F2508" s="64"/>
    </row>
    <row r="2509" spans="1:6" x14ac:dyDescent="0.3">
      <c r="A2509" s="2"/>
      <c r="B2509" s="65"/>
      <c r="C2509" s="65"/>
      <c r="D2509" s="2"/>
      <c r="E2509" s="2"/>
      <c r="F2509" s="2"/>
    </row>
    <row r="2510" spans="1:6" x14ac:dyDescent="0.3">
      <c r="A2510" s="63"/>
      <c r="B2510" s="64"/>
      <c r="C2510" s="64"/>
      <c r="D2510" s="64"/>
      <c r="E2510" s="63"/>
      <c r="F2510" s="64"/>
    </row>
    <row r="2511" spans="1:6" x14ac:dyDescent="0.3">
      <c r="A2511" s="2"/>
      <c r="B2511" s="65"/>
      <c r="C2511" s="65"/>
      <c r="D2511" s="2"/>
      <c r="E2511" s="2"/>
      <c r="F2511" s="2"/>
    </row>
    <row r="2512" spans="1:6" x14ac:dyDescent="0.3">
      <c r="A2512" s="63"/>
      <c r="B2512" s="64"/>
      <c r="C2512" s="64"/>
      <c r="D2512" s="64"/>
      <c r="E2512" s="63"/>
      <c r="F2512" s="64"/>
    </row>
    <row r="2513" spans="1:6" x14ac:dyDescent="0.3">
      <c r="A2513" s="2"/>
      <c r="B2513" s="65"/>
      <c r="C2513" s="65"/>
      <c r="D2513" s="2"/>
      <c r="E2513" s="2"/>
      <c r="F2513" s="2"/>
    </row>
    <row r="2514" spans="1:6" x14ac:dyDescent="0.3">
      <c r="A2514" s="63"/>
      <c r="B2514" s="64"/>
      <c r="C2514" s="64"/>
      <c r="D2514" s="64"/>
      <c r="E2514" s="63"/>
      <c r="F2514" s="64"/>
    </row>
    <row r="2515" spans="1:6" x14ac:dyDescent="0.3">
      <c r="A2515" s="2"/>
      <c r="B2515" s="65"/>
      <c r="C2515" s="65"/>
      <c r="D2515" s="2"/>
      <c r="E2515" s="2"/>
      <c r="F2515" s="2"/>
    </row>
    <row r="2516" spans="1:6" x14ac:dyDescent="0.3">
      <c r="A2516" s="63"/>
      <c r="B2516" s="64"/>
      <c r="C2516" s="64"/>
      <c r="D2516" s="64"/>
      <c r="E2516" s="63"/>
      <c r="F2516" s="64"/>
    </row>
    <row r="2517" spans="1:6" x14ac:dyDescent="0.3">
      <c r="A2517" s="2"/>
      <c r="B2517" s="65"/>
      <c r="C2517" s="65"/>
      <c r="D2517" s="2"/>
      <c r="E2517" s="2"/>
      <c r="F2517" s="2"/>
    </row>
    <row r="2518" spans="1:6" x14ac:dyDescent="0.3">
      <c r="A2518" s="63"/>
      <c r="B2518" s="64"/>
      <c r="C2518" s="64"/>
      <c r="D2518" s="64"/>
      <c r="E2518" s="63"/>
      <c r="F2518" s="64"/>
    </row>
    <row r="2519" spans="1:6" x14ac:dyDescent="0.3">
      <c r="A2519" s="2"/>
      <c r="B2519" s="65"/>
      <c r="C2519" s="65"/>
      <c r="D2519" s="2"/>
      <c r="E2519" s="2"/>
      <c r="F2519" s="2"/>
    </row>
    <row r="2520" spans="1:6" x14ac:dyDescent="0.3">
      <c r="A2520" s="63"/>
      <c r="B2520" s="64"/>
      <c r="C2520" s="64"/>
      <c r="D2520" s="64"/>
      <c r="E2520" s="63"/>
      <c r="F2520" s="64"/>
    </row>
    <row r="2521" spans="1:6" x14ac:dyDescent="0.3">
      <c r="A2521" s="2"/>
      <c r="B2521" s="65"/>
      <c r="C2521" s="65"/>
      <c r="D2521" s="2"/>
      <c r="E2521" s="2"/>
      <c r="F2521" s="2"/>
    </row>
    <row r="2522" spans="1:6" x14ac:dyDescent="0.3">
      <c r="A2522" s="63"/>
      <c r="B2522" s="64"/>
      <c r="C2522" s="64"/>
      <c r="D2522" s="64"/>
      <c r="E2522" s="63"/>
      <c r="F2522" s="64"/>
    </row>
    <row r="2523" spans="1:6" x14ac:dyDescent="0.3">
      <c r="A2523" s="2"/>
      <c r="B2523" s="65"/>
      <c r="C2523" s="65"/>
      <c r="D2523" s="2"/>
      <c r="E2523" s="2"/>
      <c r="F2523" s="2"/>
    </row>
    <row r="2524" spans="1:6" x14ac:dyDescent="0.3">
      <c r="A2524" s="63"/>
      <c r="B2524" s="64"/>
      <c r="C2524" s="64"/>
      <c r="D2524" s="64"/>
      <c r="E2524" s="63"/>
      <c r="F2524" s="64"/>
    </row>
    <row r="2525" spans="1:6" x14ac:dyDescent="0.3">
      <c r="A2525" s="2"/>
      <c r="B2525" s="65"/>
      <c r="C2525" s="65"/>
      <c r="D2525" s="2"/>
      <c r="E2525" s="2"/>
      <c r="F2525" s="2"/>
    </row>
    <row r="2526" spans="1:6" x14ac:dyDescent="0.3">
      <c r="A2526" s="63"/>
      <c r="B2526" s="64"/>
      <c r="C2526" s="64"/>
      <c r="D2526" s="64"/>
      <c r="E2526" s="63"/>
      <c r="F2526" s="64"/>
    </row>
    <row r="2527" spans="1:6" x14ac:dyDescent="0.3">
      <c r="A2527" s="2"/>
      <c r="B2527" s="65"/>
      <c r="C2527" s="65"/>
      <c r="D2527" s="2"/>
      <c r="E2527" s="2"/>
      <c r="F2527" s="2"/>
    </row>
    <row r="2528" spans="1:6" x14ac:dyDescent="0.3">
      <c r="A2528" s="63"/>
      <c r="B2528" s="64"/>
      <c r="C2528" s="64"/>
      <c r="D2528" s="64"/>
      <c r="E2528" s="63"/>
      <c r="F2528" s="64"/>
    </row>
    <row r="2529" spans="1:6" x14ac:dyDescent="0.3">
      <c r="A2529" s="2"/>
      <c r="B2529" s="65"/>
      <c r="C2529" s="65"/>
      <c r="D2529" s="2"/>
      <c r="E2529" s="2"/>
      <c r="F2529" s="2"/>
    </row>
    <row r="2530" spans="1:6" x14ac:dyDescent="0.3">
      <c r="A2530" s="63"/>
      <c r="B2530" s="64"/>
      <c r="C2530" s="64"/>
      <c r="D2530" s="64"/>
      <c r="E2530" s="63"/>
      <c r="F2530" s="64"/>
    </row>
    <row r="2531" spans="1:6" x14ac:dyDescent="0.3">
      <c r="A2531" s="2"/>
      <c r="B2531" s="65"/>
      <c r="C2531" s="65"/>
      <c r="D2531" s="2"/>
      <c r="E2531" s="2"/>
      <c r="F2531" s="2"/>
    </row>
    <row r="2532" spans="1:6" x14ac:dyDescent="0.3">
      <c r="A2532" s="63"/>
      <c r="B2532" s="64"/>
      <c r="C2532" s="64"/>
      <c r="D2532" s="64"/>
      <c r="E2532" s="63"/>
      <c r="F2532" s="64"/>
    </row>
    <row r="2533" spans="1:6" x14ac:dyDescent="0.3">
      <c r="A2533" s="2"/>
      <c r="B2533" s="65"/>
      <c r="C2533" s="65"/>
      <c r="D2533" s="2"/>
      <c r="E2533" s="2"/>
      <c r="F2533" s="2"/>
    </row>
    <row r="2534" spans="1:6" x14ac:dyDescent="0.3">
      <c r="A2534" s="63"/>
      <c r="B2534" s="64"/>
      <c r="C2534" s="64"/>
      <c r="D2534" s="64"/>
      <c r="E2534" s="63"/>
      <c r="F2534" s="64"/>
    </row>
    <row r="2535" spans="1:6" x14ac:dyDescent="0.3">
      <c r="A2535" s="2"/>
      <c r="B2535" s="65"/>
      <c r="C2535" s="65"/>
      <c r="D2535" s="2"/>
      <c r="E2535" s="2"/>
      <c r="F2535" s="2"/>
    </row>
    <row r="2536" spans="1:6" x14ac:dyDescent="0.3">
      <c r="A2536" s="63"/>
      <c r="B2536" s="64"/>
      <c r="C2536" s="64"/>
      <c r="D2536" s="64"/>
      <c r="E2536" s="63"/>
      <c r="F2536" s="64"/>
    </row>
    <row r="2537" spans="1:6" x14ac:dyDescent="0.3">
      <c r="A2537" s="2"/>
      <c r="B2537" s="65"/>
      <c r="C2537" s="65"/>
      <c r="D2537" s="2"/>
      <c r="E2537" s="2"/>
      <c r="F2537" s="2"/>
    </row>
    <row r="2538" spans="1:6" x14ac:dyDescent="0.3">
      <c r="A2538" s="63"/>
      <c r="B2538" s="64"/>
      <c r="C2538" s="64"/>
      <c r="D2538" s="64"/>
      <c r="E2538" s="63"/>
      <c r="F2538" s="64"/>
    </row>
    <row r="2539" spans="1:6" x14ac:dyDescent="0.3">
      <c r="A2539" s="2"/>
      <c r="B2539" s="65"/>
      <c r="C2539" s="65"/>
      <c r="D2539" s="2"/>
      <c r="E2539" s="2"/>
      <c r="F2539" s="2"/>
    </row>
    <row r="2540" spans="1:6" x14ac:dyDescent="0.3">
      <c r="A2540" s="63"/>
      <c r="B2540" s="64"/>
      <c r="C2540" s="64"/>
      <c r="D2540" s="64"/>
      <c r="E2540" s="63"/>
      <c r="F2540" s="64"/>
    </row>
    <row r="2541" spans="1:6" x14ac:dyDescent="0.3">
      <c r="A2541" s="2"/>
      <c r="B2541" s="65"/>
      <c r="C2541" s="65"/>
      <c r="D2541" s="2"/>
      <c r="E2541" s="2"/>
      <c r="F2541" s="2"/>
    </row>
    <row r="2542" spans="1:6" x14ac:dyDescent="0.3">
      <c r="A2542" s="63"/>
      <c r="B2542" s="64"/>
      <c r="C2542" s="64"/>
      <c r="D2542" s="64"/>
      <c r="E2542" s="63"/>
      <c r="F2542" s="64"/>
    </row>
    <row r="2543" spans="1:6" x14ac:dyDescent="0.3">
      <c r="A2543" s="2"/>
      <c r="B2543" s="65"/>
      <c r="C2543" s="65"/>
      <c r="D2543" s="2"/>
      <c r="E2543" s="2"/>
      <c r="F2543" s="2"/>
    </row>
    <row r="2544" spans="1:6" x14ac:dyDescent="0.3">
      <c r="A2544" s="63"/>
      <c r="B2544" s="64"/>
      <c r="C2544" s="64"/>
      <c r="D2544" s="64"/>
      <c r="E2544" s="63"/>
      <c r="F2544" s="64"/>
    </row>
    <row r="2545" spans="1:6" x14ac:dyDescent="0.3">
      <c r="A2545" s="2"/>
      <c r="B2545" s="65"/>
      <c r="C2545" s="65"/>
      <c r="D2545" s="2"/>
      <c r="E2545" s="2"/>
      <c r="F2545" s="2"/>
    </row>
    <row r="2546" spans="1:6" x14ac:dyDescent="0.3">
      <c r="A2546" s="63"/>
      <c r="B2546" s="64"/>
      <c r="C2546" s="64"/>
      <c r="D2546" s="64"/>
      <c r="E2546" s="63"/>
      <c r="F2546" s="64"/>
    </row>
    <row r="2547" spans="1:6" x14ac:dyDescent="0.3">
      <c r="A2547" s="2"/>
      <c r="B2547" s="65"/>
      <c r="C2547" s="65"/>
      <c r="D2547" s="2"/>
      <c r="E2547" s="2"/>
      <c r="F2547" s="2"/>
    </row>
    <row r="2548" spans="1:6" x14ac:dyDescent="0.3">
      <c r="A2548" s="63"/>
      <c r="B2548" s="64"/>
      <c r="C2548" s="64"/>
      <c r="D2548" s="64"/>
      <c r="E2548" s="63"/>
      <c r="F2548" s="64"/>
    </row>
    <row r="2549" spans="1:6" x14ac:dyDescent="0.3">
      <c r="A2549" s="2"/>
      <c r="B2549" s="65"/>
      <c r="C2549" s="65"/>
      <c r="D2549" s="2"/>
      <c r="E2549" s="2"/>
      <c r="F2549" s="2"/>
    </row>
    <row r="2550" spans="1:6" x14ac:dyDescent="0.3">
      <c r="A2550" s="63"/>
      <c r="B2550" s="64"/>
      <c r="C2550" s="64"/>
      <c r="D2550" s="64"/>
      <c r="E2550" s="63"/>
      <c r="F2550" s="64"/>
    </row>
    <row r="2551" spans="1:6" x14ac:dyDescent="0.3">
      <c r="A2551" s="2"/>
      <c r="B2551" s="65"/>
      <c r="C2551" s="65"/>
      <c r="D2551" s="2"/>
      <c r="E2551" s="2"/>
      <c r="F2551" s="2"/>
    </row>
    <row r="2552" spans="1:6" x14ac:dyDescent="0.3">
      <c r="A2552" s="63"/>
      <c r="B2552" s="64"/>
      <c r="C2552" s="64"/>
      <c r="D2552" s="64"/>
      <c r="E2552" s="63"/>
      <c r="F2552" s="64"/>
    </row>
    <row r="2553" spans="1:6" x14ac:dyDescent="0.3">
      <c r="A2553" s="2"/>
      <c r="B2553" s="65"/>
      <c r="C2553" s="65"/>
      <c r="D2553" s="2"/>
      <c r="E2553" s="2"/>
      <c r="F2553" s="2"/>
    </row>
    <row r="2554" spans="1:6" x14ac:dyDescent="0.3">
      <c r="A2554" s="63"/>
      <c r="B2554" s="64"/>
      <c r="C2554" s="64"/>
      <c r="D2554" s="64"/>
      <c r="E2554" s="63"/>
      <c r="F2554" s="64"/>
    </row>
    <row r="2555" spans="1:6" x14ac:dyDescent="0.3">
      <c r="A2555" s="2"/>
      <c r="B2555" s="65"/>
      <c r="C2555" s="65"/>
      <c r="D2555" s="2"/>
      <c r="E2555" s="2"/>
      <c r="F2555" s="2"/>
    </row>
    <row r="2556" spans="1:6" x14ac:dyDescent="0.3">
      <c r="A2556" s="63"/>
      <c r="B2556" s="64"/>
      <c r="C2556" s="64"/>
      <c r="D2556" s="64"/>
      <c r="E2556" s="63"/>
      <c r="F2556" s="64"/>
    </row>
    <row r="2557" spans="1:6" x14ac:dyDescent="0.3">
      <c r="A2557" s="2"/>
      <c r="B2557" s="65"/>
      <c r="C2557" s="65"/>
      <c r="D2557" s="2"/>
      <c r="E2557" s="2"/>
      <c r="F2557" s="2"/>
    </row>
    <row r="2558" spans="1:6" x14ac:dyDescent="0.3">
      <c r="A2558" s="63"/>
      <c r="B2558" s="64"/>
      <c r="C2558" s="64"/>
      <c r="D2558" s="64"/>
      <c r="E2558" s="63"/>
      <c r="F2558" s="64"/>
    </row>
    <row r="2559" spans="1:6" x14ac:dyDescent="0.3">
      <c r="A2559" s="2"/>
      <c r="B2559" s="65"/>
      <c r="C2559" s="65"/>
      <c r="D2559" s="2"/>
      <c r="E2559" s="2"/>
      <c r="F2559" s="2"/>
    </row>
    <row r="2560" spans="1:6" x14ac:dyDescent="0.3">
      <c r="A2560" s="63"/>
      <c r="B2560" s="64"/>
      <c r="C2560" s="64"/>
      <c r="D2560" s="64"/>
      <c r="E2560" s="63"/>
      <c r="F2560" s="64"/>
    </row>
    <row r="2561" spans="1:6" x14ac:dyDescent="0.3">
      <c r="A2561" s="2"/>
      <c r="B2561" s="65"/>
      <c r="C2561" s="65"/>
      <c r="D2561" s="2"/>
      <c r="E2561" s="2"/>
      <c r="F2561" s="2"/>
    </row>
    <row r="2562" spans="1:6" x14ac:dyDescent="0.3">
      <c r="A2562" s="63"/>
      <c r="B2562" s="64"/>
      <c r="C2562" s="64"/>
      <c r="D2562" s="64"/>
      <c r="E2562" s="63"/>
      <c r="F2562" s="64"/>
    </row>
    <row r="2563" spans="1:6" x14ac:dyDescent="0.3">
      <c r="A2563" s="2"/>
      <c r="B2563" s="65"/>
      <c r="C2563" s="65"/>
      <c r="D2563" s="2"/>
      <c r="E2563" s="2"/>
      <c r="F2563" s="2"/>
    </row>
    <row r="2564" spans="1:6" x14ac:dyDescent="0.3">
      <c r="A2564" s="63"/>
      <c r="B2564" s="64"/>
      <c r="C2564" s="64"/>
      <c r="D2564" s="64"/>
      <c r="E2564" s="63"/>
      <c r="F2564" s="64"/>
    </row>
    <row r="2565" spans="1:6" x14ac:dyDescent="0.3">
      <c r="A2565" s="2"/>
      <c r="B2565" s="65"/>
      <c r="C2565" s="65"/>
      <c r="D2565" s="2"/>
      <c r="E2565" s="2"/>
      <c r="F2565" s="2"/>
    </row>
    <row r="2566" spans="1:6" x14ac:dyDescent="0.3">
      <c r="A2566" s="63"/>
      <c r="B2566" s="64"/>
      <c r="C2566" s="64"/>
      <c r="D2566" s="64"/>
      <c r="E2566" s="63"/>
      <c r="F2566" s="64"/>
    </row>
    <row r="2567" spans="1:6" x14ac:dyDescent="0.3">
      <c r="A2567" s="2"/>
      <c r="B2567" s="65"/>
      <c r="C2567" s="65"/>
      <c r="D2567" s="2"/>
      <c r="E2567" s="2"/>
      <c r="F2567" s="2"/>
    </row>
    <row r="2568" spans="1:6" x14ac:dyDescent="0.3">
      <c r="A2568" s="63"/>
      <c r="B2568" s="64"/>
      <c r="C2568" s="64"/>
      <c r="D2568" s="64"/>
      <c r="E2568" s="63"/>
      <c r="F2568" s="64"/>
    </row>
    <row r="2569" spans="1:6" x14ac:dyDescent="0.3">
      <c r="A2569" s="2"/>
      <c r="B2569" s="65"/>
      <c r="C2569" s="65"/>
      <c r="D2569" s="2"/>
      <c r="E2569" s="2"/>
      <c r="F2569" s="2"/>
    </row>
    <row r="2570" spans="1:6" x14ac:dyDescent="0.3">
      <c r="A2570" s="63"/>
      <c r="B2570" s="64"/>
      <c r="C2570" s="64"/>
      <c r="D2570" s="64"/>
      <c r="E2570" s="63"/>
      <c r="F2570" s="64"/>
    </row>
    <row r="2571" spans="1:6" x14ac:dyDescent="0.3">
      <c r="A2571" s="2"/>
      <c r="B2571" s="65"/>
      <c r="C2571" s="65"/>
      <c r="D2571" s="2"/>
      <c r="E2571" s="2"/>
      <c r="F2571" s="2"/>
    </row>
    <row r="2572" spans="1:6" x14ac:dyDescent="0.3">
      <c r="A2572" s="63"/>
      <c r="B2572" s="64"/>
      <c r="C2572" s="64"/>
      <c r="D2572" s="64"/>
      <c r="E2572" s="63"/>
      <c r="F2572" s="64"/>
    </row>
    <row r="2573" spans="1:6" x14ac:dyDescent="0.3">
      <c r="A2573" s="2"/>
      <c r="B2573" s="65"/>
      <c r="C2573" s="65"/>
      <c r="D2573" s="2"/>
      <c r="E2573" s="2"/>
      <c r="F2573" s="2"/>
    </row>
    <row r="2574" spans="1:6" x14ac:dyDescent="0.3">
      <c r="A2574" s="63"/>
      <c r="B2574" s="64"/>
      <c r="C2574" s="64"/>
      <c r="D2574" s="64"/>
      <c r="E2574" s="63"/>
      <c r="F2574" s="64"/>
    </row>
    <row r="2575" spans="1:6" x14ac:dyDescent="0.3">
      <c r="A2575" s="2"/>
      <c r="B2575" s="65"/>
      <c r="C2575" s="65"/>
      <c r="D2575" s="2"/>
      <c r="E2575" s="2"/>
      <c r="F2575" s="2"/>
    </row>
    <row r="2576" spans="1:6" x14ac:dyDescent="0.3">
      <c r="A2576" s="63"/>
      <c r="B2576" s="64"/>
      <c r="C2576" s="64"/>
      <c r="D2576" s="64"/>
      <c r="E2576" s="63"/>
      <c r="F2576" s="64"/>
    </row>
    <row r="2577" spans="1:6" x14ac:dyDescent="0.3">
      <c r="A2577" s="2"/>
      <c r="B2577" s="65"/>
      <c r="C2577" s="65"/>
      <c r="D2577" s="2"/>
      <c r="E2577" s="2"/>
      <c r="F2577" s="2"/>
    </row>
    <row r="2578" spans="1:6" x14ac:dyDescent="0.3">
      <c r="A2578" s="63"/>
      <c r="B2578" s="64"/>
      <c r="C2578" s="64"/>
      <c r="D2578" s="64"/>
      <c r="E2578" s="63"/>
      <c r="F2578" s="64"/>
    </row>
    <row r="2579" spans="1:6" x14ac:dyDescent="0.3">
      <c r="A2579" s="2"/>
      <c r="B2579" s="65"/>
      <c r="C2579" s="65"/>
      <c r="D2579" s="2"/>
      <c r="E2579" s="2"/>
      <c r="F2579" s="2"/>
    </row>
    <row r="2580" spans="1:6" x14ac:dyDescent="0.3">
      <c r="A2580" s="63"/>
      <c r="B2580" s="64"/>
      <c r="C2580" s="64"/>
      <c r="D2580" s="64"/>
      <c r="E2580" s="63"/>
      <c r="F2580" s="64"/>
    </row>
    <row r="2581" spans="1:6" x14ac:dyDescent="0.3">
      <c r="A2581" s="2"/>
      <c r="B2581" s="65"/>
      <c r="C2581" s="65"/>
      <c r="D2581" s="2"/>
      <c r="E2581" s="2"/>
      <c r="F2581" s="2"/>
    </row>
    <row r="2582" spans="1:6" x14ac:dyDescent="0.3">
      <c r="A2582" s="63"/>
      <c r="B2582" s="64"/>
      <c r="C2582" s="64"/>
      <c r="D2582" s="64"/>
      <c r="E2582" s="63"/>
      <c r="F2582" s="64"/>
    </row>
    <row r="2583" spans="1:6" x14ac:dyDescent="0.3">
      <c r="A2583" s="2"/>
      <c r="B2583" s="65"/>
      <c r="C2583" s="65"/>
      <c r="D2583" s="2"/>
      <c r="E2583" s="2"/>
      <c r="F2583" s="2"/>
    </row>
    <row r="2584" spans="1:6" x14ac:dyDescent="0.3">
      <c r="A2584" s="63"/>
      <c r="B2584" s="64"/>
      <c r="C2584" s="64"/>
      <c r="D2584" s="64"/>
      <c r="E2584" s="63"/>
      <c r="F2584" s="64"/>
    </row>
    <row r="2585" spans="1:6" x14ac:dyDescent="0.3">
      <c r="A2585" s="2"/>
      <c r="B2585" s="65"/>
      <c r="C2585" s="65"/>
      <c r="D2585" s="2"/>
      <c r="E2585" s="2"/>
      <c r="F2585" s="2"/>
    </row>
    <row r="2586" spans="1:6" x14ac:dyDescent="0.3">
      <c r="A2586" s="63"/>
      <c r="B2586" s="64"/>
      <c r="C2586" s="64"/>
      <c r="D2586" s="64"/>
      <c r="E2586" s="63"/>
      <c r="F2586" s="64"/>
    </row>
    <row r="2587" spans="1:6" x14ac:dyDescent="0.3">
      <c r="A2587" s="2"/>
      <c r="B2587" s="65"/>
      <c r="C2587" s="65"/>
      <c r="D2587" s="2"/>
      <c r="E2587" s="2"/>
      <c r="F2587" s="2"/>
    </row>
    <row r="2588" spans="1:6" x14ac:dyDescent="0.3">
      <c r="A2588" s="63"/>
      <c r="B2588" s="64"/>
      <c r="C2588" s="64"/>
      <c r="D2588" s="64"/>
      <c r="E2588" s="63"/>
      <c r="F2588" s="64"/>
    </row>
    <row r="2589" spans="1:6" x14ac:dyDescent="0.3">
      <c r="A2589" s="2"/>
      <c r="B2589" s="65"/>
      <c r="C2589" s="65"/>
      <c r="D2589" s="2"/>
      <c r="E2589" s="2"/>
      <c r="F2589" s="2"/>
    </row>
    <row r="2590" spans="1:6" x14ac:dyDescent="0.3">
      <c r="A2590" s="63"/>
      <c r="B2590" s="64"/>
      <c r="C2590" s="64"/>
      <c r="D2590" s="64"/>
      <c r="E2590" s="63"/>
      <c r="F2590" s="64"/>
    </row>
    <row r="2591" spans="1:6" x14ac:dyDescent="0.3">
      <c r="A2591" s="2"/>
      <c r="B2591" s="65"/>
      <c r="C2591" s="65"/>
      <c r="D2591" s="2"/>
      <c r="E2591" s="2"/>
      <c r="F2591" s="2"/>
    </row>
    <row r="2592" spans="1:6" x14ac:dyDescent="0.3">
      <c r="A2592" s="63"/>
      <c r="B2592" s="64"/>
      <c r="C2592" s="64"/>
      <c r="D2592" s="64"/>
      <c r="E2592" s="63"/>
      <c r="F2592" s="64"/>
    </row>
    <row r="2593" spans="1:6" x14ac:dyDescent="0.3">
      <c r="A2593" s="2"/>
      <c r="B2593" s="65"/>
      <c r="C2593" s="65"/>
      <c r="D2593" s="2"/>
      <c r="E2593" s="2"/>
      <c r="F2593" s="2"/>
    </row>
    <row r="2594" spans="1:6" x14ac:dyDescent="0.3">
      <c r="A2594" s="63"/>
      <c r="B2594" s="64"/>
      <c r="C2594" s="64"/>
      <c r="D2594" s="64"/>
      <c r="E2594" s="63"/>
      <c r="F2594" s="64"/>
    </row>
    <row r="2595" spans="1:6" x14ac:dyDescent="0.3">
      <c r="A2595" s="2"/>
      <c r="B2595" s="65"/>
      <c r="C2595" s="65"/>
      <c r="D2595" s="2"/>
      <c r="E2595" s="2"/>
      <c r="F2595" s="2"/>
    </row>
    <row r="2596" spans="1:6" x14ac:dyDescent="0.3">
      <c r="A2596" s="63"/>
      <c r="B2596" s="64"/>
      <c r="C2596" s="64"/>
      <c r="D2596" s="64"/>
      <c r="E2596" s="63"/>
      <c r="F2596" s="64"/>
    </row>
    <row r="2597" spans="1:6" x14ac:dyDescent="0.3">
      <c r="A2597" s="2"/>
      <c r="B2597" s="65"/>
      <c r="C2597" s="65"/>
      <c r="D2597" s="2"/>
      <c r="E2597" s="2"/>
      <c r="F2597" s="2"/>
    </row>
    <row r="2598" spans="1:6" x14ac:dyDescent="0.3">
      <c r="A2598" s="63"/>
      <c r="B2598" s="64"/>
      <c r="C2598" s="64"/>
      <c r="D2598" s="64"/>
      <c r="E2598" s="63"/>
      <c r="F2598" s="64"/>
    </row>
    <row r="2599" spans="1:6" x14ac:dyDescent="0.3">
      <c r="A2599" s="2"/>
      <c r="B2599" s="65"/>
      <c r="C2599" s="65"/>
      <c r="D2599" s="2"/>
      <c r="E2599" s="2"/>
      <c r="F2599" s="2"/>
    </row>
    <row r="2600" spans="1:6" x14ac:dyDescent="0.3">
      <c r="A2600" s="63"/>
      <c r="B2600" s="64"/>
      <c r="C2600" s="64"/>
      <c r="D2600" s="64"/>
      <c r="E2600" s="63"/>
      <c r="F2600" s="64"/>
    </row>
    <row r="2601" spans="1:6" x14ac:dyDescent="0.3">
      <c r="A2601" s="2"/>
      <c r="B2601" s="65"/>
      <c r="C2601" s="65"/>
      <c r="D2601" s="2"/>
      <c r="E2601" s="2"/>
      <c r="F2601" s="2"/>
    </row>
    <row r="2602" spans="1:6" x14ac:dyDescent="0.3">
      <c r="A2602" s="63"/>
      <c r="B2602" s="64"/>
      <c r="C2602" s="64"/>
      <c r="D2602" s="64"/>
      <c r="E2602" s="63"/>
      <c r="F2602" s="64"/>
    </row>
    <row r="2603" spans="1:6" x14ac:dyDescent="0.3">
      <c r="A2603" s="2"/>
      <c r="B2603" s="65"/>
      <c r="C2603" s="65"/>
      <c r="D2603" s="2"/>
      <c r="E2603" s="2"/>
      <c r="F2603" s="2"/>
    </row>
    <row r="2604" spans="1:6" x14ac:dyDescent="0.3">
      <c r="A2604" s="63"/>
      <c r="B2604" s="64"/>
      <c r="C2604" s="64"/>
      <c r="D2604" s="64"/>
      <c r="E2604" s="63"/>
      <c r="F2604" s="64"/>
    </row>
    <row r="2605" spans="1:6" x14ac:dyDescent="0.3">
      <c r="A2605" s="2"/>
      <c r="B2605" s="65"/>
      <c r="C2605" s="65"/>
      <c r="D2605" s="2"/>
      <c r="E2605" s="2"/>
      <c r="F2605" s="2"/>
    </row>
    <row r="2606" spans="1:6" x14ac:dyDescent="0.3">
      <c r="A2606" s="63"/>
      <c r="B2606" s="64"/>
      <c r="C2606" s="64"/>
      <c r="D2606" s="64"/>
      <c r="E2606" s="63"/>
      <c r="F2606" s="64"/>
    </row>
    <row r="2607" spans="1:6" x14ac:dyDescent="0.3">
      <c r="A2607" s="2"/>
      <c r="B2607" s="65"/>
      <c r="C2607" s="65"/>
      <c r="D2607" s="2"/>
      <c r="E2607" s="2"/>
      <c r="F2607" s="2"/>
    </row>
    <row r="2608" spans="1:6" x14ac:dyDescent="0.3">
      <c r="A2608" s="63"/>
      <c r="B2608" s="64"/>
      <c r="C2608" s="64"/>
      <c r="D2608" s="64"/>
      <c r="E2608" s="63"/>
      <c r="F2608" s="64"/>
    </row>
    <row r="2609" spans="1:6" x14ac:dyDescent="0.3">
      <c r="A2609" s="2"/>
      <c r="B2609" s="65"/>
      <c r="C2609" s="65"/>
      <c r="D2609" s="2"/>
      <c r="E2609" s="2"/>
      <c r="F2609" s="2"/>
    </row>
    <row r="2610" spans="1:6" x14ac:dyDescent="0.3">
      <c r="A2610" s="63"/>
      <c r="B2610" s="64"/>
      <c r="C2610" s="64"/>
      <c r="D2610" s="64"/>
      <c r="E2610" s="63"/>
      <c r="F2610" s="64"/>
    </row>
    <row r="2611" spans="1:6" x14ac:dyDescent="0.3">
      <c r="A2611" s="2"/>
      <c r="B2611" s="65"/>
      <c r="C2611" s="65"/>
      <c r="D2611" s="2"/>
      <c r="E2611" s="2"/>
      <c r="F2611" s="2"/>
    </row>
    <row r="2612" spans="1:6" x14ac:dyDescent="0.3">
      <c r="A2612" s="63"/>
      <c r="B2612" s="64"/>
      <c r="C2612" s="64"/>
      <c r="D2612" s="64"/>
      <c r="E2612" s="63"/>
      <c r="F2612" s="64"/>
    </row>
    <row r="2613" spans="1:6" x14ac:dyDescent="0.3">
      <c r="A2613" s="2"/>
      <c r="B2613" s="65"/>
      <c r="C2613" s="65"/>
      <c r="D2613" s="2"/>
      <c r="E2613" s="2"/>
      <c r="F2613" s="2"/>
    </row>
    <row r="2614" spans="1:6" x14ac:dyDescent="0.3">
      <c r="A2614" s="63"/>
      <c r="B2614" s="64"/>
      <c r="C2614" s="64"/>
      <c r="D2614" s="64"/>
      <c r="E2614" s="63"/>
      <c r="F2614" s="64"/>
    </row>
    <row r="2615" spans="1:6" x14ac:dyDescent="0.3">
      <c r="A2615" s="2"/>
      <c r="B2615" s="65"/>
      <c r="C2615" s="65"/>
      <c r="D2615" s="2"/>
      <c r="E2615" s="2"/>
      <c r="F2615" s="2"/>
    </row>
    <row r="2616" spans="1:6" x14ac:dyDescent="0.3">
      <c r="A2616" s="63"/>
      <c r="B2616" s="64"/>
      <c r="C2616" s="64"/>
      <c r="D2616" s="64"/>
      <c r="E2616" s="63"/>
      <c r="F2616" s="64"/>
    </row>
    <row r="2617" spans="1:6" x14ac:dyDescent="0.3">
      <c r="A2617" s="2"/>
      <c r="B2617" s="65"/>
      <c r="C2617" s="65"/>
      <c r="D2617" s="2"/>
      <c r="E2617" s="2"/>
      <c r="F2617" s="2"/>
    </row>
    <row r="2618" spans="1:6" x14ac:dyDescent="0.3">
      <c r="A2618" s="63"/>
      <c r="B2618" s="64"/>
      <c r="C2618" s="64"/>
      <c r="D2618" s="64"/>
      <c r="E2618" s="63"/>
      <c r="F2618" s="64"/>
    </row>
    <row r="2619" spans="1:6" x14ac:dyDescent="0.3">
      <c r="A2619" s="2"/>
      <c r="B2619" s="65"/>
      <c r="C2619" s="65"/>
      <c r="D2619" s="2"/>
      <c r="E2619" s="2"/>
      <c r="F2619" s="2"/>
    </row>
    <row r="2620" spans="1:6" x14ac:dyDescent="0.3">
      <c r="A2620" s="63"/>
      <c r="B2620" s="64"/>
      <c r="C2620" s="64"/>
      <c r="D2620" s="64"/>
      <c r="E2620" s="63"/>
      <c r="F2620" s="64"/>
    </row>
    <row r="2621" spans="1:6" x14ac:dyDescent="0.3">
      <c r="A2621" s="2"/>
      <c r="B2621" s="65"/>
      <c r="C2621" s="65"/>
      <c r="D2621" s="2"/>
      <c r="E2621" s="2"/>
      <c r="F2621" s="2"/>
    </row>
    <row r="2622" spans="1:6" x14ac:dyDescent="0.3">
      <c r="A2622" s="63"/>
      <c r="B2622" s="64"/>
      <c r="C2622" s="64"/>
      <c r="D2622" s="64"/>
      <c r="E2622" s="63"/>
      <c r="F2622" s="64"/>
    </row>
    <row r="2623" spans="1:6" x14ac:dyDescent="0.3">
      <c r="A2623" s="2"/>
      <c r="B2623" s="65"/>
      <c r="C2623" s="65"/>
      <c r="D2623" s="2"/>
      <c r="E2623" s="2"/>
      <c r="F2623" s="2"/>
    </row>
    <row r="2624" spans="1:6" x14ac:dyDescent="0.3">
      <c r="A2624" s="63"/>
      <c r="B2624" s="64"/>
      <c r="C2624" s="64"/>
      <c r="D2624" s="64"/>
      <c r="E2624" s="63"/>
      <c r="F2624" s="64"/>
    </row>
    <row r="2625" spans="1:6" x14ac:dyDescent="0.3">
      <c r="A2625" s="2"/>
      <c r="B2625" s="65"/>
      <c r="C2625" s="65"/>
      <c r="D2625" s="2"/>
      <c r="E2625" s="2"/>
      <c r="F2625" s="2"/>
    </row>
    <row r="2626" spans="1:6" x14ac:dyDescent="0.3">
      <c r="A2626" s="63"/>
      <c r="B2626" s="64"/>
      <c r="C2626" s="64"/>
      <c r="D2626" s="64"/>
      <c r="E2626" s="63"/>
      <c r="F2626" s="64"/>
    </row>
    <row r="2627" spans="1:6" x14ac:dyDescent="0.3">
      <c r="A2627" s="2"/>
      <c r="B2627" s="65"/>
      <c r="C2627" s="65"/>
      <c r="D2627" s="2"/>
      <c r="E2627" s="2"/>
      <c r="F2627" s="2"/>
    </row>
    <row r="2628" spans="1:6" x14ac:dyDescent="0.3">
      <c r="A2628" s="63"/>
      <c r="B2628" s="64"/>
      <c r="C2628" s="64"/>
      <c r="D2628" s="64"/>
      <c r="E2628" s="63"/>
      <c r="F2628" s="64"/>
    </row>
    <row r="2629" spans="1:6" x14ac:dyDescent="0.3">
      <c r="A2629" s="2"/>
      <c r="B2629" s="65"/>
      <c r="C2629" s="65"/>
      <c r="D2629" s="2"/>
      <c r="E2629" s="2"/>
      <c r="F2629" s="2"/>
    </row>
    <row r="2630" spans="1:6" x14ac:dyDescent="0.3">
      <c r="A2630" s="63"/>
      <c r="B2630" s="64"/>
      <c r="C2630" s="64"/>
      <c r="D2630" s="64"/>
      <c r="E2630" s="63"/>
      <c r="F2630" s="64"/>
    </row>
    <row r="2631" spans="1:6" x14ac:dyDescent="0.3">
      <c r="A2631" s="2"/>
      <c r="B2631" s="65"/>
      <c r="C2631" s="65"/>
      <c r="D2631" s="2"/>
      <c r="E2631" s="2"/>
      <c r="F2631" s="2"/>
    </row>
    <row r="2632" spans="1:6" x14ac:dyDescent="0.3">
      <c r="A2632" s="63"/>
      <c r="B2632" s="64"/>
      <c r="C2632" s="64"/>
      <c r="D2632" s="64"/>
      <c r="E2632" s="63"/>
      <c r="F2632" s="64"/>
    </row>
    <row r="2633" spans="1:6" x14ac:dyDescent="0.3">
      <c r="A2633" s="2"/>
      <c r="B2633" s="65"/>
      <c r="C2633" s="65"/>
      <c r="D2633" s="2"/>
      <c r="E2633" s="2"/>
      <c r="F2633" s="2"/>
    </row>
    <row r="2634" spans="1:6" x14ac:dyDescent="0.3">
      <c r="A2634" s="63"/>
      <c r="B2634" s="64"/>
      <c r="C2634" s="64"/>
      <c r="D2634" s="64"/>
      <c r="E2634" s="63"/>
      <c r="F2634" s="64"/>
    </row>
    <row r="2635" spans="1:6" x14ac:dyDescent="0.3">
      <c r="A2635" s="2"/>
      <c r="B2635" s="65"/>
      <c r="C2635" s="65"/>
      <c r="D2635" s="2"/>
      <c r="E2635" s="2"/>
      <c r="F2635" s="2"/>
    </row>
    <row r="2636" spans="1:6" x14ac:dyDescent="0.3">
      <c r="A2636" s="63"/>
      <c r="B2636" s="64"/>
      <c r="C2636" s="64"/>
      <c r="D2636" s="64"/>
      <c r="E2636" s="63"/>
      <c r="F2636" s="64"/>
    </row>
    <row r="2637" spans="1:6" x14ac:dyDescent="0.3">
      <c r="A2637" s="2"/>
      <c r="B2637" s="65"/>
      <c r="C2637" s="65"/>
      <c r="D2637" s="2"/>
      <c r="E2637" s="2"/>
      <c r="F2637" s="2"/>
    </row>
    <row r="2638" spans="1:6" x14ac:dyDescent="0.3">
      <c r="A2638" s="63"/>
      <c r="B2638" s="64"/>
      <c r="C2638" s="64"/>
      <c r="D2638" s="64"/>
      <c r="E2638" s="63"/>
      <c r="F2638" s="64"/>
    </row>
    <row r="2639" spans="1:6" x14ac:dyDescent="0.3">
      <c r="A2639" s="2"/>
      <c r="B2639" s="65"/>
      <c r="C2639" s="65"/>
      <c r="D2639" s="2"/>
      <c r="E2639" s="2"/>
      <c r="F2639" s="2"/>
    </row>
    <row r="2640" spans="1:6" x14ac:dyDescent="0.3">
      <c r="A2640" s="63"/>
      <c r="B2640" s="64"/>
      <c r="C2640" s="64"/>
      <c r="D2640" s="64"/>
      <c r="E2640" s="63"/>
      <c r="F2640" s="64"/>
    </row>
    <row r="2641" spans="1:6" x14ac:dyDescent="0.3">
      <c r="A2641" s="2"/>
      <c r="B2641" s="65"/>
      <c r="C2641" s="65"/>
      <c r="D2641" s="2"/>
      <c r="E2641" s="2"/>
      <c r="F2641" s="2"/>
    </row>
    <row r="2642" spans="1:6" x14ac:dyDescent="0.3">
      <c r="A2642" s="63"/>
      <c r="B2642" s="64"/>
      <c r="C2642" s="64"/>
      <c r="D2642" s="64"/>
      <c r="E2642" s="63"/>
      <c r="F2642" s="64"/>
    </row>
    <row r="2643" spans="1:6" x14ac:dyDescent="0.3">
      <c r="A2643" s="2"/>
      <c r="B2643" s="65"/>
      <c r="C2643" s="65"/>
      <c r="D2643" s="2"/>
      <c r="E2643" s="2"/>
      <c r="F2643" s="2"/>
    </row>
    <row r="2644" spans="1:6" x14ac:dyDescent="0.3">
      <c r="A2644" s="63"/>
      <c r="B2644" s="64"/>
      <c r="C2644" s="64"/>
      <c r="D2644" s="64"/>
      <c r="E2644" s="63"/>
      <c r="F2644" s="64"/>
    </row>
    <row r="2645" spans="1:6" x14ac:dyDescent="0.3">
      <c r="A2645" s="2"/>
      <c r="B2645" s="65"/>
      <c r="C2645" s="65"/>
      <c r="D2645" s="2"/>
      <c r="E2645" s="2"/>
      <c r="F2645" s="2"/>
    </row>
    <row r="2646" spans="1:6" x14ac:dyDescent="0.3">
      <c r="A2646" s="63"/>
      <c r="B2646" s="64"/>
      <c r="C2646" s="64"/>
      <c r="D2646" s="64"/>
      <c r="E2646" s="63"/>
      <c r="F2646" s="64"/>
    </row>
    <row r="2647" spans="1:6" x14ac:dyDescent="0.3">
      <c r="A2647" s="2"/>
      <c r="B2647" s="65"/>
      <c r="C2647" s="65"/>
      <c r="D2647" s="2"/>
      <c r="E2647" s="2"/>
      <c r="F2647" s="2"/>
    </row>
    <row r="2648" spans="1:6" x14ac:dyDescent="0.3">
      <c r="A2648" s="63"/>
      <c r="B2648" s="64"/>
      <c r="C2648" s="64"/>
      <c r="D2648" s="64"/>
      <c r="E2648" s="63"/>
      <c r="F2648" s="64"/>
    </row>
    <row r="2649" spans="1:6" x14ac:dyDescent="0.3">
      <c r="A2649" s="2"/>
      <c r="B2649" s="65"/>
      <c r="C2649" s="65"/>
      <c r="D2649" s="2"/>
      <c r="E2649" s="2"/>
      <c r="F2649" s="2"/>
    </row>
    <row r="2650" spans="1:6" x14ac:dyDescent="0.3">
      <c r="A2650" s="63"/>
      <c r="B2650" s="64"/>
      <c r="C2650" s="64"/>
      <c r="D2650" s="64"/>
      <c r="E2650" s="63"/>
      <c r="F2650" s="64"/>
    </row>
    <row r="2651" spans="1:6" x14ac:dyDescent="0.3">
      <c r="A2651" s="2"/>
      <c r="B2651" s="65"/>
      <c r="C2651" s="65"/>
      <c r="D2651" s="2"/>
      <c r="E2651" s="2"/>
      <c r="F2651" s="2"/>
    </row>
    <row r="2652" spans="1:6" x14ac:dyDescent="0.3">
      <c r="A2652" s="63"/>
      <c r="B2652" s="64"/>
      <c r="C2652" s="64"/>
      <c r="D2652" s="64"/>
      <c r="E2652" s="63"/>
      <c r="F2652" s="64"/>
    </row>
    <row r="2653" spans="1:6" x14ac:dyDescent="0.3">
      <c r="A2653" s="2"/>
      <c r="B2653" s="65"/>
      <c r="C2653" s="65"/>
      <c r="D2653" s="2"/>
      <c r="E2653" s="2"/>
      <c r="F2653" s="2"/>
    </row>
    <row r="2654" spans="1:6" x14ac:dyDescent="0.3">
      <c r="A2654" s="63"/>
      <c r="B2654" s="64"/>
      <c r="C2654" s="64"/>
      <c r="D2654" s="64"/>
      <c r="E2654" s="63"/>
      <c r="F2654" s="64"/>
    </row>
    <row r="2655" spans="1:6" x14ac:dyDescent="0.3">
      <c r="A2655" s="2"/>
      <c r="B2655" s="65"/>
      <c r="C2655" s="65"/>
      <c r="D2655" s="2"/>
      <c r="E2655" s="2"/>
      <c r="F2655" s="2"/>
    </row>
    <row r="2656" spans="1:6" x14ac:dyDescent="0.3">
      <c r="A2656" s="63"/>
      <c r="B2656" s="64"/>
      <c r="C2656" s="64"/>
      <c r="D2656" s="64"/>
      <c r="E2656" s="63"/>
      <c r="F2656" s="64"/>
    </row>
    <row r="2657" spans="1:6" x14ac:dyDescent="0.3">
      <c r="A2657" s="2"/>
      <c r="B2657" s="65"/>
      <c r="C2657" s="65"/>
      <c r="D2657" s="2"/>
      <c r="E2657" s="2"/>
      <c r="F2657" s="2"/>
    </row>
    <row r="2658" spans="1:6" x14ac:dyDescent="0.3">
      <c r="A2658" s="63"/>
      <c r="B2658" s="64"/>
      <c r="C2658" s="64"/>
      <c r="D2658" s="64"/>
      <c r="E2658" s="63"/>
      <c r="F2658" s="64"/>
    </row>
    <row r="2659" spans="1:6" x14ac:dyDescent="0.3">
      <c r="A2659" s="2"/>
      <c r="B2659" s="65"/>
      <c r="C2659" s="65"/>
      <c r="D2659" s="2"/>
      <c r="E2659" s="2"/>
      <c r="F2659" s="2"/>
    </row>
    <row r="2660" spans="1:6" x14ac:dyDescent="0.3">
      <c r="A2660" s="63"/>
      <c r="B2660" s="64"/>
      <c r="C2660" s="64"/>
      <c r="D2660" s="64"/>
      <c r="E2660" s="63"/>
      <c r="F2660" s="64"/>
    </row>
    <row r="2661" spans="1:6" x14ac:dyDescent="0.3">
      <c r="A2661" s="2"/>
      <c r="B2661" s="65"/>
      <c r="C2661" s="65"/>
      <c r="D2661" s="2"/>
      <c r="E2661" s="2"/>
      <c r="F2661" s="2"/>
    </row>
    <row r="2662" spans="1:6" x14ac:dyDescent="0.3">
      <c r="A2662" s="63"/>
      <c r="B2662" s="64"/>
      <c r="C2662" s="64"/>
      <c r="D2662" s="64"/>
      <c r="E2662" s="63"/>
      <c r="F2662" s="64"/>
    </row>
    <row r="2663" spans="1:6" x14ac:dyDescent="0.3">
      <c r="A2663" s="2"/>
      <c r="B2663" s="65"/>
      <c r="C2663" s="65"/>
      <c r="D2663" s="2"/>
      <c r="E2663" s="2"/>
      <c r="F2663" s="2"/>
    </row>
    <row r="2664" spans="1:6" x14ac:dyDescent="0.3">
      <c r="A2664" s="63"/>
      <c r="B2664" s="64"/>
      <c r="C2664" s="64"/>
      <c r="D2664" s="64"/>
      <c r="E2664" s="63"/>
      <c r="F2664" s="64"/>
    </row>
    <row r="2665" spans="1:6" x14ac:dyDescent="0.3">
      <c r="A2665" s="2"/>
      <c r="B2665" s="65"/>
      <c r="C2665" s="65"/>
      <c r="D2665" s="2"/>
      <c r="E2665" s="2"/>
      <c r="F2665" s="2"/>
    </row>
    <row r="2666" spans="1:6" x14ac:dyDescent="0.3">
      <c r="A2666" s="63"/>
      <c r="B2666" s="64"/>
      <c r="C2666" s="64"/>
      <c r="D2666" s="64"/>
      <c r="E2666" s="63"/>
      <c r="F2666" s="64"/>
    </row>
    <row r="2667" spans="1:6" x14ac:dyDescent="0.3">
      <c r="A2667" s="2"/>
      <c r="B2667" s="65"/>
      <c r="C2667" s="65"/>
      <c r="D2667" s="2"/>
      <c r="E2667" s="2"/>
      <c r="F2667" s="2"/>
    </row>
    <row r="2668" spans="1:6" x14ac:dyDescent="0.3">
      <c r="A2668" s="63"/>
      <c r="B2668" s="64"/>
      <c r="C2668" s="64"/>
      <c r="D2668" s="64"/>
      <c r="E2668" s="63"/>
      <c r="F2668" s="64"/>
    </row>
    <row r="2669" spans="1:6" x14ac:dyDescent="0.3">
      <c r="A2669" s="2"/>
      <c r="B2669" s="65"/>
      <c r="C2669" s="65"/>
      <c r="D2669" s="2"/>
      <c r="E2669" s="2"/>
      <c r="F2669" s="2"/>
    </row>
    <row r="2670" spans="1:6" x14ac:dyDescent="0.3">
      <c r="A2670" s="63"/>
      <c r="B2670" s="64"/>
      <c r="C2670" s="64"/>
      <c r="D2670" s="64"/>
      <c r="E2670" s="63"/>
      <c r="F2670" s="64"/>
    </row>
    <row r="2671" spans="1:6" x14ac:dyDescent="0.3">
      <c r="A2671" s="2"/>
      <c r="B2671" s="65"/>
      <c r="C2671" s="65"/>
      <c r="D2671" s="2"/>
      <c r="E2671" s="2"/>
      <c r="F2671" s="2"/>
    </row>
    <row r="2672" spans="1:6" x14ac:dyDescent="0.3">
      <c r="A2672" s="63"/>
      <c r="B2672" s="64"/>
      <c r="C2672" s="64"/>
      <c r="D2672" s="64"/>
      <c r="E2672" s="63"/>
      <c r="F2672" s="64"/>
    </row>
    <row r="2673" spans="1:6" x14ac:dyDescent="0.3">
      <c r="A2673" s="2"/>
      <c r="B2673" s="65"/>
      <c r="C2673" s="65"/>
      <c r="D2673" s="2"/>
      <c r="E2673" s="2"/>
      <c r="F2673" s="2"/>
    </row>
    <row r="2674" spans="1:6" x14ac:dyDescent="0.3">
      <c r="A2674" s="63"/>
      <c r="B2674" s="64"/>
      <c r="C2674" s="64"/>
      <c r="D2674" s="64"/>
      <c r="E2674" s="63"/>
      <c r="F2674" s="64"/>
    </row>
    <row r="2675" spans="1:6" x14ac:dyDescent="0.3">
      <c r="A2675" s="2"/>
      <c r="B2675" s="65"/>
      <c r="C2675" s="65"/>
      <c r="D2675" s="2"/>
      <c r="E2675" s="2"/>
      <c r="F2675" s="2"/>
    </row>
    <row r="2676" spans="1:6" x14ac:dyDescent="0.3">
      <c r="A2676" s="63"/>
      <c r="B2676" s="64"/>
      <c r="C2676" s="64"/>
      <c r="D2676" s="64"/>
      <c r="E2676" s="63"/>
      <c r="F2676" s="64"/>
    </row>
    <row r="2677" spans="1:6" x14ac:dyDescent="0.3">
      <c r="A2677" s="2"/>
      <c r="B2677" s="65"/>
      <c r="C2677" s="65"/>
      <c r="D2677" s="2"/>
      <c r="E2677" s="2"/>
      <c r="F2677" s="2"/>
    </row>
    <row r="2678" spans="1:6" x14ac:dyDescent="0.3">
      <c r="A2678" s="63"/>
      <c r="B2678" s="64"/>
      <c r="C2678" s="64"/>
      <c r="D2678" s="64"/>
      <c r="E2678" s="63"/>
      <c r="F2678" s="64"/>
    </row>
    <row r="2679" spans="1:6" x14ac:dyDescent="0.3">
      <c r="A2679" s="2"/>
      <c r="B2679" s="65"/>
      <c r="C2679" s="65"/>
      <c r="D2679" s="2"/>
      <c r="E2679" s="2"/>
      <c r="F2679" s="2"/>
    </row>
    <row r="2680" spans="1:6" x14ac:dyDescent="0.3">
      <c r="A2680" s="63"/>
      <c r="B2680" s="64"/>
      <c r="C2680" s="64"/>
      <c r="D2680" s="64"/>
      <c r="E2680" s="63"/>
      <c r="F2680" s="64"/>
    </row>
    <row r="2681" spans="1:6" x14ac:dyDescent="0.3">
      <c r="A2681" s="2"/>
      <c r="B2681" s="65"/>
      <c r="C2681" s="65"/>
      <c r="D2681" s="2"/>
      <c r="E2681" s="2"/>
      <c r="F2681" s="2"/>
    </row>
    <row r="2682" spans="1:6" x14ac:dyDescent="0.3">
      <c r="A2682" s="63"/>
      <c r="B2682" s="64"/>
      <c r="C2682" s="64"/>
      <c r="D2682" s="64"/>
      <c r="E2682" s="63"/>
      <c r="F2682" s="64"/>
    </row>
    <row r="2683" spans="1:6" x14ac:dyDescent="0.3">
      <c r="A2683" s="2"/>
      <c r="B2683" s="65"/>
      <c r="C2683" s="65"/>
      <c r="D2683" s="2"/>
      <c r="E2683" s="2"/>
      <c r="F2683" s="2"/>
    </row>
    <row r="2684" spans="1:6" x14ac:dyDescent="0.3">
      <c r="A2684" s="63"/>
      <c r="B2684" s="64"/>
      <c r="C2684" s="64"/>
      <c r="D2684" s="64"/>
      <c r="E2684" s="63"/>
      <c r="F2684" s="64"/>
    </row>
    <row r="2685" spans="1:6" x14ac:dyDescent="0.3">
      <c r="A2685" s="2"/>
      <c r="B2685" s="65"/>
      <c r="C2685" s="65"/>
      <c r="D2685" s="2"/>
      <c r="E2685" s="2"/>
      <c r="F2685" s="2"/>
    </row>
    <row r="2686" spans="1:6" x14ac:dyDescent="0.3">
      <c r="A2686" s="63"/>
      <c r="B2686" s="64"/>
      <c r="C2686" s="64"/>
      <c r="D2686" s="64"/>
      <c r="E2686" s="63"/>
      <c r="F2686" s="64"/>
    </row>
    <row r="2687" spans="1:6" x14ac:dyDescent="0.3">
      <c r="A2687" s="2"/>
      <c r="B2687" s="65"/>
      <c r="C2687" s="65"/>
      <c r="D2687" s="2"/>
      <c r="E2687" s="2"/>
      <c r="F2687" s="2"/>
    </row>
    <row r="2688" spans="1:6" x14ac:dyDescent="0.3">
      <c r="A2688" s="63"/>
      <c r="B2688" s="64"/>
      <c r="C2688" s="64"/>
      <c r="D2688" s="64"/>
      <c r="E2688" s="63"/>
      <c r="F2688" s="64"/>
    </row>
    <row r="2689" spans="1:6" x14ac:dyDescent="0.3">
      <c r="A2689" s="2"/>
      <c r="B2689" s="65"/>
      <c r="C2689" s="65"/>
      <c r="D2689" s="2"/>
      <c r="E2689" s="2"/>
      <c r="F2689" s="2"/>
    </row>
    <row r="2690" spans="1:6" x14ac:dyDescent="0.3">
      <c r="A2690" s="63"/>
      <c r="B2690" s="64"/>
      <c r="C2690" s="64"/>
      <c r="D2690" s="64"/>
      <c r="E2690" s="63"/>
      <c r="F2690" s="64"/>
    </row>
    <row r="2691" spans="1:6" x14ac:dyDescent="0.3">
      <c r="A2691" s="2"/>
      <c r="B2691" s="65"/>
      <c r="C2691" s="65"/>
      <c r="D2691" s="2"/>
      <c r="E2691" s="2"/>
      <c r="F2691" s="2"/>
    </row>
    <row r="2692" spans="1:6" x14ac:dyDescent="0.3">
      <c r="A2692" s="63"/>
      <c r="B2692" s="64"/>
      <c r="C2692" s="64"/>
      <c r="D2692" s="64"/>
      <c r="E2692" s="63"/>
      <c r="F2692" s="64"/>
    </row>
    <row r="2693" spans="1:6" x14ac:dyDescent="0.3">
      <c r="A2693" s="2"/>
      <c r="B2693" s="65"/>
      <c r="C2693" s="65"/>
      <c r="D2693" s="2"/>
      <c r="E2693" s="2"/>
      <c r="F2693" s="2"/>
    </row>
    <row r="2694" spans="1:6" x14ac:dyDescent="0.3">
      <c r="A2694" s="63"/>
      <c r="B2694" s="64"/>
      <c r="C2694" s="64"/>
      <c r="D2694" s="64"/>
      <c r="E2694" s="63"/>
      <c r="F2694" s="64"/>
    </row>
    <row r="2695" spans="1:6" x14ac:dyDescent="0.3">
      <c r="A2695" s="2"/>
      <c r="B2695" s="65"/>
      <c r="C2695" s="65"/>
      <c r="D2695" s="2"/>
      <c r="E2695" s="2"/>
      <c r="F2695" s="2"/>
    </row>
    <row r="2696" spans="1:6" x14ac:dyDescent="0.3">
      <c r="A2696" s="63"/>
      <c r="B2696" s="64"/>
      <c r="C2696" s="64"/>
      <c r="D2696" s="64"/>
      <c r="E2696" s="63"/>
      <c r="F2696" s="64"/>
    </row>
    <row r="2697" spans="1:6" x14ac:dyDescent="0.3">
      <c r="A2697" s="2"/>
      <c r="B2697" s="65"/>
      <c r="C2697" s="65"/>
      <c r="D2697" s="2"/>
      <c r="E2697" s="2"/>
      <c r="F2697" s="2"/>
    </row>
    <row r="2698" spans="1:6" x14ac:dyDescent="0.3">
      <c r="A2698" s="63"/>
      <c r="B2698" s="64"/>
      <c r="C2698" s="64"/>
      <c r="D2698" s="64"/>
      <c r="E2698" s="63"/>
      <c r="F2698" s="64"/>
    </row>
    <row r="2699" spans="1:6" x14ac:dyDescent="0.3">
      <c r="A2699" s="2"/>
      <c r="B2699" s="65"/>
      <c r="C2699" s="65"/>
      <c r="D2699" s="2"/>
      <c r="E2699" s="2"/>
      <c r="F2699" s="2"/>
    </row>
    <row r="2700" spans="1:6" x14ac:dyDescent="0.3">
      <c r="A2700" s="63"/>
      <c r="B2700" s="64"/>
      <c r="C2700" s="64"/>
      <c r="D2700" s="64"/>
      <c r="E2700" s="63"/>
      <c r="F2700" s="64"/>
    </row>
    <row r="2701" spans="1:6" x14ac:dyDescent="0.3">
      <c r="A2701" s="2"/>
      <c r="B2701" s="65"/>
      <c r="C2701" s="65"/>
      <c r="D2701" s="2"/>
      <c r="E2701" s="2"/>
      <c r="F2701" s="2"/>
    </row>
    <row r="2702" spans="1:6" x14ac:dyDescent="0.3">
      <c r="A2702" s="63"/>
      <c r="B2702" s="64"/>
      <c r="C2702" s="64"/>
      <c r="D2702" s="64"/>
      <c r="E2702" s="63"/>
      <c r="F2702" s="64"/>
    </row>
    <row r="2703" spans="1:6" x14ac:dyDescent="0.3">
      <c r="A2703" s="2"/>
      <c r="B2703" s="65"/>
      <c r="C2703" s="65"/>
      <c r="D2703" s="2"/>
      <c r="E2703" s="2"/>
      <c r="F2703" s="2"/>
    </row>
    <row r="2704" spans="1:6" x14ac:dyDescent="0.3">
      <c r="A2704" s="63"/>
      <c r="B2704" s="64"/>
      <c r="C2704" s="64"/>
      <c r="D2704" s="64"/>
      <c r="E2704" s="63"/>
      <c r="F2704" s="64"/>
    </row>
    <row r="2705" spans="1:6" x14ac:dyDescent="0.3">
      <c r="A2705" s="2"/>
      <c r="B2705" s="65"/>
      <c r="C2705" s="65"/>
      <c r="D2705" s="2"/>
      <c r="E2705" s="2"/>
      <c r="F2705" s="2"/>
    </row>
    <row r="2706" spans="1:6" x14ac:dyDescent="0.3">
      <c r="A2706" s="63"/>
      <c r="B2706" s="64"/>
      <c r="C2706" s="64"/>
      <c r="D2706" s="64"/>
      <c r="E2706" s="63"/>
      <c r="F2706" s="64"/>
    </row>
    <row r="2707" spans="1:6" x14ac:dyDescent="0.3">
      <c r="A2707" s="2"/>
      <c r="B2707" s="65"/>
      <c r="C2707" s="65"/>
      <c r="D2707" s="2"/>
      <c r="E2707" s="2"/>
      <c r="F2707" s="2"/>
    </row>
    <row r="2708" spans="1:6" x14ac:dyDescent="0.3">
      <c r="A2708" s="63"/>
      <c r="B2708" s="64"/>
      <c r="C2708" s="64"/>
      <c r="D2708" s="64"/>
      <c r="E2708" s="63"/>
      <c r="F2708" s="64"/>
    </row>
    <row r="2709" spans="1:6" x14ac:dyDescent="0.3">
      <c r="A2709" s="2"/>
      <c r="B2709" s="65"/>
      <c r="C2709" s="65"/>
      <c r="D2709" s="2"/>
      <c r="E2709" s="2"/>
      <c r="F2709" s="2"/>
    </row>
    <row r="2710" spans="1:6" x14ac:dyDescent="0.3">
      <c r="A2710" s="63"/>
      <c r="B2710" s="64"/>
      <c r="C2710" s="64"/>
      <c r="D2710" s="64"/>
      <c r="E2710" s="63"/>
      <c r="F2710" s="64"/>
    </row>
    <row r="2711" spans="1:6" x14ac:dyDescent="0.3">
      <c r="A2711" s="2"/>
      <c r="B2711" s="65"/>
      <c r="C2711" s="65"/>
      <c r="D2711" s="2"/>
      <c r="E2711" s="2"/>
      <c r="F2711" s="2"/>
    </row>
    <row r="2712" spans="1:6" x14ac:dyDescent="0.3">
      <c r="A2712" s="63"/>
      <c r="B2712" s="64"/>
      <c r="C2712" s="64"/>
      <c r="D2712" s="64"/>
      <c r="E2712" s="63"/>
      <c r="F2712" s="64"/>
    </row>
    <row r="2713" spans="1:6" x14ac:dyDescent="0.3">
      <c r="A2713" s="2"/>
      <c r="B2713" s="65"/>
      <c r="C2713" s="65"/>
      <c r="D2713" s="2"/>
      <c r="E2713" s="2"/>
      <c r="F2713" s="2"/>
    </row>
    <row r="2714" spans="1:6" x14ac:dyDescent="0.3">
      <c r="A2714" s="63"/>
      <c r="B2714" s="64"/>
      <c r="C2714" s="64"/>
      <c r="D2714" s="64"/>
      <c r="E2714" s="63"/>
      <c r="F2714" s="64"/>
    </row>
    <row r="2715" spans="1:6" x14ac:dyDescent="0.3">
      <c r="A2715" s="2"/>
      <c r="B2715" s="65"/>
      <c r="C2715" s="65"/>
      <c r="D2715" s="2"/>
      <c r="E2715" s="2"/>
      <c r="F2715" s="2"/>
    </row>
    <row r="2716" spans="1:6" x14ac:dyDescent="0.3">
      <c r="A2716" s="63"/>
      <c r="B2716" s="64"/>
      <c r="C2716" s="64"/>
      <c r="D2716" s="64"/>
      <c r="E2716" s="63"/>
      <c r="F2716" s="64"/>
    </row>
    <row r="2717" spans="1:6" x14ac:dyDescent="0.3">
      <c r="A2717" s="2"/>
      <c r="B2717" s="65"/>
      <c r="C2717" s="65"/>
      <c r="D2717" s="2"/>
      <c r="E2717" s="2"/>
      <c r="F2717" s="2"/>
    </row>
    <row r="2718" spans="1:6" x14ac:dyDescent="0.3">
      <c r="A2718" s="63"/>
      <c r="B2718" s="64"/>
      <c r="C2718" s="64"/>
      <c r="D2718" s="64"/>
      <c r="E2718" s="63"/>
      <c r="F2718" s="64"/>
    </row>
    <row r="2719" spans="1:6" x14ac:dyDescent="0.3">
      <c r="A2719" s="2"/>
      <c r="B2719" s="65"/>
      <c r="C2719" s="65"/>
      <c r="D2719" s="2"/>
      <c r="E2719" s="2"/>
      <c r="F2719" s="2"/>
    </row>
    <row r="2720" spans="1:6" x14ac:dyDescent="0.3">
      <c r="A2720" s="63"/>
      <c r="B2720" s="64"/>
      <c r="C2720" s="64"/>
      <c r="D2720" s="64"/>
      <c r="E2720" s="63"/>
      <c r="F2720" s="64"/>
    </row>
    <row r="2721" spans="1:6" x14ac:dyDescent="0.3">
      <c r="A2721" s="2"/>
      <c r="B2721" s="65"/>
      <c r="C2721" s="65"/>
      <c r="D2721" s="2"/>
      <c r="E2721" s="2"/>
      <c r="F2721" s="2"/>
    </row>
    <row r="2722" spans="1:6" x14ac:dyDescent="0.3">
      <c r="A2722" s="63"/>
      <c r="B2722" s="64"/>
      <c r="C2722" s="64"/>
      <c r="D2722" s="64"/>
      <c r="E2722" s="63"/>
      <c r="F2722" s="64"/>
    </row>
    <row r="2723" spans="1:6" x14ac:dyDescent="0.3">
      <c r="A2723" s="2"/>
      <c r="B2723" s="65"/>
      <c r="C2723" s="65"/>
      <c r="D2723" s="2"/>
      <c r="E2723" s="2"/>
      <c r="F2723" s="2"/>
    </row>
    <row r="2724" spans="1:6" x14ac:dyDescent="0.3">
      <c r="A2724" s="63"/>
      <c r="B2724" s="64"/>
      <c r="C2724" s="64"/>
      <c r="D2724" s="64"/>
      <c r="E2724" s="63"/>
      <c r="F2724" s="64"/>
    </row>
    <row r="2725" spans="1:6" x14ac:dyDescent="0.3">
      <c r="A2725" s="2"/>
      <c r="B2725" s="65"/>
      <c r="C2725" s="65"/>
      <c r="D2725" s="2"/>
      <c r="E2725" s="2"/>
      <c r="F2725" s="2"/>
    </row>
    <row r="2726" spans="1:6" x14ac:dyDescent="0.3">
      <c r="A2726" s="63"/>
      <c r="B2726" s="64"/>
      <c r="C2726" s="64"/>
      <c r="D2726" s="64"/>
      <c r="E2726" s="63"/>
      <c r="F2726" s="64"/>
    </row>
    <row r="2727" spans="1:6" x14ac:dyDescent="0.3">
      <c r="A2727" s="2"/>
      <c r="B2727" s="65"/>
      <c r="C2727" s="65"/>
      <c r="D2727" s="2"/>
      <c r="E2727" s="2"/>
      <c r="F2727" s="2"/>
    </row>
    <row r="2728" spans="1:6" x14ac:dyDescent="0.3">
      <c r="A2728" s="63"/>
      <c r="B2728" s="64"/>
      <c r="C2728" s="64"/>
      <c r="D2728" s="64"/>
      <c r="E2728" s="63"/>
      <c r="F2728" s="64"/>
    </row>
    <row r="2729" spans="1:6" x14ac:dyDescent="0.3">
      <c r="A2729" s="2"/>
      <c r="B2729" s="65"/>
      <c r="C2729" s="65"/>
      <c r="D2729" s="2"/>
      <c r="E2729" s="2"/>
      <c r="F2729" s="2"/>
    </row>
    <row r="2730" spans="1:6" x14ac:dyDescent="0.3">
      <c r="A2730" s="63"/>
      <c r="B2730" s="64"/>
      <c r="C2730" s="64"/>
      <c r="D2730" s="64"/>
      <c r="E2730" s="63"/>
      <c r="F2730" s="64"/>
    </row>
    <row r="2731" spans="1:6" x14ac:dyDescent="0.3">
      <c r="A2731" s="2"/>
      <c r="B2731" s="65"/>
      <c r="C2731" s="65"/>
      <c r="D2731" s="2"/>
      <c r="E2731" s="2"/>
      <c r="F2731" s="2"/>
    </row>
    <row r="2732" spans="1:6" x14ac:dyDescent="0.3">
      <c r="A2732" s="63"/>
      <c r="B2732" s="64"/>
      <c r="C2732" s="64"/>
      <c r="D2732" s="64"/>
      <c r="E2732" s="63"/>
      <c r="F2732" s="64"/>
    </row>
    <row r="2733" spans="1:6" x14ac:dyDescent="0.3">
      <c r="A2733" s="2"/>
      <c r="B2733" s="65"/>
      <c r="C2733" s="65"/>
      <c r="D2733" s="2"/>
      <c r="E2733" s="2"/>
      <c r="F2733" s="2"/>
    </row>
    <row r="2734" spans="1:6" x14ac:dyDescent="0.3">
      <c r="A2734" s="63"/>
      <c r="B2734" s="64"/>
      <c r="C2734" s="64"/>
      <c r="D2734" s="64"/>
      <c r="E2734" s="63"/>
      <c r="F2734" s="64"/>
    </row>
    <row r="2735" spans="1:6" x14ac:dyDescent="0.3">
      <c r="A2735" s="2"/>
      <c r="B2735" s="65"/>
      <c r="C2735" s="65"/>
      <c r="D2735" s="2"/>
      <c r="E2735" s="2"/>
      <c r="F2735" s="2"/>
    </row>
    <row r="2736" spans="1:6" x14ac:dyDescent="0.3">
      <c r="A2736" s="63"/>
      <c r="B2736" s="64"/>
      <c r="C2736" s="64"/>
      <c r="D2736" s="64"/>
      <c r="E2736" s="63"/>
      <c r="F2736" s="64"/>
    </row>
    <row r="2737" spans="1:6" x14ac:dyDescent="0.3">
      <c r="A2737" s="2"/>
      <c r="B2737" s="65"/>
      <c r="C2737" s="65"/>
      <c r="D2737" s="2"/>
      <c r="E2737" s="2"/>
      <c r="F2737" s="2"/>
    </row>
    <row r="2738" spans="1:6" x14ac:dyDescent="0.3">
      <c r="A2738" s="63"/>
      <c r="B2738" s="64"/>
      <c r="C2738" s="64"/>
      <c r="D2738" s="64"/>
      <c r="E2738" s="63"/>
      <c r="F2738" s="64"/>
    </row>
    <row r="2739" spans="1:6" x14ac:dyDescent="0.3">
      <c r="A2739" s="2"/>
      <c r="B2739" s="65"/>
      <c r="C2739" s="65"/>
      <c r="D2739" s="2"/>
      <c r="E2739" s="2"/>
      <c r="F2739" s="2"/>
    </row>
    <row r="2740" spans="1:6" x14ac:dyDescent="0.3">
      <c r="A2740" s="63"/>
      <c r="B2740" s="64"/>
      <c r="C2740" s="64"/>
      <c r="D2740" s="64"/>
      <c r="E2740" s="63"/>
      <c r="F2740" s="64"/>
    </row>
    <row r="2741" spans="1:6" x14ac:dyDescent="0.3">
      <c r="A2741" s="2"/>
      <c r="B2741" s="65"/>
      <c r="C2741" s="65"/>
      <c r="D2741" s="2"/>
      <c r="E2741" s="2"/>
      <c r="F2741" s="2"/>
    </row>
    <row r="2742" spans="1:6" x14ac:dyDescent="0.3">
      <c r="A2742" s="63"/>
      <c r="B2742" s="64"/>
      <c r="C2742" s="64"/>
      <c r="D2742" s="64"/>
      <c r="E2742" s="63"/>
      <c r="F2742" s="64"/>
    </row>
    <row r="2743" spans="1:6" x14ac:dyDescent="0.3">
      <c r="A2743" s="2"/>
      <c r="B2743" s="65"/>
      <c r="C2743" s="65"/>
      <c r="D2743" s="2"/>
      <c r="E2743" s="2"/>
      <c r="F2743" s="2"/>
    </row>
    <row r="2744" spans="1:6" x14ac:dyDescent="0.3">
      <c r="A2744" s="63"/>
      <c r="B2744" s="64"/>
      <c r="C2744" s="64"/>
      <c r="D2744" s="64"/>
      <c r="E2744" s="63"/>
      <c r="F2744" s="64"/>
    </row>
    <row r="2745" spans="1:6" x14ac:dyDescent="0.3">
      <c r="A2745" s="2"/>
      <c r="B2745" s="65"/>
      <c r="C2745" s="65"/>
      <c r="D2745" s="2"/>
      <c r="E2745" s="2"/>
      <c r="F2745" s="2"/>
    </row>
    <row r="2746" spans="1:6" x14ac:dyDescent="0.3">
      <c r="A2746" s="63"/>
      <c r="B2746" s="64"/>
      <c r="C2746" s="64"/>
      <c r="D2746" s="64"/>
      <c r="E2746" s="63"/>
      <c r="F2746" s="64"/>
    </row>
    <row r="2747" spans="1:6" x14ac:dyDescent="0.3">
      <c r="A2747" s="2"/>
      <c r="B2747" s="65"/>
      <c r="C2747" s="65"/>
      <c r="D2747" s="2"/>
      <c r="E2747" s="2"/>
      <c r="F2747" s="2"/>
    </row>
    <row r="2748" spans="1:6" x14ac:dyDescent="0.3">
      <c r="A2748" s="63"/>
      <c r="B2748" s="64"/>
      <c r="C2748" s="64"/>
      <c r="D2748" s="64"/>
      <c r="E2748" s="63"/>
      <c r="F2748" s="64"/>
    </row>
    <row r="2749" spans="1:6" x14ac:dyDescent="0.3">
      <c r="A2749" s="2"/>
      <c r="B2749" s="65"/>
      <c r="C2749" s="65"/>
      <c r="D2749" s="2"/>
      <c r="E2749" s="2"/>
      <c r="F2749" s="2"/>
    </row>
    <row r="2750" spans="1:6" x14ac:dyDescent="0.3">
      <c r="A2750" s="63"/>
      <c r="B2750" s="64"/>
      <c r="C2750" s="64"/>
      <c r="D2750" s="64"/>
      <c r="E2750" s="63"/>
      <c r="F2750" s="64"/>
    </row>
    <row r="2751" spans="1:6" x14ac:dyDescent="0.3">
      <c r="A2751" s="2"/>
      <c r="B2751" s="65"/>
      <c r="C2751" s="65"/>
      <c r="D2751" s="2"/>
      <c r="E2751" s="2"/>
      <c r="F2751" s="2"/>
    </row>
    <row r="2752" spans="1:6" x14ac:dyDescent="0.3">
      <c r="A2752" s="63"/>
      <c r="B2752" s="64"/>
      <c r="C2752" s="64"/>
      <c r="D2752" s="64"/>
      <c r="E2752" s="63"/>
      <c r="F2752" s="64"/>
    </row>
    <row r="2753" spans="1:6" x14ac:dyDescent="0.3">
      <c r="A2753" s="2"/>
      <c r="B2753" s="65"/>
      <c r="C2753" s="65"/>
      <c r="D2753" s="2"/>
      <c r="E2753" s="2"/>
      <c r="F2753" s="2"/>
    </row>
    <row r="2754" spans="1:6" x14ac:dyDescent="0.3">
      <c r="A2754" s="63"/>
      <c r="B2754" s="64"/>
      <c r="C2754" s="64"/>
      <c r="D2754" s="64"/>
      <c r="E2754" s="63"/>
      <c r="F2754" s="64"/>
    </row>
    <row r="2755" spans="1:6" x14ac:dyDescent="0.3">
      <c r="A2755" s="2"/>
      <c r="B2755" s="65"/>
      <c r="C2755" s="65"/>
      <c r="D2755" s="2"/>
      <c r="E2755" s="2"/>
      <c r="F2755" s="2"/>
    </row>
    <row r="2756" spans="1:6" x14ac:dyDescent="0.3">
      <c r="A2756" s="63"/>
      <c r="B2756" s="64"/>
      <c r="C2756" s="64"/>
      <c r="D2756" s="64"/>
      <c r="E2756" s="63"/>
      <c r="F2756" s="64"/>
    </row>
    <row r="2757" spans="1:6" x14ac:dyDescent="0.3">
      <c r="A2757" s="2"/>
      <c r="B2757" s="65"/>
      <c r="C2757" s="65"/>
      <c r="D2757" s="2"/>
      <c r="E2757" s="2"/>
      <c r="F2757" s="2"/>
    </row>
    <row r="2758" spans="1:6" x14ac:dyDescent="0.3">
      <c r="A2758" s="63"/>
      <c r="B2758" s="64"/>
      <c r="C2758" s="64"/>
      <c r="D2758" s="64"/>
      <c r="E2758" s="63"/>
      <c r="F2758" s="64"/>
    </row>
    <row r="2759" spans="1:6" x14ac:dyDescent="0.3">
      <c r="A2759" s="2"/>
      <c r="B2759" s="65"/>
      <c r="C2759" s="65"/>
      <c r="D2759" s="2"/>
      <c r="E2759" s="2"/>
      <c r="F2759" s="2"/>
    </row>
    <row r="2760" spans="1:6" x14ac:dyDescent="0.3">
      <c r="A2760" s="63"/>
      <c r="B2760" s="64"/>
      <c r="C2760" s="64"/>
      <c r="D2760" s="64"/>
      <c r="E2760" s="63"/>
      <c r="F2760" s="64"/>
    </row>
    <row r="2761" spans="1:6" x14ac:dyDescent="0.3">
      <c r="A2761" s="2"/>
      <c r="B2761" s="65"/>
      <c r="C2761" s="65"/>
      <c r="D2761" s="2"/>
      <c r="E2761" s="2"/>
      <c r="F2761" s="2"/>
    </row>
    <row r="2762" spans="1:6" x14ac:dyDescent="0.3">
      <c r="A2762" s="63"/>
      <c r="B2762" s="64"/>
      <c r="C2762" s="64"/>
      <c r="D2762" s="64"/>
      <c r="E2762" s="63"/>
      <c r="F2762" s="64"/>
    </row>
    <row r="2763" spans="1:6" x14ac:dyDescent="0.3">
      <c r="A2763" s="2"/>
      <c r="B2763" s="65"/>
      <c r="C2763" s="65"/>
      <c r="D2763" s="2"/>
      <c r="E2763" s="2"/>
      <c r="F2763" s="2"/>
    </row>
    <row r="2764" spans="1:6" x14ac:dyDescent="0.3">
      <c r="A2764" s="63"/>
      <c r="B2764" s="64"/>
      <c r="C2764" s="64"/>
      <c r="D2764" s="64"/>
      <c r="E2764" s="63"/>
      <c r="F2764" s="64"/>
    </row>
    <row r="2765" spans="1:6" x14ac:dyDescent="0.3">
      <c r="A2765" s="2"/>
      <c r="B2765" s="65"/>
      <c r="C2765" s="65"/>
      <c r="D2765" s="2"/>
      <c r="E2765" s="2"/>
      <c r="F2765" s="2"/>
    </row>
    <row r="2766" spans="1:6" x14ac:dyDescent="0.3">
      <c r="A2766" s="63"/>
      <c r="B2766" s="64"/>
      <c r="C2766" s="64"/>
      <c r="D2766" s="64"/>
      <c r="E2766" s="63"/>
      <c r="F2766" s="64"/>
    </row>
    <row r="2767" spans="1:6" x14ac:dyDescent="0.3">
      <c r="A2767" s="2"/>
      <c r="B2767" s="65"/>
      <c r="C2767" s="65"/>
      <c r="D2767" s="2"/>
      <c r="E2767" s="2"/>
      <c r="F2767" s="2"/>
    </row>
    <row r="2768" spans="1:6" x14ac:dyDescent="0.3">
      <c r="A2768" s="63"/>
      <c r="B2768" s="64"/>
      <c r="C2768" s="64"/>
      <c r="D2768" s="64"/>
      <c r="E2768" s="63"/>
      <c r="F2768" s="64"/>
    </row>
    <row r="2769" spans="1:6" x14ac:dyDescent="0.3">
      <c r="A2769" s="2"/>
      <c r="B2769" s="65"/>
      <c r="C2769" s="65"/>
      <c r="D2769" s="2"/>
      <c r="E2769" s="2"/>
      <c r="F2769" s="2"/>
    </row>
    <row r="2770" spans="1:6" x14ac:dyDescent="0.3">
      <c r="A2770" s="63"/>
      <c r="B2770" s="64"/>
      <c r="C2770" s="64"/>
      <c r="D2770" s="64"/>
      <c r="E2770" s="63"/>
      <c r="F2770" s="64"/>
    </row>
    <row r="2771" spans="1:6" x14ac:dyDescent="0.3">
      <c r="A2771" s="2"/>
      <c r="B2771" s="65"/>
      <c r="C2771" s="65"/>
      <c r="D2771" s="2"/>
      <c r="E2771" s="2"/>
      <c r="F2771" s="2"/>
    </row>
    <row r="2772" spans="1:6" x14ac:dyDescent="0.3">
      <c r="A2772" s="63"/>
      <c r="B2772" s="64"/>
      <c r="C2772" s="64"/>
      <c r="D2772" s="64"/>
      <c r="E2772" s="63"/>
      <c r="F2772" s="64"/>
    </row>
    <row r="2773" spans="1:6" x14ac:dyDescent="0.3">
      <c r="A2773" s="2"/>
      <c r="B2773" s="65"/>
      <c r="C2773" s="65"/>
      <c r="D2773" s="2"/>
      <c r="E2773" s="2"/>
      <c r="F2773" s="2"/>
    </row>
    <row r="2774" spans="1:6" x14ac:dyDescent="0.3">
      <c r="A2774" s="63"/>
      <c r="B2774" s="64"/>
      <c r="C2774" s="64"/>
      <c r="D2774" s="64"/>
      <c r="E2774" s="63"/>
      <c r="F2774" s="64"/>
    </row>
    <row r="2775" spans="1:6" x14ac:dyDescent="0.3">
      <c r="A2775" s="2"/>
      <c r="B2775" s="65"/>
      <c r="C2775" s="65"/>
      <c r="D2775" s="2"/>
      <c r="E2775" s="2"/>
      <c r="F2775" s="2"/>
    </row>
    <row r="2776" spans="1:6" x14ac:dyDescent="0.3">
      <c r="A2776" s="63"/>
      <c r="B2776" s="64"/>
      <c r="C2776" s="64"/>
      <c r="D2776" s="64"/>
      <c r="E2776" s="63"/>
      <c r="F2776" s="64"/>
    </row>
    <row r="2777" spans="1:6" x14ac:dyDescent="0.3">
      <c r="A2777" s="2"/>
      <c r="B2777" s="65"/>
      <c r="C2777" s="65"/>
      <c r="D2777" s="2"/>
      <c r="E2777" s="2"/>
      <c r="F2777" s="2"/>
    </row>
    <row r="2778" spans="1:6" x14ac:dyDescent="0.3">
      <c r="A2778" s="63"/>
      <c r="B2778" s="64"/>
      <c r="C2778" s="64"/>
      <c r="D2778" s="64"/>
      <c r="E2778" s="63"/>
      <c r="F2778" s="64"/>
    </row>
    <row r="2779" spans="1:6" x14ac:dyDescent="0.3">
      <c r="A2779" s="2"/>
      <c r="B2779" s="65"/>
      <c r="C2779" s="65"/>
      <c r="D2779" s="2"/>
      <c r="E2779" s="2"/>
      <c r="F2779" s="2"/>
    </row>
    <row r="2780" spans="1:6" x14ac:dyDescent="0.3">
      <c r="A2780" s="63"/>
      <c r="B2780" s="64"/>
      <c r="C2780" s="64"/>
      <c r="D2780" s="64"/>
      <c r="E2780" s="63"/>
      <c r="F2780" s="64"/>
    </row>
    <row r="2781" spans="1:6" x14ac:dyDescent="0.3">
      <c r="A2781" s="2"/>
      <c r="B2781" s="65"/>
      <c r="C2781" s="65"/>
      <c r="D2781" s="2"/>
      <c r="E2781" s="2"/>
      <c r="F2781" s="2"/>
    </row>
    <row r="2782" spans="1:6" x14ac:dyDescent="0.3">
      <c r="A2782" s="63"/>
      <c r="B2782" s="64"/>
      <c r="C2782" s="64"/>
      <c r="D2782" s="64"/>
      <c r="E2782" s="63"/>
      <c r="F2782" s="64"/>
    </row>
    <row r="2783" spans="1:6" x14ac:dyDescent="0.3">
      <c r="A2783" s="2"/>
      <c r="B2783" s="65"/>
      <c r="C2783" s="65"/>
      <c r="D2783" s="2"/>
      <c r="E2783" s="2"/>
      <c r="F2783" s="2"/>
    </row>
    <row r="2784" spans="1:6" x14ac:dyDescent="0.3">
      <c r="A2784" s="63"/>
      <c r="B2784" s="64"/>
      <c r="C2784" s="64"/>
      <c r="D2784" s="64"/>
      <c r="E2784" s="63"/>
      <c r="F2784" s="64"/>
    </row>
    <row r="2785" spans="1:6" x14ac:dyDescent="0.3">
      <c r="A2785" s="2"/>
      <c r="B2785" s="65"/>
      <c r="C2785" s="65"/>
      <c r="D2785" s="2"/>
      <c r="E2785" s="2"/>
      <c r="F2785" s="2"/>
    </row>
    <row r="2786" spans="1:6" x14ac:dyDescent="0.3">
      <c r="A2786" s="63"/>
      <c r="B2786" s="64"/>
      <c r="C2786" s="64"/>
      <c r="D2786" s="64"/>
      <c r="E2786" s="63"/>
      <c r="F2786" s="64"/>
    </row>
    <row r="2787" spans="1:6" x14ac:dyDescent="0.3">
      <c r="A2787" s="2"/>
      <c r="B2787" s="65"/>
      <c r="C2787" s="65"/>
      <c r="D2787" s="2"/>
      <c r="E2787" s="2"/>
      <c r="F2787" s="2"/>
    </row>
    <row r="2788" spans="1:6" x14ac:dyDescent="0.3">
      <c r="A2788" s="63"/>
      <c r="B2788" s="64"/>
      <c r="C2788" s="64"/>
      <c r="D2788" s="64"/>
      <c r="E2788" s="63"/>
      <c r="F2788" s="64"/>
    </row>
    <row r="2789" spans="1:6" x14ac:dyDescent="0.3">
      <c r="A2789" s="2"/>
      <c r="B2789" s="65"/>
      <c r="C2789" s="65"/>
      <c r="D2789" s="2"/>
      <c r="E2789" s="2"/>
      <c r="F2789" s="2"/>
    </row>
    <row r="2790" spans="1:6" x14ac:dyDescent="0.3">
      <c r="A2790" s="63"/>
      <c r="B2790" s="64"/>
      <c r="C2790" s="64"/>
      <c r="D2790" s="64"/>
      <c r="E2790" s="63"/>
      <c r="F2790" s="64"/>
    </row>
    <row r="2791" spans="1:6" x14ac:dyDescent="0.3">
      <c r="A2791" s="2"/>
      <c r="B2791" s="65"/>
      <c r="C2791" s="65"/>
      <c r="D2791" s="2"/>
      <c r="E2791" s="2"/>
      <c r="F2791" s="2"/>
    </row>
    <row r="2792" spans="1:6" x14ac:dyDescent="0.3">
      <c r="A2792" s="63"/>
      <c r="B2792" s="64"/>
      <c r="C2792" s="64"/>
      <c r="D2792" s="64"/>
      <c r="E2792" s="63"/>
      <c r="F2792" s="64"/>
    </row>
    <row r="2793" spans="1:6" x14ac:dyDescent="0.3">
      <c r="A2793" s="2"/>
      <c r="B2793" s="65"/>
      <c r="C2793" s="65"/>
      <c r="D2793" s="2"/>
      <c r="E2793" s="2"/>
      <c r="F2793" s="2"/>
    </row>
    <row r="2794" spans="1:6" x14ac:dyDescent="0.3">
      <c r="A2794" s="63"/>
      <c r="B2794" s="64"/>
      <c r="C2794" s="64"/>
      <c r="D2794" s="64"/>
      <c r="E2794" s="63"/>
      <c r="F2794" s="64"/>
    </row>
    <row r="2795" spans="1:6" x14ac:dyDescent="0.3">
      <c r="A2795" s="2"/>
      <c r="B2795" s="65"/>
      <c r="C2795" s="65"/>
      <c r="D2795" s="2"/>
      <c r="E2795" s="2"/>
      <c r="F2795" s="2"/>
    </row>
    <row r="2796" spans="1:6" x14ac:dyDescent="0.3">
      <c r="A2796" s="63"/>
      <c r="B2796" s="64"/>
      <c r="C2796" s="64"/>
      <c r="D2796" s="64"/>
      <c r="E2796" s="63"/>
      <c r="F2796" s="64"/>
    </row>
    <row r="2797" spans="1:6" x14ac:dyDescent="0.3">
      <c r="A2797" s="2"/>
      <c r="B2797" s="65"/>
      <c r="C2797" s="65"/>
      <c r="D2797" s="2"/>
      <c r="E2797" s="2"/>
      <c r="F2797" s="2"/>
    </row>
    <row r="2798" spans="1:6" x14ac:dyDescent="0.3">
      <c r="A2798" s="63"/>
      <c r="B2798" s="64"/>
      <c r="C2798" s="64"/>
      <c r="D2798" s="64"/>
      <c r="E2798" s="63"/>
      <c r="F2798" s="64"/>
    </row>
    <row r="2799" spans="1:6" x14ac:dyDescent="0.3">
      <c r="A2799" s="2"/>
      <c r="B2799" s="65"/>
      <c r="C2799" s="65"/>
      <c r="D2799" s="2"/>
      <c r="E2799" s="2"/>
      <c r="F2799" s="2"/>
    </row>
    <row r="2800" spans="1:6" x14ac:dyDescent="0.3">
      <c r="A2800" s="63"/>
      <c r="B2800" s="64"/>
      <c r="C2800" s="64"/>
      <c r="D2800" s="64"/>
      <c r="E2800" s="63"/>
      <c r="F2800" s="64"/>
    </row>
    <row r="2801" spans="1:6" x14ac:dyDescent="0.3">
      <c r="A2801" s="2"/>
      <c r="B2801" s="65"/>
      <c r="C2801" s="65"/>
      <c r="D2801" s="2"/>
      <c r="E2801" s="2"/>
      <c r="F2801" s="2"/>
    </row>
    <row r="2802" spans="1:6" x14ac:dyDescent="0.3">
      <c r="A2802" s="63"/>
      <c r="B2802" s="64"/>
      <c r="C2802" s="64"/>
      <c r="D2802" s="64"/>
      <c r="E2802" s="63"/>
      <c r="F2802" s="64"/>
    </row>
    <row r="2803" spans="1:6" x14ac:dyDescent="0.3">
      <c r="A2803" s="2"/>
      <c r="B2803" s="65"/>
      <c r="C2803" s="65"/>
      <c r="D2803" s="2"/>
      <c r="E2803" s="2"/>
      <c r="F2803" s="2"/>
    </row>
    <row r="2804" spans="1:6" x14ac:dyDescent="0.3">
      <c r="A2804" s="63"/>
      <c r="B2804" s="64"/>
      <c r="C2804" s="64"/>
      <c r="D2804" s="64"/>
      <c r="E2804" s="63"/>
      <c r="F2804" s="64"/>
    </row>
    <row r="2805" spans="1:6" x14ac:dyDescent="0.3">
      <c r="A2805" s="2"/>
      <c r="B2805" s="65"/>
      <c r="C2805" s="65"/>
      <c r="D2805" s="2"/>
      <c r="E2805" s="2"/>
      <c r="F2805" s="2"/>
    </row>
    <row r="2806" spans="1:6" x14ac:dyDescent="0.3">
      <c r="A2806" s="63"/>
      <c r="B2806" s="64"/>
      <c r="C2806" s="64"/>
      <c r="D2806" s="64"/>
      <c r="E2806" s="63"/>
      <c r="F2806" s="64"/>
    </row>
    <row r="2807" spans="1:6" x14ac:dyDescent="0.3">
      <c r="A2807" s="2"/>
      <c r="B2807" s="65"/>
      <c r="C2807" s="65"/>
      <c r="D2807" s="2"/>
      <c r="E2807" s="2"/>
      <c r="F2807" s="2"/>
    </row>
    <row r="2808" spans="1:6" x14ac:dyDescent="0.3">
      <c r="A2808" s="63"/>
      <c r="B2808" s="64"/>
      <c r="C2808" s="64"/>
      <c r="D2808" s="64"/>
      <c r="E2808" s="63"/>
      <c r="F2808" s="64"/>
    </row>
    <row r="2809" spans="1:6" x14ac:dyDescent="0.3">
      <c r="A2809" s="2"/>
      <c r="B2809" s="65"/>
      <c r="C2809" s="65"/>
      <c r="D2809" s="2"/>
      <c r="E2809" s="2"/>
      <c r="F2809" s="2"/>
    </row>
    <row r="2810" spans="1:6" x14ac:dyDescent="0.3">
      <c r="A2810" s="63"/>
      <c r="B2810" s="64"/>
      <c r="C2810" s="64"/>
      <c r="D2810" s="64"/>
      <c r="E2810" s="63"/>
      <c r="F2810" s="64"/>
    </row>
    <row r="2811" spans="1:6" x14ac:dyDescent="0.3">
      <c r="A2811" s="2"/>
      <c r="B2811" s="65"/>
      <c r="C2811" s="65"/>
      <c r="D2811" s="2"/>
      <c r="E2811" s="2"/>
      <c r="F2811" s="2"/>
    </row>
    <row r="2812" spans="1:6" x14ac:dyDescent="0.3">
      <c r="A2812" s="63"/>
      <c r="B2812" s="64"/>
      <c r="C2812" s="64"/>
      <c r="D2812" s="64"/>
      <c r="E2812" s="63"/>
      <c r="F2812" s="64"/>
    </row>
    <row r="2813" spans="1:6" x14ac:dyDescent="0.3">
      <c r="A2813" s="2"/>
      <c r="B2813" s="65"/>
      <c r="C2813" s="65"/>
      <c r="D2813" s="2"/>
      <c r="E2813" s="2"/>
      <c r="F2813" s="2"/>
    </row>
    <row r="2814" spans="1:6" x14ac:dyDescent="0.3">
      <c r="A2814" s="63"/>
      <c r="B2814" s="64"/>
      <c r="C2814" s="64"/>
      <c r="D2814" s="64"/>
      <c r="E2814" s="63"/>
      <c r="F2814" s="64"/>
    </row>
    <row r="2815" spans="1:6" x14ac:dyDescent="0.3">
      <c r="A2815" s="2"/>
      <c r="B2815" s="65"/>
      <c r="C2815" s="65"/>
      <c r="D2815" s="2"/>
      <c r="E2815" s="2"/>
      <c r="F2815" s="2"/>
    </row>
    <row r="2816" spans="1:6" x14ac:dyDescent="0.3">
      <c r="A2816" s="63"/>
      <c r="B2816" s="64"/>
      <c r="C2816" s="64"/>
      <c r="D2816" s="64"/>
      <c r="E2816" s="63"/>
      <c r="F2816" s="64"/>
    </row>
    <row r="2817" spans="1:6" x14ac:dyDescent="0.3">
      <c r="A2817" s="2"/>
      <c r="B2817" s="65"/>
      <c r="C2817" s="65"/>
      <c r="D2817" s="2"/>
      <c r="E2817" s="2"/>
      <c r="F2817" s="2"/>
    </row>
    <row r="2818" spans="1:6" x14ac:dyDescent="0.3">
      <c r="A2818" s="63"/>
      <c r="B2818" s="64"/>
      <c r="C2818" s="64"/>
      <c r="D2818" s="64"/>
      <c r="E2818" s="63"/>
      <c r="F2818" s="64"/>
    </row>
    <row r="2819" spans="1:6" x14ac:dyDescent="0.3">
      <c r="A2819" s="2"/>
      <c r="B2819" s="65"/>
      <c r="C2819" s="65"/>
      <c r="D2819" s="2"/>
      <c r="E2819" s="2"/>
      <c r="F2819" s="2"/>
    </row>
    <row r="2820" spans="1:6" x14ac:dyDescent="0.3">
      <c r="A2820" s="63"/>
      <c r="B2820" s="64"/>
      <c r="C2820" s="64"/>
      <c r="D2820" s="64"/>
      <c r="E2820" s="63"/>
      <c r="F2820" s="64"/>
    </row>
    <row r="2821" spans="1:6" x14ac:dyDescent="0.3">
      <c r="A2821" s="2"/>
      <c r="B2821" s="65"/>
      <c r="C2821" s="65"/>
      <c r="D2821" s="2"/>
      <c r="E2821" s="2"/>
      <c r="F2821" s="2"/>
    </row>
    <row r="2822" spans="1:6" x14ac:dyDescent="0.3">
      <c r="A2822" s="63"/>
      <c r="B2822" s="64"/>
      <c r="C2822" s="64"/>
      <c r="D2822" s="64"/>
      <c r="E2822" s="63"/>
      <c r="F2822" s="64"/>
    </row>
    <row r="2823" spans="1:6" x14ac:dyDescent="0.3">
      <c r="A2823" s="2"/>
      <c r="B2823" s="65"/>
      <c r="C2823" s="65"/>
      <c r="D2823" s="2"/>
      <c r="E2823" s="2"/>
      <c r="F2823" s="2"/>
    </row>
    <row r="2824" spans="1:6" x14ac:dyDescent="0.3">
      <c r="A2824" s="63"/>
      <c r="B2824" s="64"/>
      <c r="C2824" s="64"/>
      <c r="D2824" s="64"/>
      <c r="E2824" s="63"/>
      <c r="F2824" s="64"/>
    </row>
    <row r="2825" spans="1:6" x14ac:dyDescent="0.3">
      <c r="A2825" s="2"/>
      <c r="B2825" s="65"/>
      <c r="C2825" s="65"/>
      <c r="D2825" s="2"/>
      <c r="E2825" s="2"/>
      <c r="F2825" s="2"/>
    </row>
    <row r="2826" spans="1:6" x14ac:dyDescent="0.3">
      <c r="A2826" s="63"/>
      <c r="B2826" s="64"/>
      <c r="C2826" s="64"/>
      <c r="D2826" s="64"/>
      <c r="E2826" s="63"/>
      <c r="F2826" s="64"/>
    </row>
    <row r="2827" spans="1:6" x14ac:dyDescent="0.3">
      <c r="A2827" s="2"/>
      <c r="B2827" s="65"/>
      <c r="C2827" s="65"/>
      <c r="D2827" s="2"/>
      <c r="E2827" s="2"/>
      <c r="F2827" s="2"/>
    </row>
    <row r="2828" spans="1:6" x14ac:dyDescent="0.3">
      <c r="A2828" s="63"/>
      <c r="B2828" s="64"/>
      <c r="C2828" s="64"/>
      <c r="D2828" s="64"/>
      <c r="E2828" s="63"/>
      <c r="F2828" s="64"/>
    </row>
    <row r="2829" spans="1:6" x14ac:dyDescent="0.3">
      <c r="A2829" s="2"/>
      <c r="B2829" s="65"/>
      <c r="C2829" s="65"/>
      <c r="D2829" s="2"/>
      <c r="E2829" s="2"/>
      <c r="F2829" s="2"/>
    </row>
    <row r="2830" spans="1:6" x14ac:dyDescent="0.3">
      <c r="A2830" s="63"/>
      <c r="B2830" s="64"/>
      <c r="C2830" s="64"/>
      <c r="D2830" s="64"/>
      <c r="E2830" s="63"/>
      <c r="F2830" s="64"/>
    </row>
    <row r="2831" spans="1:6" x14ac:dyDescent="0.3">
      <c r="A2831" s="2"/>
      <c r="B2831" s="65"/>
      <c r="C2831" s="65"/>
      <c r="D2831" s="2"/>
      <c r="E2831" s="2"/>
      <c r="F2831" s="2"/>
    </row>
    <row r="2832" spans="1:6" x14ac:dyDescent="0.3">
      <c r="A2832" s="63"/>
      <c r="B2832" s="64"/>
      <c r="C2832" s="64"/>
      <c r="D2832" s="64"/>
      <c r="E2832" s="63"/>
      <c r="F2832" s="64"/>
    </row>
    <row r="2833" spans="1:6" x14ac:dyDescent="0.3">
      <c r="A2833" s="2"/>
      <c r="B2833" s="65"/>
      <c r="C2833" s="65"/>
      <c r="D2833" s="2"/>
      <c r="E2833" s="2"/>
      <c r="F2833" s="2"/>
    </row>
    <row r="2834" spans="1:6" x14ac:dyDescent="0.3">
      <c r="A2834" s="63"/>
      <c r="B2834" s="64"/>
      <c r="C2834" s="64"/>
      <c r="D2834" s="64"/>
      <c r="E2834" s="63"/>
      <c r="F2834" s="64"/>
    </row>
    <row r="2835" spans="1:6" x14ac:dyDescent="0.3">
      <c r="A2835" s="2"/>
      <c r="B2835" s="65"/>
      <c r="C2835" s="65"/>
      <c r="D2835" s="2"/>
      <c r="E2835" s="2"/>
      <c r="F2835" s="2"/>
    </row>
    <row r="2836" spans="1:6" x14ac:dyDescent="0.3">
      <c r="A2836" s="63"/>
      <c r="B2836" s="64"/>
      <c r="C2836" s="64"/>
      <c r="D2836" s="64"/>
      <c r="E2836" s="63"/>
      <c r="F2836" s="64"/>
    </row>
    <row r="2837" spans="1:6" x14ac:dyDescent="0.3">
      <c r="A2837" s="2"/>
      <c r="B2837" s="65"/>
      <c r="C2837" s="65"/>
      <c r="D2837" s="2"/>
      <c r="E2837" s="2"/>
      <c r="F2837" s="2"/>
    </row>
    <row r="2838" spans="1:6" x14ac:dyDescent="0.3">
      <c r="A2838" s="63"/>
      <c r="B2838" s="64"/>
      <c r="C2838" s="64"/>
      <c r="D2838" s="64"/>
      <c r="E2838" s="63"/>
      <c r="F2838" s="64"/>
    </row>
    <row r="2839" spans="1:6" x14ac:dyDescent="0.3">
      <c r="A2839" s="2"/>
      <c r="B2839" s="65"/>
      <c r="C2839" s="65"/>
      <c r="D2839" s="2"/>
      <c r="E2839" s="2"/>
      <c r="F2839" s="2"/>
    </row>
    <row r="2840" spans="1:6" x14ac:dyDescent="0.3">
      <c r="A2840" s="63"/>
      <c r="B2840" s="64"/>
      <c r="C2840" s="64"/>
      <c r="D2840" s="64"/>
      <c r="E2840" s="63"/>
      <c r="F2840" s="64"/>
    </row>
    <row r="2841" spans="1:6" x14ac:dyDescent="0.3">
      <c r="A2841" s="2"/>
      <c r="B2841" s="65"/>
      <c r="C2841" s="65"/>
      <c r="D2841" s="2"/>
      <c r="E2841" s="2"/>
      <c r="F2841" s="2"/>
    </row>
    <row r="2842" spans="1:6" x14ac:dyDescent="0.3">
      <c r="A2842" s="63"/>
      <c r="B2842" s="64"/>
      <c r="C2842" s="64"/>
      <c r="D2842" s="64"/>
      <c r="E2842" s="63"/>
      <c r="F2842" s="64"/>
    </row>
    <row r="2843" spans="1:6" x14ac:dyDescent="0.3">
      <c r="A2843" s="2"/>
      <c r="B2843" s="65"/>
      <c r="C2843" s="65"/>
      <c r="D2843" s="2"/>
      <c r="E2843" s="2"/>
      <c r="F2843" s="2"/>
    </row>
    <row r="2844" spans="1:6" x14ac:dyDescent="0.3">
      <c r="A2844" s="63"/>
      <c r="B2844" s="64"/>
      <c r="C2844" s="64"/>
      <c r="D2844" s="64"/>
      <c r="E2844" s="63"/>
      <c r="F2844" s="64"/>
    </row>
    <row r="2845" spans="1:6" x14ac:dyDescent="0.3">
      <c r="A2845" s="2"/>
      <c r="B2845" s="65"/>
      <c r="C2845" s="65"/>
      <c r="D2845" s="2"/>
      <c r="E2845" s="2"/>
      <c r="F2845" s="2"/>
    </row>
    <row r="2846" spans="1:6" x14ac:dyDescent="0.3">
      <c r="A2846" s="63"/>
      <c r="B2846" s="64"/>
      <c r="C2846" s="64"/>
      <c r="D2846" s="64"/>
      <c r="E2846" s="63"/>
      <c r="F2846" s="64"/>
    </row>
    <row r="2847" spans="1:6" x14ac:dyDescent="0.3">
      <c r="A2847" s="2"/>
      <c r="B2847" s="65"/>
      <c r="C2847" s="65"/>
      <c r="D2847" s="2"/>
      <c r="E2847" s="2"/>
      <c r="F2847" s="2"/>
    </row>
    <row r="2848" spans="1:6" x14ac:dyDescent="0.3">
      <c r="A2848" s="63"/>
      <c r="B2848" s="64"/>
      <c r="C2848" s="64"/>
      <c r="D2848" s="64"/>
      <c r="E2848" s="63"/>
      <c r="F2848" s="64"/>
    </row>
    <row r="2849" spans="1:6" x14ac:dyDescent="0.3">
      <c r="A2849" s="2"/>
      <c r="B2849" s="65"/>
      <c r="C2849" s="65"/>
      <c r="D2849" s="2"/>
      <c r="E2849" s="2"/>
      <c r="F2849" s="2"/>
    </row>
    <row r="2850" spans="1:6" x14ac:dyDescent="0.3">
      <c r="A2850" s="63"/>
      <c r="B2850" s="64"/>
      <c r="C2850" s="64"/>
      <c r="D2850" s="64"/>
      <c r="E2850" s="63"/>
      <c r="F2850" s="64"/>
    </row>
    <row r="2851" spans="1:6" x14ac:dyDescent="0.3">
      <c r="A2851" s="2"/>
      <c r="B2851" s="65"/>
      <c r="C2851" s="65"/>
      <c r="D2851" s="2"/>
      <c r="E2851" s="2"/>
      <c r="F2851" s="2"/>
    </row>
    <row r="2852" spans="1:6" x14ac:dyDescent="0.3">
      <c r="A2852" s="63"/>
      <c r="B2852" s="64"/>
      <c r="C2852" s="64"/>
      <c r="D2852" s="64"/>
      <c r="E2852" s="63"/>
      <c r="F2852" s="64"/>
    </row>
    <row r="2853" spans="1:6" x14ac:dyDescent="0.3">
      <c r="A2853" s="2"/>
      <c r="B2853" s="65"/>
      <c r="C2853" s="65"/>
      <c r="D2853" s="2"/>
      <c r="E2853" s="2"/>
      <c r="F2853" s="2"/>
    </row>
    <row r="2854" spans="1:6" x14ac:dyDescent="0.3">
      <c r="A2854" s="63"/>
      <c r="B2854" s="64"/>
      <c r="C2854" s="64"/>
      <c r="D2854" s="64"/>
      <c r="E2854" s="63"/>
      <c r="F2854" s="64"/>
    </row>
    <row r="2855" spans="1:6" x14ac:dyDescent="0.3">
      <c r="A2855" s="2"/>
      <c r="B2855" s="65"/>
      <c r="C2855" s="65"/>
      <c r="D2855" s="2"/>
      <c r="E2855" s="2"/>
      <c r="F2855" s="2"/>
    </row>
    <row r="2856" spans="1:6" x14ac:dyDescent="0.3">
      <c r="A2856" s="63"/>
      <c r="B2856" s="64"/>
      <c r="C2856" s="64"/>
      <c r="D2856" s="64"/>
      <c r="E2856" s="63"/>
      <c r="F2856" s="64"/>
    </row>
    <row r="2857" spans="1:6" x14ac:dyDescent="0.3">
      <c r="A2857" s="2"/>
      <c r="B2857" s="65"/>
      <c r="C2857" s="65"/>
      <c r="D2857" s="2"/>
      <c r="E2857" s="2"/>
      <c r="F2857" s="2"/>
    </row>
    <row r="2858" spans="1:6" x14ac:dyDescent="0.3">
      <c r="A2858" s="63"/>
      <c r="B2858" s="64"/>
      <c r="C2858" s="64"/>
      <c r="D2858" s="64"/>
      <c r="E2858" s="63"/>
      <c r="F2858" s="64"/>
    </row>
    <row r="2859" spans="1:6" x14ac:dyDescent="0.3">
      <c r="A2859" s="2"/>
      <c r="B2859" s="65"/>
      <c r="C2859" s="65"/>
      <c r="D2859" s="2"/>
      <c r="E2859" s="2"/>
      <c r="F2859" s="2"/>
    </row>
    <row r="2860" spans="1:6" x14ac:dyDescent="0.3">
      <c r="A2860" s="63"/>
      <c r="B2860" s="64"/>
      <c r="C2860" s="64"/>
      <c r="D2860" s="64"/>
      <c r="E2860" s="63"/>
      <c r="F2860" s="64"/>
    </row>
    <row r="2861" spans="1:6" x14ac:dyDescent="0.3">
      <c r="A2861" s="2"/>
      <c r="B2861" s="65"/>
      <c r="C2861" s="65"/>
      <c r="D2861" s="2"/>
      <c r="E2861" s="2"/>
      <c r="F2861" s="2"/>
    </row>
    <row r="2862" spans="1:6" x14ac:dyDescent="0.3">
      <c r="A2862" s="63"/>
      <c r="B2862" s="64"/>
      <c r="C2862" s="64"/>
      <c r="D2862" s="64"/>
      <c r="E2862" s="63"/>
      <c r="F2862" s="64"/>
    </row>
    <row r="2863" spans="1:6" x14ac:dyDescent="0.3">
      <c r="A2863" s="2"/>
      <c r="B2863" s="65"/>
      <c r="C2863" s="65"/>
      <c r="D2863" s="2"/>
      <c r="E2863" s="2"/>
      <c r="F2863" s="2"/>
    </row>
    <row r="2864" spans="1:6" x14ac:dyDescent="0.3">
      <c r="A2864" s="63"/>
      <c r="B2864" s="64"/>
      <c r="C2864" s="64"/>
      <c r="D2864" s="64"/>
      <c r="E2864" s="63"/>
      <c r="F2864" s="64"/>
    </row>
    <row r="2865" spans="1:6" x14ac:dyDescent="0.3">
      <c r="A2865" s="2"/>
      <c r="B2865" s="65"/>
      <c r="C2865" s="65"/>
      <c r="D2865" s="2"/>
      <c r="E2865" s="2"/>
      <c r="F2865" s="2"/>
    </row>
    <row r="2866" spans="1:6" x14ac:dyDescent="0.3">
      <c r="A2866" s="63"/>
      <c r="B2866" s="64"/>
      <c r="C2866" s="64"/>
      <c r="D2866" s="64"/>
      <c r="E2866" s="63"/>
      <c r="F2866" s="64"/>
    </row>
    <row r="2867" spans="1:6" x14ac:dyDescent="0.3">
      <c r="A2867" s="2"/>
      <c r="B2867" s="65"/>
      <c r="C2867" s="65"/>
      <c r="D2867" s="2"/>
      <c r="E2867" s="2"/>
      <c r="F2867" s="2"/>
    </row>
    <row r="2868" spans="1:6" x14ac:dyDescent="0.3">
      <c r="A2868" s="63"/>
      <c r="B2868" s="64"/>
      <c r="C2868" s="64"/>
      <c r="D2868" s="64"/>
      <c r="E2868" s="63"/>
      <c r="F2868" s="64"/>
    </row>
    <row r="2869" spans="1:6" x14ac:dyDescent="0.3">
      <c r="A2869" s="2"/>
      <c r="B2869" s="65"/>
      <c r="C2869" s="65"/>
      <c r="D2869" s="2"/>
      <c r="E2869" s="2"/>
      <c r="F2869" s="2"/>
    </row>
    <row r="2870" spans="1:6" x14ac:dyDescent="0.3">
      <c r="A2870" s="63"/>
      <c r="B2870" s="64"/>
      <c r="C2870" s="64"/>
      <c r="D2870" s="64"/>
      <c r="E2870" s="63"/>
      <c r="F2870" s="64"/>
    </row>
    <row r="2871" spans="1:6" x14ac:dyDescent="0.3">
      <c r="A2871" s="2"/>
      <c r="B2871" s="65"/>
      <c r="C2871" s="65"/>
      <c r="D2871" s="2"/>
      <c r="E2871" s="2"/>
      <c r="F2871" s="2"/>
    </row>
    <row r="2872" spans="1:6" x14ac:dyDescent="0.3">
      <c r="A2872" s="63"/>
      <c r="B2872" s="64"/>
      <c r="C2872" s="64"/>
      <c r="D2872" s="64"/>
      <c r="E2872" s="63"/>
      <c r="F2872" s="64"/>
    </row>
    <row r="2873" spans="1:6" x14ac:dyDescent="0.3">
      <c r="A2873" s="2"/>
      <c r="B2873" s="65"/>
      <c r="C2873" s="65"/>
      <c r="D2873" s="2"/>
      <c r="E2873" s="2"/>
      <c r="F2873" s="2"/>
    </row>
    <row r="2874" spans="1:6" x14ac:dyDescent="0.3">
      <c r="A2874" s="63"/>
      <c r="B2874" s="64"/>
      <c r="C2874" s="64"/>
      <c r="D2874" s="64"/>
      <c r="E2874" s="63"/>
      <c r="F2874" s="64"/>
    </row>
    <row r="2875" spans="1:6" x14ac:dyDescent="0.3">
      <c r="A2875" s="2"/>
      <c r="B2875" s="65"/>
      <c r="C2875" s="65"/>
      <c r="D2875" s="2"/>
      <c r="E2875" s="2"/>
      <c r="F2875" s="2"/>
    </row>
    <row r="2876" spans="1:6" x14ac:dyDescent="0.3">
      <c r="A2876" s="63"/>
      <c r="B2876" s="64"/>
      <c r="C2876" s="64"/>
      <c r="D2876" s="64"/>
      <c r="E2876" s="63"/>
      <c r="F2876" s="64"/>
    </row>
    <row r="2877" spans="1:6" x14ac:dyDescent="0.3">
      <c r="A2877" s="2"/>
      <c r="B2877" s="65"/>
      <c r="C2877" s="65"/>
      <c r="D2877" s="2"/>
      <c r="E2877" s="2"/>
      <c r="F2877" s="2"/>
    </row>
    <row r="2878" spans="1:6" x14ac:dyDescent="0.3">
      <c r="A2878" s="63"/>
      <c r="B2878" s="64"/>
      <c r="C2878" s="64"/>
      <c r="D2878" s="64"/>
      <c r="E2878" s="63"/>
      <c r="F2878" s="64"/>
    </row>
    <row r="2879" spans="1:6" x14ac:dyDescent="0.3">
      <c r="A2879" s="2"/>
      <c r="B2879" s="65"/>
      <c r="C2879" s="65"/>
      <c r="D2879" s="2"/>
      <c r="E2879" s="2"/>
      <c r="F2879" s="2"/>
    </row>
    <row r="2880" spans="1:6" x14ac:dyDescent="0.3">
      <c r="A2880" s="63"/>
      <c r="B2880" s="64"/>
      <c r="C2880" s="64"/>
      <c r="D2880" s="64"/>
      <c r="E2880" s="63"/>
      <c r="F2880" s="64"/>
    </row>
    <row r="2881" spans="1:6" x14ac:dyDescent="0.3">
      <c r="A2881" s="2"/>
      <c r="B2881" s="65"/>
      <c r="C2881" s="65"/>
      <c r="D2881" s="2"/>
      <c r="E2881" s="2"/>
      <c r="F2881" s="2"/>
    </row>
    <row r="2882" spans="1:6" x14ac:dyDescent="0.3">
      <c r="A2882" s="63"/>
      <c r="B2882" s="64"/>
      <c r="C2882" s="64"/>
      <c r="D2882" s="64"/>
      <c r="E2882" s="63"/>
      <c r="F2882" s="64"/>
    </row>
    <row r="2883" spans="1:6" x14ac:dyDescent="0.3">
      <c r="A2883" s="2"/>
      <c r="B2883" s="65"/>
      <c r="C2883" s="65"/>
      <c r="D2883" s="2"/>
      <c r="E2883" s="2"/>
      <c r="F2883" s="2"/>
    </row>
    <row r="2884" spans="1:6" x14ac:dyDescent="0.3">
      <c r="A2884" s="63"/>
      <c r="B2884" s="64"/>
      <c r="C2884" s="64"/>
      <c r="D2884" s="64"/>
      <c r="E2884" s="63"/>
      <c r="F2884" s="64"/>
    </row>
    <row r="2885" spans="1:6" x14ac:dyDescent="0.3">
      <c r="A2885" s="2"/>
      <c r="B2885" s="65"/>
      <c r="C2885" s="65"/>
      <c r="D2885" s="2"/>
      <c r="E2885" s="2"/>
      <c r="F2885" s="2"/>
    </row>
    <row r="2886" spans="1:6" x14ac:dyDescent="0.3">
      <c r="A2886" s="63"/>
      <c r="B2886" s="64"/>
      <c r="C2886" s="64"/>
      <c r="D2886" s="64"/>
      <c r="E2886" s="63"/>
      <c r="F2886" s="64"/>
    </row>
    <row r="2887" spans="1:6" x14ac:dyDescent="0.3">
      <c r="A2887" s="2"/>
      <c r="B2887" s="65"/>
      <c r="C2887" s="65"/>
      <c r="D2887" s="2"/>
      <c r="E2887" s="2"/>
      <c r="F2887" s="2"/>
    </row>
    <row r="2888" spans="1:6" x14ac:dyDescent="0.3">
      <c r="A2888" s="63"/>
      <c r="B2888" s="64"/>
      <c r="C2888" s="64"/>
      <c r="D2888" s="64"/>
      <c r="E2888" s="63"/>
      <c r="F2888" s="64"/>
    </row>
    <row r="2889" spans="1:6" x14ac:dyDescent="0.3">
      <c r="A2889" s="2"/>
      <c r="B2889" s="65"/>
      <c r="C2889" s="65"/>
      <c r="D2889" s="2"/>
      <c r="E2889" s="2"/>
      <c r="F2889" s="2"/>
    </row>
    <row r="2890" spans="1:6" x14ac:dyDescent="0.3">
      <c r="A2890" s="63"/>
      <c r="B2890" s="64"/>
      <c r="C2890" s="64"/>
      <c r="D2890" s="64"/>
      <c r="E2890" s="63"/>
      <c r="F2890" s="64"/>
    </row>
    <row r="2891" spans="1:6" x14ac:dyDescent="0.3">
      <c r="A2891" s="2"/>
      <c r="B2891" s="65"/>
      <c r="C2891" s="65"/>
      <c r="D2891" s="2"/>
      <c r="E2891" s="2"/>
      <c r="F2891" s="2"/>
    </row>
    <row r="2892" spans="1:6" x14ac:dyDescent="0.3">
      <c r="A2892" s="63"/>
      <c r="B2892" s="64"/>
      <c r="C2892" s="64"/>
      <c r="D2892" s="64"/>
      <c r="E2892" s="63"/>
      <c r="F2892" s="64"/>
    </row>
    <row r="2893" spans="1:6" x14ac:dyDescent="0.3">
      <c r="A2893" s="2"/>
      <c r="B2893" s="65"/>
      <c r="C2893" s="65"/>
      <c r="D2893" s="2"/>
      <c r="E2893" s="2"/>
      <c r="F2893" s="2"/>
    </row>
    <row r="2894" spans="1:6" x14ac:dyDescent="0.3">
      <c r="A2894" s="63"/>
      <c r="B2894" s="64"/>
      <c r="C2894" s="64"/>
      <c r="D2894" s="64"/>
      <c r="E2894" s="63"/>
      <c r="F2894" s="64"/>
    </row>
    <row r="2895" spans="1:6" x14ac:dyDescent="0.3">
      <c r="A2895" s="2"/>
      <c r="B2895" s="65"/>
      <c r="C2895" s="65"/>
      <c r="D2895" s="2"/>
      <c r="E2895" s="2"/>
      <c r="F2895" s="2"/>
    </row>
    <row r="2896" spans="1:6" x14ac:dyDescent="0.3">
      <c r="A2896" s="63"/>
      <c r="B2896" s="64"/>
      <c r="C2896" s="64"/>
      <c r="D2896" s="64"/>
      <c r="E2896" s="63"/>
      <c r="F2896" s="64"/>
    </row>
    <row r="2897" spans="1:6" x14ac:dyDescent="0.3">
      <c r="A2897" s="2"/>
      <c r="B2897" s="65"/>
      <c r="C2897" s="65"/>
      <c r="D2897" s="2"/>
      <c r="E2897" s="2"/>
      <c r="F2897" s="2"/>
    </row>
    <row r="2898" spans="1:6" x14ac:dyDescent="0.3">
      <c r="A2898" s="63"/>
      <c r="B2898" s="64"/>
      <c r="C2898" s="64"/>
      <c r="D2898" s="64"/>
      <c r="E2898" s="63"/>
      <c r="F2898" s="64"/>
    </row>
    <row r="2899" spans="1:6" x14ac:dyDescent="0.3">
      <c r="A2899" s="2"/>
      <c r="B2899" s="65"/>
      <c r="C2899" s="65"/>
      <c r="D2899" s="2"/>
      <c r="E2899" s="2"/>
      <c r="F2899" s="2"/>
    </row>
    <row r="2900" spans="1:6" x14ac:dyDescent="0.3">
      <c r="A2900" s="63"/>
      <c r="B2900" s="64"/>
      <c r="C2900" s="64"/>
      <c r="D2900" s="64"/>
      <c r="E2900" s="63"/>
      <c r="F2900" s="64"/>
    </row>
    <row r="2901" spans="1:6" x14ac:dyDescent="0.3">
      <c r="A2901" s="2"/>
      <c r="B2901" s="65"/>
      <c r="C2901" s="65"/>
      <c r="D2901" s="2"/>
      <c r="E2901" s="2"/>
      <c r="F2901" s="2"/>
    </row>
    <row r="2902" spans="1:6" x14ac:dyDescent="0.3">
      <c r="A2902" s="63"/>
      <c r="B2902" s="64"/>
      <c r="C2902" s="64"/>
      <c r="D2902" s="64"/>
      <c r="E2902" s="63"/>
      <c r="F2902" s="64"/>
    </row>
    <row r="2903" spans="1:6" x14ac:dyDescent="0.3">
      <c r="A2903" s="2"/>
      <c r="B2903" s="65"/>
      <c r="C2903" s="65"/>
      <c r="D2903" s="2"/>
      <c r="E2903" s="2"/>
      <c r="F2903" s="2"/>
    </row>
    <row r="2904" spans="1:6" x14ac:dyDescent="0.3">
      <c r="A2904" s="63"/>
      <c r="B2904" s="64"/>
      <c r="C2904" s="64"/>
      <c r="D2904" s="64"/>
      <c r="E2904" s="63"/>
      <c r="F2904" s="64"/>
    </row>
    <row r="2905" spans="1:6" x14ac:dyDescent="0.3">
      <c r="A2905" s="2"/>
      <c r="B2905" s="65"/>
      <c r="C2905" s="65"/>
      <c r="D2905" s="2"/>
      <c r="E2905" s="2"/>
      <c r="F2905" s="2"/>
    </row>
    <row r="2906" spans="1:6" x14ac:dyDescent="0.3">
      <c r="A2906" s="63"/>
      <c r="B2906" s="64"/>
      <c r="C2906" s="64"/>
      <c r="D2906" s="64"/>
      <c r="E2906" s="63"/>
      <c r="F2906" s="64"/>
    </row>
    <row r="2907" spans="1:6" x14ac:dyDescent="0.3">
      <c r="A2907" s="2"/>
      <c r="B2907" s="65"/>
      <c r="C2907" s="65"/>
      <c r="D2907" s="2"/>
      <c r="E2907" s="2"/>
      <c r="F2907" s="2"/>
    </row>
    <row r="2908" spans="1:6" x14ac:dyDescent="0.3">
      <c r="A2908" s="63"/>
      <c r="B2908" s="64"/>
      <c r="C2908" s="64"/>
      <c r="D2908" s="64"/>
      <c r="E2908" s="63"/>
      <c r="F2908" s="64"/>
    </row>
    <row r="2909" spans="1:6" x14ac:dyDescent="0.3">
      <c r="A2909" s="2"/>
      <c r="B2909" s="65"/>
      <c r="C2909" s="65"/>
      <c r="D2909" s="2"/>
      <c r="E2909" s="2"/>
      <c r="F2909" s="2"/>
    </row>
    <row r="2910" spans="1:6" x14ac:dyDescent="0.3">
      <c r="A2910" s="63"/>
      <c r="B2910" s="64"/>
      <c r="C2910" s="64"/>
      <c r="D2910" s="64"/>
      <c r="E2910" s="63"/>
      <c r="F2910" s="64"/>
    </row>
    <row r="2911" spans="1:6" x14ac:dyDescent="0.3">
      <c r="A2911" s="2"/>
      <c r="B2911" s="65"/>
      <c r="C2911" s="65"/>
      <c r="D2911" s="2"/>
      <c r="E2911" s="2"/>
      <c r="F2911" s="2"/>
    </row>
    <row r="2912" spans="1:6" x14ac:dyDescent="0.3">
      <c r="A2912" s="63"/>
      <c r="B2912" s="64"/>
      <c r="C2912" s="64"/>
      <c r="D2912" s="64"/>
      <c r="E2912" s="63"/>
      <c r="F2912" s="64"/>
    </row>
    <row r="2913" spans="1:6" x14ac:dyDescent="0.3">
      <c r="A2913" s="2"/>
      <c r="B2913" s="65"/>
      <c r="C2913" s="65"/>
      <c r="D2913" s="2"/>
      <c r="E2913" s="2"/>
      <c r="F2913" s="2"/>
    </row>
    <row r="2914" spans="1:6" x14ac:dyDescent="0.3">
      <c r="A2914" s="63"/>
      <c r="B2914" s="64"/>
      <c r="C2914" s="64"/>
      <c r="D2914" s="64"/>
      <c r="E2914" s="63"/>
      <c r="F2914" s="64"/>
    </row>
    <row r="2915" spans="1:6" x14ac:dyDescent="0.3">
      <c r="A2915" s="2"/>
      <c r="B2915" s="65"/>
      <c r="C2915" s="65"/>
      <c r="D2915" s="2"/>
      <c r="E2915" s="2"/>
      <c r="F2915" s="2"/>
    </row>
    <row r="2916" spans="1:6" x14ac:dyDescent="0.3">
      <c r="A2916" s="63"/>
      <c r="B2916" s="64"/>
      <c r="C2916" s="64"/>
      <c r="D2916" s="64"/>
      <c r="E2916" s="63"/>
      <c r="F2916" s="64"/>
    </row>
    <row r="2917" spans="1:6" x14ac:dyDescent="0.3">
      <c r="A2917" s="2"/>
      <c r="B2917" s="65"/>
      <c r="C2917" s="65"/>
      <c r="D2917" s="2"/>
      <c r="E2917" s="2"/>
      <c r="F2917" s="2"/>
    </row>
    <row r="2918" spans="1:6" x14ac:dyDescent="0.3">
      <c r="A2918" s="63"/>
      <c r="B2918" s="64"/>
      <c r="C2918" s="64"/>
      <c r="D2918" s="64"/>
      <c r="E2918" s="63"/>
      <c r="F2918" s="64"/>
    </row>
    <row r="2919" spans="1:6" x14ac:dyDescent="0.3">
      <c r="A2919" s="2"/>
      <c r="B2919" s="65"/>
      <c r="C2919" s="65"/>
      <c r="D2919" s="2"/>
      <c r="E2919" s="2"/>
      <c r="F2919" s="2"/>
    </row>
    <row r="2920" spans="1:6" x14ac:dyDescent="0.3">
      <c r="A2920" s="63"/>
      <c r="B2920" s="64"/>
      <c r="C2920" s="64"/>
      <c r="D2920" s="64"/>
      <c r="E2920" s="63"/>
      <c r="F2920" s="64"/>
    </row>
    <row r="2921" spans="1:6" x14ac:dyDescent="0.3">
      <c r="A2921" s="2"/>
      <c r="B2921" s="65"/>
      <c r="C2921" s="65"/>
      <c r="D2921" s="2"/>
      <c r="E2921" s="2"/>
      <c r="F2921" s="2"/>
    </row>
    <row r="2922" spans="1:6" x14ac:dyDescent="0.3">
      <c r="A2922" s="63"/>
      <c r="B2922" s="64"/>
      <c r="C2922" s="64"/>
      <c r="D2922" s="64"/>
      <c r="E2922" s="63"/>
      <c r="F2922" s="64"/>
    </row>
    <row r="2923" spans="1:6" x14ac:dyDescent="0.3">
      <c r="A2923" s="2"/>
      <c r="B2923" s="65"/>
      <c r="C2923" s="65"/>
      <c r="D2923" s="2"/>
      <c r="E2923" s="2"/>
      <c r="F2923" s="2"/>
    </row>
    <row r="2924" spans="1:6" x14ac:dyDescent="0.3">
      <c r="A2924" s="63"/>
      <c r="B2924" s="64"/>
      <c r="C2924" s="64"/>
      <c r="D2924" s="64"/>
      <c r="E2924" s="63"/>
      <c r="F2924" s="64"/>
    </row>
    <row r="2925" spans="1:6" x14ac:dyDescent="0.3">
      <c r="A2925" s="2"/>
      <c r="B2925" s="65"/>
      <c r="C2925" s="65"/>
      <c r="D2925" s="2"/>
      <c r="E2925" s="2"/>
      <c r="F2925" s="2"/>
    </row>
    <row r="2926" spans="1:6" x14ac:dyDescent="0.3">
      <c r="A2926" s="63"/>
      <c r="B2926" s="64"/>
      <c r="C2926" s="64"/>
      <c r="D2926" s="64"/>
      <c r="E2926" s="63"/>
      <c r="F2926" s="64"/>
    </row>
    <row r="2927" spans="1:6" x14ac:dyDescent="0.3">
      <c r="A2927" s="2"/>
      <c r="B2927" s="65"/>
      <c r="C2927" s="65"/>
      <c r="D2927" s="2"/>
      <c r="E2927" s="2"/>
      <c r="F2927" s="2"/>
    </row>
    <row r="2928" spans="1:6" x14ac:dyDescent="0.3">
      <c r="A2928" s="63"/>
      <c r="B2928" s="64"/>
      <c r="C2928" s="64"/>
      <c r="D2928" s="64"/>
      <c r="E2928" s="63"/>
      <c r="F2928" s="64"/>
    </row>
    <row r="2929" spans="1:6" x14ac:dyDescent="0.3">
      <c r="A2929" s="2"/>
      <c r="B2929" s="65"/>
      <c r="C2929" s="65"/>
      <c r="D2929" s="2"/>
      <c r="E2929" s="2"/>
      <c r="F2929" s="2"/>
    </row>
    <row r="2930" spans="1:6" x14ac:dyDescent="0.3">
      <c r="A2930" s="63"/>
      <c r="B2930" s="64"/>
      <c r="C2930" s="64"/>
      <c r="D2930" s="64"/>
      <c r="E2930" s="63"/>
      <c r="F2930" s="64"/>
    </row>
    <row r="2931" spans="1:6" x14ac:dyDescent="0.3">
      <c r="A2931" s="2"/>
      <c r="B2931" s="65"/>
      <c r="C2931" s="65"/>
      <c r="D2931" s="2"/>
      <c r="E2931" s="2"/>
      <c r="F2931" s="2"/>
    </row>
    <row r="2932" spans="1:6" x14ac:dyDescent="0.3">
      <c r="A2932" s="63"/>
      <c r="B2932" s="64"/>
      <c r="C2932" s="64"/>
      <c r="D2932" s="64"/>
      <c r="E2932" s="63"/>
      <c r="F2932" s="64"/>
    </row>
    <row r="2933" spans="1:6" x14ac:dyDescent="0.3">
      <c r="A2933" s="2"/>
      <c r="B2933" s="65"/>
      <c r="C2933" s="65"/>
      <c r="D2933" s="2"/>
      <c r="E2933" s="2"/>
      <c r="F2933" s="2"/>
    </row>
    <row r="2934" spans="1:6" x14ac:dyDescent="0.3">
      <c r="A2934" s="63"/>
      <c r="B2934" s="64"/>
      <c r="C2934" s="64"/>
      <c r="D2934" s="64"/>
      <c r="E2934" s="63"/>
      <c r="F2934" s="64"/>
    </row>
    <row r="2935" spans="1:6" x14ac:dyDescent="0.3">
      <c r="A2935" s="2"/>
      <c r="B2935" s="65"/>
      <c r="C2935" s="65"/>
      <c r="D2935" s="2"/>
      <c r="E2935" s="2"/>
      <c r="F2935" s="2"/>
    </row>
    <row r="2936" spans="1:6" x14ac:dyDescent="0.3">
      <c r="A2936" s="63"/>
      <c r="B2936" s="64"/>
      <c r="C2936" s="64"/>
      <c r="D2936" s="64"/>
      <c r="E2936" s="63"/>
      <c r="F2936" s="64"/>
    </row>
    <row r="2937" spans="1:6" x14ac:dyDescent="0.3">
      <c r="A2937" s="2"/>
      <c r="B2937" s="65"/>
      <c r="C2937" s="65"/>
      <c r="D2937" s="2"/>
      <c r="E2937" s="2"/>
      <c r="F2937" s="2"/>
    </row>
    <row r="2938" spans="1:6" x14ac:dyDescent="0.3">
      <c r="A2938" s="63"/>
      <c r="B2938" s="64"/>
      <c r="C2938" s="64"/>
      <c r="D2938" s="64"/>
      <c r="E2938" s="63"/>
      <c r="F2938" s="64"/>
    </row>
    <row r="2939" spans="1:6" x14ac:dyDescent="0.3">
      <c r="A2939" s="2"/>
      <c r="B2939" s="65"/>
      <c r="C2939" s="65"/>
      <c r="D2939" s="2"/>
      <c r="E2939" s="2"/>
      <c r="F2939" s="2"/>
    </row>
    <row r="2940" spans="1:6" x14ac:dyDescent="0.3">
      <c r="A2940" s="63"/>
      <c r="B2940" s="64"/>
      <c r="C2940" s="64"/>
      <c r="D2940" s="64"/>
      <c r="E2940" s="63"/>
      <c r="F2940" s="64"/>
    </row>
    <row r="2941" spans="1:6" x14ac:dyDescent="0.3">
      <c r="A2941" s="2"/>
      <c r="B2941" s="65"/>
      <c r="C2941" s="65"/>
      <c r="D2941" s="2"/>
      <c r="E2941" s="2"/>
      <c r="F2941" s="2"/>
    </row>
    <row r="2942" spans="1:6" x14ac:dyDescent="0.3">
      <c r="A2942" s="63"/>
      <c r="B2942" s="64"/>
      <c r="C2942" s="64"/>
      <c r="D2942" s="64"/>
      <c r="E2942" s="63"/>
      <c r="F2942" s="64"/>
    </row>
    <row r="2943" spans="1:6" x14ac:dyDescent="0.3">
      <c r="A2943" s="2"/>
      <c r="B2943" s="65"/>
      <c r="C2943" s="65"/>
      <c r="D2943" s="2"/>
      <c r="E2943" s="2"/>
      <c r="F2943" s="2"/>
    </row>
    <row r="2944" spans="1:6" x14ac:dyDescent="0.3">
      <c r="A2944" s="63"/>
      <c r="B2944" s="64"/>
      <c r="C2944" s="64"/>
      <c r="D2944" s="64"/>
      <c r="E2944" s="63"/>
      <c r="F2944" s="64"/>
    </row>
    <row r="2945" spans="1:6" x14ac:dyDescent="0.3">
      <c r="A2945" s="2"/>
      <c r="B2945" s="65"/>
      <c r="C2945" s="65"/>
      <c r="D2945" s="2"/>
      <c r="E2945" s="2"/>
      <c r="F2945" s="2"/>
    </row>
    <row r="2946" spans="1:6" x14ac:dyDescent="0.3">
      <c r="A2946" s="63"/>
      <c r="B2946" s="64"/>
      <c r="C2946" s="64"/>
      <c r="D2946" s="64"/>
      <c r="E2946" s="63"/>
      <c r="F2946" s="64"/>
    </row>
    <row r="2947" spans="1:6" x14ac:dyDescent="0.3">
      <c r="A2947" s="2"/>
      <c r="B2947" s="65"/>
      <c r="C2947" s="65"/>
      <c r="D2947" s="2"/>
      <c r="E2947" s="2"/>
      <c r="F2947" s="2"/>
    </row>
    <row r="2948" spans="1:6" x14ac:dyDescent="0.3">
      <c r="A2948" s="63"/>
      <c r="B2948" s="64"/>
      <c r="C2948" s="64"/>
      <c r="D2948" s="64"/>
      <c r="E2948" s="63"/>
      <c r="F2948" s="64"/>
    </row>
    <row r="2949" spans="1:6" x14ac:dyDescent="0.3">
      <c r="A2949" s="2"/>
      <c r="B2949" s="65"/>
      <c r="C2949" s="65"/>
      <c r="D2949" s="2"/>
      <c r="E2949" s="2"/>
      <c r="F2949" s="2"/>
    </row>
    <row r="2950" spans="1:6" x14ac:dyDescent="0.3">
      <c r="A2950" s="63"/>
      <c r="B2950" s="64"/>
      <c r="C2950" s="64"/>
      <c r="D2950" s="64"/>
      <c r="E2950" s="63"/>
      <c r="F2950" s="64"/>
    </row>
    <row r="2951" spans="1:6" x14ac:dyDescent="0.3">
      <c r="A2951" s="2"/>
      <c r="B2951" s="65"/>
      <c r="C2951" s="65"/>
      <c r="D2951" s="2"/>
      <c r="E2951" s="2"/>
      <c r="F2951" s="2"/>
    </row>
    <row r="2952" spans="1:6" x14ac:dyDescent="0.3">
      <c r="A2952" s="63"/>
      <c r="B2952" s="64"/>
      <c r="C2952" s="64"/>
      <c r="D2952" s="64"/>
      <c r="E2952" s="63"/>
      <c r="F2952" s="64"/>
    </row>
    <row r="2953" spans="1:6" x14ac:dyDescent="0.3">
      <c r="A2953" s="2"/>
      <c r="B2953" s="65"/>
      <c r="C2953" s="65"/>
      <c r="D2953" s="2"/>
      <c r="E2953" s="2"/>
      <c r="F2953" s="2"/>
    </row>
    <row r="2954" spans="1:6" x14ac:dyDescent="0.3">
      <c r="A2954" s="63"/>
      <c r="B2954" s="64"/>
      <c r="C2954" s="64"/>
      <c r="D2954" s="64"/>
      <c r="E2954" s="63"/>
      <c r="F2954" s="64"/>
    </row>
    <row r="2955" spans="1:6" x14ac:dyDescent="0.3">
      <c r="A2955" s="2"/>
      <c r="B2955" s="65"/>
      <c r="C2955" s="65"/>
      <c r="D2955" s="2"/>
      <c r="E2955" s="2"/>
      <c r="F2955" s="2"/>
    </row>
    <row r="2956" spans="1:6" x14ac:dyDescent="0.3">
      <c r="A2956" s="63"/>
      <c r="B2956" s="64"/>
      <c r="C2956" s="64"/>
      <c r="D2956" s="64"/>
      <c r="E2956" s="63"/>
      <c r="F2956" s="64"/>
    </row>
    <row r="2957" spans="1:6" x14ac:dyDescent="0.3">
      <c r="A2957" s="2"/>
      <c r="B2957" s="65"/>
      <c r="C2957" s="65"/>
      <c r="D2957" s="2"/>
      <c r="E2957" s="2"/>
      <c r="F2957" s="2"/>
    </row>
    <row r="2958" spans="1:6" x14ac:dyDescent="0.3">
      <c r="A2958" s="63"/>
      <c r="B2958" s="64"/>
      <c r="C2958" s="64"/>
      <c r="D2958" s="64"/>
      <c r="E2958" s="63"/>
      <c r="F2958" s="64"/>
    </row>
    <row r="2959" spans="1:6" x14ac:dyDescent="0.3">
      <c r="A2959" s="2"/>
      <c r="B2959" s="65"/>
      <c r="C2959" s="65"/>
      <c r="D2959" s="2"/>
      <c r="E2959" s="2"/>
      <c r="F2959" s="2"/>
    </row>
    <row r="2960" spans="1:6" x14ac:dyDescent="0.3">
      <c r="A2960" s="63"/>
      <c r="B2960" s="64"/>
      <c r="C2960" s="64"/>
      <c r="D2960" s="64"/>
      <c r="E2960" s="63"/>
      <c r="F2960" s="64"/>
    </row>
    <row r="2961" spans="1:6" x14ac:dyDescent="0.3">
      <c r="A2961" s="2"/>
      <c r="B2961" s="65"/>
      <c r="C2961" s="65"/>
      <c r="D2961" s="2"/>
      <c r="E2961" s="2"/>
      <c r="F2961" s="2"/>
    </row>
    <row r="2962" spans="1:6" x14ac:dyDescent="0.3">
      <c r="A2962" s="63"/>
      <c r="B2962" s="64"/>
      <c r="C2962" s="64"/>
      <c r="D2962" s="64"/>
      <c r="E2962" s="63"/>
      <c r="F2962" s="64"/>
    </row>
    <row r="2963" spans="1:6" x14ac:dyDescent="0.3">
      <c r="A2963" s="2"/>
      <c r="B2963" s="65"/>
      <c r="C2963" s="65"/>
      <c r="D2963" s="2"/>
      <c r="E2963" s="2"/>
      <c r="F2963" s="2"/>
    </row>
    <row r="2964" spans="1:6" x14ac:dyDescent="0.3">
      <c r="A2964" s="63"/>
      <c r="B2964" s="64"/>
      <c r="C2964" s="64"/>
      <c r="D2964" s="64"/>
      <c r="E2964" s="63"/>
      <c r="F2964" s="64"/>
    </row>
    <row r="2965" spans="1:6" x14ac:dyDescent="0.3">
      <c r="A2965" s="2"/>
      <c r="B2965" s="65"/>
      <c r="C2965" s="65"/>
      <c r="D2965" s="2"/>
      <c r="E2965" s="2"/>
      <c r="F2965" s="2"/>
    </row>
    <row r="2966" spans="1:6" x14ac:dyDescent="0.3">
      <c r="A2966" s="63"/>
      <c r="B2966" s="64"/>
      <c r="C2966" s="64"/>
      <c r="D2966" s="64"/>
      <c r="E2966" s="63"/>
      <c r="F2966" s="64"/>
    </row>
    <row r="2967" spans="1:6" x14ac:dyDescent="0.3">
      <c r="A2967" s="2"/>
      <c r="B2967" s="65"/>
      <c r="C2967" s="65"/>
      <c r="D2967" s="2"/>
      <c r="E2967" s="2"/>
      <c r="F2967" s="2"/>
    </row>
    <row r="2968" spans="1:6" x14ac:dyDescent="0.3">
      <c r="A2968" s="63"/>
      <c r="B2968" s="64"/>
      <c r="C2968" s="64"/>
      <c r="D2968" s="64"/>
      <c r="E2968" s="63"/>
      <c r="F2968" s="64"/>
    </row>
    <row r="2969" spans="1:6" x14ac:dyDescent="0.3">
      <c r="A2969" s="2"/>
      <c r="B2969" s="65"/>
      <c r="C2969" s="65"/>
      <c r="D2969" s="2"/>
      <c r="E2969" s="2"/>
      <c r="F2969" s="2"/>
    </row>
    <row r="2970" spans="1:6" x14ac:dyDescent="0.3">
      <c r="A2970" s="63"/>
      <c r="B2970" s="64"/>
      <c r="C2970" s="64"/>
      <c r="D2970" s="64"/>
      <c r="E2970" s="63"/>
      <c r="F2970" s="64"/>
    </row>
    <row r="2971" spans="1:6" x14ac:dyDescent="0.3">
      <c r="A2971" s="2"/>
      <c r="B2971" s="65"/>
      <c r="C2971" s="65"/>
      <c r="D2971" s="2"/>
      <c r="E2971" s="2"/>
      <c r="F2971" s="2"/>
    </row>
    <row r="2972" spans="1:6" x14ac:dyDescent="0.3">
      <c r="A2972" s="63"/>
      <c r="B2972" s="64"/>
      <c r="C2972" s="64"/>
      <c r="D2972" s="64"/>
      <c r="E2972" s="63"/>
      <c r="F2972" s="64"/>
    </row>
    <row r="2973" spans="1:6" x14ac:dyDescent="0.3">
      <c r="A2973" s="2"/>
      <c r="B2973" s="65"/>
      <c r="C2973" s="65"/>
      <c r="D2973" s="2"/>
      <c r="E2973" s="2"/>
      <c r="F2973" s="2"/>
    </row>
    <row r="2974" spans="1:6" x14ac:dyDescent="0.3">
      <c r="A2974" s="63"/>
      <c r="B2974" s="64"/>
      <c r="C2974" s="64"/>
      <c r="D2974" s="64"/>
      <c r="E2974" s="63"/>
      <c r="F2974" s="64"/>
    </row>
    <row r="2975" spans="1:6" x14ac:dyDescent="0.3">
      <c r="A2975" s="2"/>
      <c r="B2975" s="65"/>
      <c r="C2975" s="65"/>
      <c r="D2975" s="2"/>
      <c r="E2975" s="2"/>
      <c r="F2975" s="2"/>
    </row>
    <row r="2976" spans="1:6" x14ac:dyDescent="0.3">
      <c r="A2976" s="63"/>
      <c r="B2976" s="64"/>
      <c r="C2976" s="64"/>
      <c r="D2976" s="64"/>
      <c r="E2976" s="63"/>
      <c r="F2976" s="64"/>
    </row>
    <row r="2977" spans="1:6" x14ac:dyDescent="0.3">
      <c r="A2977" s="2"/>
      <c r="B2977" s="65"/>
      <c r="C2977" s="65"/>
      <c r="D2977" s="2"/>
      <c r="E2977" s="2"/>
      <c r="F2977" s="2"/>
    </row>
    <row r="2978" spans="1:6" x14ac:dyDescent="0.3">
      <c r="A2978" s="63"/>
      <c r="B2978" s="64"/>
      <c r="C2978" s="64"/>
      <c r="D2978" s="64"/>
      <c r="E2978" s="63"/>
      <c r="F2978" s="64"/>
    </row>
    <row r="2979" spans="1:6" x14ac:dyDescent="0.3">
      <c r="A2979" s="2"/>
      <c r="B2979" s="65"/>
      <c r="C2979" s="65"/>
      <c r="D2979" s="2"/>
      <c r="E2979" s="2"/>
      <c r="F2979" s="2"/>
    </row>
    <row r="2980" spans="1:6" x14ac:dyDescent="0.3">
      <c r="A2980" s="63"/>
      <c r="B2980" s="64"/>
      <c r="C2980" s="64"/>
      <c r="D2980" s="64"/>
      <c r="E2980" s="63"/>
      <c r="F2980" s="64"/>
    </row>
    <row r="2981" spans="1:6" x14ac:dyDescent="0.3">
      <c r="A2981" s="2"/>
      <c r="B2981" s="65"/>
      <c r="C2981" s="65"/>
      <c r="D2981" s="2"/>
      <c r="E2981" s="2"/>
      <c r="F2981" s="2"/>
    </row>
    <row r="2982" spans="1:6" x14ac:dyDescent="0.3">
      <c r="A2982" s="63"/>
      <c r="B2982" s="64"/>
      <c r="C2982" s="64"/>
      <c r="D2982" s="64"/>
      <c r="E2982" s="63"/>
      <c r="F2982" s="64"/>
    </row>
    <row r="2983" spans="1:6" x14ac:dyDescent="0.3">
      <c r="A2983" s="2"/>
      <c r="B2983" s="65"/>
      <c r="C2983" s="65"/>
      <c r="D2983" s="2"/>
      <c r="E2983" s="2"/>
      <c r="F2983" s="2"/>
    </row>
    <row r="2984" spans="1:6" x14ac:dyDescent="0.3">
      <c r="A2984" s="63"/>
      <c r="B2984" s="64"/>
      <c r="C2984" s="64"/>
      <c r="D2984" s="64"/>
      <c r="E2984" s="63"/>
      <c r="F2984" s="64"/>
    </row>
    <row r="2985" spans="1:6" x14ac:dyDescent="0.3">
      <c r="A2985" s="2"/>
      <c r="B2985" s="65"/>
      <c r="C2985" s="65"/>
      <c r="D2985" s="2"/>
      <c r="E2985" s="2"/>
      <c r="F2985" s="2"/>
    </row>
    <row r="2986" spans="1:6" x14ac:dyDescent="0.3">
      <c r="A2986" s="63"/>
      <c r="B2986" s="64"/>
      <c r="C2986" s="64"/>
      <c r="D2986" s="64"/>
      <c r="E2986" s="63"/>
      <c r="F2986" s="64"/>
    </row>
    <row r="2987" spans="1:6" x14ac:dyDescent="0.3">
      <c r="A2987" s="2"/>
      <c r="B2987" s="65"/>
      <c r="C2987" s="65"/>
      <c r="D2987" s="2"/>
      <c r="E2987" s="2"/>
      <c r="F2987" s="2"/>
    </row>
    <row r="2988" spans="1:6" x14ac:dyDescent="0.3">
      <c r="A2988" s="63"/>
      <c r="B2988" s="64"/>
      <c r="C2988" s="64"/>
      <c r="D2988" s="64"/>
      <c r="E2988" s="63"/>
      <c r="F2988" s="64"/>
    </row>
    <row r="2989" spans="1:6" x14ac:dyDescent="0.3">
      <c r="A2989" s="2"/>
      <c r="B2989" s="65"/>
      <c r="C2989" s="65"/>
      <c r="D2989" s="2"/>
      <c r="E2989" s="2"/>
      <c r="F2989" s="2"/>
    </row>
    <row r="2990" spans="1:6" x14ac:dyDescent="0.3">
      <c r="A2990" s="63"/>
      <c r="B2990" s="64"/>
      <c r="C2990" s="64"/>
      <c r="D2990" s="64"/>
      <c r="E2990" s="63"/>
      <c r="F2990" s="64"/>
    </row>
    <row r="2991" spans="1:6" x14ac:dyDescent="0.3">
      <c r="A2991" s="2"/>
      <c r="B2991" s="65"/>
      <c r="C2991" s="65"/>
      <c r="D2991" s="2"/>
      <c r="E2991" s="2"/>
      <c r="F2991" s="2"/>
    </row>
    <row r="2992" spans="1:6" x14ac:dyDescent="0.3">
      <c r="A2992" s="63"/>
      <c r="B2992" s="64"/>
      <c r="C2992" s="64"/>
      <c r="D2992" s="64"/>
      <c r="E2992" s="63"/>
      <c r="F2992" s="64"/>
    </row>
    <row r="2993" spans="1:6" x14ac:dyDescent="0.3">
      <c r="A2993" s="2"/>
      <c r="B2993" s="65"/>
      <c r="C2993" s="65"/>
      <c r="D2993" s="2"/>
      <c r="E2993" s="2"/>
      <c r="F2993" s="2"/>
    </row>
    <row r="2994" spans="1:6" x14ac:dyDescent="0.3">
      <c r="A2994" s="63"/>
      <c r="B2994" s="64"/>
      <c r="C2994" s="64"/>
      <c r="D2994" s="64"/>
      <c r="E2994" s="63"/>
      <c r="F2994" s="64"/>
    </row>
    <row r="2995" spans="1:6" x14ac:dyDescent="0.3">
      <c r="A2995" s="2"/>
      <c r="B2995" s="65"/>
      <c r="C2995" s="65"/>
      <c r="D2995" s="2"/>
      <c r="E2995" s="2"/>
      <c r="F2995" s="2"/>
    </row>
    <row r="2996" spans="1:6" x14ac:dyDescent="0.3">
      <c r="A2996" s="63"/>
      <c r="B2996" s="64"/>
      <c r="C2996" s="64"/>
      <c r="D2996" s="64"/>
      <c r="E2996" s="63"/>
      <c r="F2996" s="64"/>
    </row>
    <row r="2997" spans="1:6" x14ac:dyDescent="0.3">
      <c r="A2997" s="2"/>
      <c r="B2997" s="65"/>
      <c r="C2997" s="65"/>
      <c r="D2997" s="2"/>
      <c r="E2997" s="2"/>
      <c r="F2997" s="2"/>
    </row>
    <row r="2998" spans="1:6" x14ac:dyDescent="0.3">
      <c r="A2998" s="63"/>
      <c r="B2998" s="64"/>
      <c r="C2998" s="64"/>
      <c r="D2998" s="64"/>
      <c r="E2998" s="63"/>
      <c r="F2998" s="64"/>
    </row>
    <row r="2999" spans="1:6" x14ac:dyDescent="0.3">
      <c r="A2999" s="2"/>
      <c r="B2999" s="65"/>
      <c r="C2999" s="65"/>
      <c r="D2999" s="2"/>
      <c r="E2999" s="2"/>
      <c r="F2999" s="2"/>
    </row>
    <row r="3000" spans="1:6" x14ac:dyDescent="0.3">
      <c r="A3000" s="63"/>
      <c r="B3000" s="64"/>
      <c r="C3000" s="64"/>
      <c r="D3000" s="64"/>
      <c r="E3000" s="63"/>
      <c r="F3000" s="64"/>
    </row>
    <row r="3001" spans="1:6" x14ac:dyDescent="0.3">
      <c r="A3001" s="2"/>
      <c r="B3001" s="65"/>
      <c r="C3001" s="65"/>
      <c r="D3001" s="2"/>
      <c r="E3001" s="2"/>
      <c r="F3001" s="2"/>
    </row>
    <row r="3002" spans="1:6" x14ac:dyDescent="0.3">
      <c r="A3002" s="63"/>
      <c r="B3002" s="64"/>
      <c r="C3002" s="64"/>
      <c r="D3002" s="64"/>
      <c r="E3002" s="63"/>
      <c r="F3002" s="64"/>
    </row>
    <row r="3003" spans="1:6" x14ac:dyDescent="0.3">
      <c r="A3003" s="2"/>
      <c r="B3003" s="65"/>
      <c r="C3003" s="65"/>
      <c r="D3003" s="2"/>
      <c r="E3003" s="2"/>
      <c r="F3003" s="2"/>
    </row>
    <row r="3004" spans="1:6" x14ac:dyDescent="0.3">
      <c r="A3004" s="63"/>
      <c r="B3004" s="64"/>
      <c r="C3004" s="64"/>
      <c r="D3004" s="64"/>
      <c r="E3004" s="63"/>
      <c r="F3004" s="64"/>
    </row>
    <row r="3005" spans="1:6" x14ac:dyDescent="0.3">
      <c r="A3005" s="2"/>
      <c r="B3005" s="65"/>
      <c r="C3005" s="65"/>
      <c r="D3005" s="2"/>
      <c r="E3005" s="2"/>
      <c r="F3005" s="2"/>
    </row>
    <row r="3006" spans="1:6" x14ac:dyDescent="0.3">
      <c r="A3006" s="63"/>
      <c r="B3006" s="64"/>
      <c r="C3006" s="64"/>
      <c r="D3006" s="64"/>
      <c r="E3006" s="63"/>
      <c r="F3006" s="64"/>
    </row>
    <row r="3007" spans="1:6" x14ac:dyDescent="0.3">
      <c r="A3007" s="2"/>
      <c r="B3007" s="65"/>
      <c r="C3007" s="65"/>
      <c r="D3007" s="2"/>
      <c r="E3007" s="2"/>
      <c r="F3007" s="2"/>
    </row>
    <row r="3008" spans="1:6" x14ac:dyDescent="0.3">
      <c r="A3008" s="63"/>
      <c r="B3008" s="64"/>
      <c r="C3008" s="64"/>
      <c r="D3008" s="64"/>
      <c r="E3008" s="63"/>
      <c r="F3008" s="64"/>
    </row>
    <row r="3009" spans="1:6" x14ac:dyDescent="0.3">
      <c r="A3009" s="2"/>
      <c r="B3009" s="65"/>
      <c r="C3009" s="65"/>
      <c r="D3009" s="2"/>
      <c r="E3009" s="2"/>
      <c r="F3009" s="2"/>
    </row>
    <row r="3010" spans="1:6" x14ac:dyDescent="0.3">
      <c r="A3010" s="63"/>
      <c r="B3010" s="64"/>
      <c r="C3010" s="64"/>
      <c r="D3010" s="64"/>
      <c r="E3010" s="63"/>
      <c r="F3010" s="64"/>
    </row>
    <row r="3011" spans="1:6" x14ac:dyDescent="0.3">
      <c r="A3011" s="2"/>
      <c r="B3011" s="65"/>
      <c r="C3011" s="65"/>
      <c r="D3011" s="2"/>
      <c r="E3011" s="2"/>
      <c r="F3011" s="2"/>
    </row>
    <row r="3012" spans="1:6" x14ac:dyDescent="0.3">
      <c r="A3012" s="63"/>
      <c r="B3012" s="64"/>
      <c r="C3012" s="64"/>
      <c r="D3012" s="64"/>
      <c r="E3012" s="63"/>
      <c r="F3012" s="64"/>
    </row>
    <row r="3013" spans="1:6" x14ac:dyDescent="0.3">
      <c r="A3013" s="2"/>
      <c r="B3013" s="65"/>
      <c r="C3013" s="65"/>
      <c r="D3013" s="2"/>
      <c r="E3013" s="2"/>
      <c r="F3013" s="2"/>
    </row>
    <row r="3014" spans="1:6" x14ac:dyDescent="0.3">
      <c r="A3014" s="63"/>
      <c r="B3014" s="64"/>
      <c r="C3014" s="64"/>
      <c r="D3014" s="64"/>
      <c r="E3014" s="63"/>
      <c r="F3014" s="64"/>
    </row>
    <row r="3015" spans="1:6" x14ac:dyDescent="0.3">
      <c r="A3015" s="2"/>
      <c r="B3015" s="65"/>
      <c r="C3015" s="65"/>
      <c r="D3015" s="2"/>
      <c r="E3015" s="2"/>
      <c r="F3015" s="2"/>
    </row>
    <row r="3016" spans="1:6" x14ac:dyDescent="0.3">
      <c r="A3016" s="63"/>
      <c r="B3016" s="64"/>
      <c r="C3016" s="64"/>
      <c r="D3016" s="64"/>
      <c r="E3016" s="63"/>
      <c r="F3016" s="64"/>
    </row>
    <row r="3017" spans="1:6" x14ac:dyDescent="0.3">
      <c r="A3017" s="2"/>
      <c r="B3017" s="65"/>
      <c r="C3017" s="65"/>
      <c r="D3017" s="2"/>
      <c r="E3017" s="2"/>
      <c r="F3017" s="2"/>
    </row>
    <row r="3018" spans="1:6" x14ac:dyDescent="0.3">
      <c r="A3018" s="63"/>
      <c r="B3018" s="64"/>
      <c r="C3018" s="64"/>
      <c r="D3018" s="64"/>
      <c r="E3018" s="63"/>
      <c r="F3018" s="64"/>
    </row>
    <row r="3019" spans="1:6" x14ac:dyDescent="0.3">
      <c r="A3019" s="2"/>
      <c r="B3019" s="65"/>
      <c r="C3019" s="65"/>
      <c r="D3019" s="2"/>
      <c r="E3019" s="2"/>
      <c r="F3019" s="2"/>
    </row>
    <row r="3020" spans="1:6" x14ac:dyDescent="0.3">
      <c r="A3020" s="63"/>
      <c r="B3020" s="64"/>
      <c r="C3020" s="64"/>
      <c r="D3020" s="64"/>
      <c r="E3020" s="63"/>
      <c r="F3020" s="64"/>
    </row>
    <row r="3021" spans="1:6" x14ac:dyDescent="0.3">
      <c r="A3021" s="2"/>
      <c r="B3021" s="65"/>
      <c r="C3021" s="65"/>
      <c r="D3021" s="2"/>
      <c r="E3021" s="2"/>
      <c r="F3021" s="2"/>
    </row>
    <row r="3022" spans="1:6" x14ac:dyDescent="0.3">
      <c r="A3022" s="63"/>
      <c r="B3022" s="64"/>
      <c r="C3022" s="64"/>
      <c r="D3022" s="64"/>
      <c r="E3022" s="63"/>
      <c r="F3022" s="64"/>
    </row>
    <row r="3023" spans="1:6" x14ac:dyDescent="0.3">
      <c r="A3023" s="2"/>
      <c r="B3023" s="65"/>
      <c r="C3023" s="65"/>
      <c r="D3023" s="2"/>
      <c r="E3023" s="2"/>
      <c r="F3023" s="2"/>
    </row>
    <row r="3024" spans="1:6" x14ac:dyDescent="0.3">
      <c r="A3024" s="63"/>
      <c r="B3024" s="64"/>
      <c r="C3024" s="64"/>
      <c r="D3024" s="64"/>
      <c r="E3024" s="63"/>
      <c r="F3024" s="64"/>
    </row>
    <row r="3025" spans="1:6" x14ac:dyDescent="0.3">
      <c r="A3025" s="2"/>
      <c r="B3025" s="65"/>
      <c r="C3025" s="65"/>
      <c r="D3025" s="2"/>
      <c r="E3025" s="2"/>
      <c r="F3025" s="2"/>
    </row>
    <row r="3026" spans="1:6" x14ac:dyDescent="0.3">
      <c r="A3026" s="63"/>
      <c r="B3026" s="64"/>
      <c r="C3026" s="64"/>
      <c r="D3026" s="64"/>
      <c r="E3026" s="63"/>
      <c r="F3026" s="64"/>
    </row>
    <row r="3027" spans="1:6" x14ac:dyDescent="0.3">
      <c r="A3027" s="2"/>
      <c r="B3027" s="65"/>
      <c r="C3027" s="65"/>
      <c r="D3027" s="2"/>
      <c r="E3027" s="2"/>
      <c r="F3027" s="2"/>
    </row>
    <row r="3028" spans="1:6" x14ac:dyDescent="0.3">
      <c r="A3028" s="63"/>
      <c r="B3028" s="64"/>
      <c r="C3028" s="64"/>
      <c r="D3028" s="64"/>
      <c r="E3028" s="63"/>
      <c r="F3028" s="64"/>
    </row>
    <row r="3029" spans="1:6" x14ac:dyDescent="0.3">
      <c r="A3029" s="2"/>
      <c r="B3029" s="65"/>
      <c r="C3029" s="65"/>
      <c r="D3029" s="2"/>
      <c r="E3029" s="2"/>
      <c r="F3029" s="2"/>
    </row>
    <row r="3030" spans="1:6" x14ac:dyDescent="0.3">
      <c r="A3030" s="63"/>
      <c r="B3030" s="64"/>
      <c r="C3030" s="64"/>
      <c r="D3030" s="64"/>
      <c r="E3030" s="63"/>
      <c r="F3030" s="64"/>
    </row>
    <row r="3031" spans="1:6" x14ac:dyDescent="0.3">
      <c r="A3031" s="2"/>
      <c r="B3031" s="65"/>
      <c r="C3031" s="65"/>
      <c r="D3031" s="2"/>
      <c r="E3031" s="2"/>
      <c r="F3031" s="2"/>
    </row>
    <row r="3032" spans="1:6" x14ac:dyDescent="0.3">
      <c r="A3032" s="63"/>
      <c r="B3032" s="64"/>
      <c r="C3032" s="64"/>
      <c r="D3032" s="64"/>
      <c r="E3032" s="63"/>
      <c r="F3032" s="64"/>
    </row>
    <row r="3033" spans="1:6" x14ac:dyDescent="0.3">
      <c r="A3033" s="2"/>
      <c r="B3033" s="65"/>
      <c r="C3033" s="65"/>
      <c r="D3033" s="2"/>
      <c r="E3033" s="2"/>
      <c r="F3033" s="2"/>
    </row>
    <row r="3034" spans="1:6" x14ac:dyDescent="0.3">
      <c r="A3034" s="63"/>
      <c r="B3034" s="64"/>
      <c r="C3034" s="64"/>
      <c r="D3034" s="64"/>
      <c r="E3034" s="63"/>
      <c r="F3034" s="64"/>
    </row>
    <row r="3035" spans="1:6" x14ac:dyDescent="0.3">
      <c r="A3035" s="2"/>
      <c r="B3035" s="65"/>
      <c r="C3035" s="65"/>
      <c r="D3035" s="2"/>
      <c r="E3035" s="2"/>
      <c r="F3035" s="2"/>
    </row>
    <row r="3036" spans="1:6" x14ac:dyDescent="0.3">
      <c r="A3036" s="63"/>
      <c r="B3036" s="64"/>
      <c r="C3036" s="64"/>
      <c r="D3036" s="64"/>
      <c r="E3036" s="63"/>
      <c r="F3036" s="64"/>
    </row>
    <row r="3037" spans="1:6" x14ac:dyDescent="0.3">
      <c r="A3037" s="2"/>
      <c r="B3037" s="65"/>
      <c r="C3037" s="65"/>
      <c r="D3037" s="2"/>
      <c r="E3037" s="2"/>
      <c r="F3037" s="2"/>
    </row>
    <row r="3038" spans="1:6" x14ac:dyDescent="0.3">
      <c r="A3038" s="63"/>
      <c r="B3038" s="64"/>
      <c r="C3038" s="64"/>
      <c r="D3038" s="64"/>
      <c r="E3038" s="63"/>
      <c r="F3038" s="64"/>
    </row>
    <row r="3039" spans="1:6" x14ac:dyDescent="0.3">
      <c r="A3039" s="2"/>
      <c r="B3039" s="65"/>
      <c r="C3039" s="65"/>
      <c r="D3039" s="2"/>
      <c r="E3039" s="2"/>
      <c r="F3039" s="2"/>
    </row>
    <row r="3040" spans="1:6" x14ac:dyDescent="0.3">
      <c r="A3040" s="63"/>
      <c r="B3040" s="64"/>
      <c r="C3040" s="64"/>
      <c r="D3040" s="64"/>
      <c r="E3040" s="63"/>
      <c r="F3040" s="64"/>
    </row>
    <row r="3041" spans="1:6" x14ac:dyDescent="0.3">
      <c r="A3041" s="2"/>
      <c r="B3041" s="65"/>
      <c r="C3041" s="65"/>
      <c r="D3041" s="2"/>
      <c r="E3041" s="2"/>
      <c r="F3041" s="2"/>
    </row>
    <row r="3042" spans="1:6" x14ac:dyDescent="0.3">
      <c r="A3042" s="63"/>
      <c r="B3042" s="64"/>
      <c r="C3042" s="64"/>
      <c r="D3042" s="64"/>
      <c r="E3042" s="63"/>
      <c r="F3042" s="64"/>
    </row>
    <row r="3043" spans="1:6" x14ac:dyDescent="0.3">
      <c r="A3043" s="2"/>
      <c r="B3043" s="65"/>
      <c r="C3043" s="65"/>
      <c r="D3043" s="2"/>
      <c r="E3043" s="2"/>
      <c r="F3043" s="2"/>
    </row>
    <row r="3044" spans="1:6" x14ac:dyDescent="0.3">
      <c r="A3044" s="63"/>
      <c r="B3044" s="64"/>
      <c r="C3044" s="64"/>
      <c r="D3044" s="64"/>
      <c r="E3044" s="63"/>
      <c r="F3044" s="64"/>
    </row>
    <row r="3045" spans="1:6" x14ac:dyDescent="0.3">
      <c r="A3045" s="2"/>
      <c r="B3045" s="65"/>
      <c r="C3045" s="65"/>
      <c r="D3045" s="2"/>
      <c r="E3045" s="2"/>
      <c r="F3045" s="2"/>
    </row>
    <row r="3046" spans="1:6" x14ac:dyDescent="0.3">
      <c r="A3046" s="63"/>
      <c r="B3046" s="64"/>
      <c r="C3046" s="64"/>
      <c r="D3046" s="64"/>
      <c r="E3046" s="63"/>
      <c r="F3046" s="64"/>
    </row>
    <row r="3047" spans="1:6" x14ac:dyDescent="0.3">
      <c r="A3047" s="2"/>
      <c r="B3047" s="65"/>
      <c r="C3047" s="65"/>
      <c r="D3047" s="2"/>
      <c r="E3047" s="2"/>
      <c r="F3047" s="2"/>
    </row>
    <row r="3048" spans="1:6" x14ac:dyDescent="0.3">
      <c r="A3048" s="63"/>
      <c r="B3048" s="64"/>
      <c r="C3048" s="64"/>
      <c r="D3048" s="64"/>
      <c r="E3048" s="63"/>
      <c r="F3048" s="64"/>
    </row>
    <row r="3049" spans="1:6" x14ac:dyDescent="0.3">
      <c r="A3049" s="2"/>
      <c r="B3049" s="65"/>
      <c r="C3049" s="65"/>
      <c r="D3049" s="2"/>
      <c r="E3049" s="2"/>
      <c r="F3049" s="2"/>
    </row>
    <row r="3050" spans="1:6" x14ac:dyDescent="0.3">
      <c r="A3050" s="63"/>
      <c r="B3050" s="64"/>
      <c r="C3050" s="64"/>
      <c r="D3050" s="64"/>
      <c r="E3050" s="63"/>
      <c r="F3050" s="64"/>
    </row>
    <row r="3051" spans="1:6" x14ac:dyDescent="0.3">
      <c r="A3051" s="2"/>
      <c r="B3051" s="65"/>
      <c r="C3051" s="65"/>
      <c r="D3051" s="2"/>
      <c r="E3051" s="2"/>
      <c r="F3051" s="2"/>
    </row>
    <row r="3052" spans="1:6" x14ac:dyDescent="0.3">
      <c r="A3052" s="63"/>
      <c r="B3052" s="64"/>
      <c r="C3052" s="64"/>
      <c r="D3052" s="64"/>
      <c r="E3052" s="63"/>
      <c r="F3052" s="64"/>
    </row>
    <row r="3053" spans="1:6" x14ac:dyDescent="0.3">
      <c r="A3053" s="2"/>
      <c r="B3053" s="65"/>
      <c r="C3053" s="65"/>
      <c r="D3053" s="2"/>
      <c r="E3053" s="2"/>
      <c r="F3053" s="2"/>
    </row>
    <row r="3054" spans="1:6" x14ac:dyDescent="0.3">
      <c r="A3054" s="63"/>
      <c r="B3054" s="64"/>
      <c r="C3054" s="64"/>
      <c r="D3054" s="64"/>
      <c r="E3054" s="63"/>
      <c r="F3054" s="64"/>
    </row>
    <row r="3055" spans="1:6" x14ac:dyDescent="0.3">
      <c r="A3055" s="2"/>
      <c r="B3055" s="65"/>
      <c r="C3055" s="65"/>
      <c r="D3055" s="2"/>
      <c r="E3055" s="2"/>
      <c r="F3055" s="2"/>
    </row>
    <row r="3056" spans="1:6" x14ac:dyDescent="0.3">
      <c r="A3056" s="63"/>
      <c r="B3056" s="64"/>
      <c r="C3056" s="64"/>
      <c r="D3056" s="64"/>
      <c r="E3056" s="63"/>
      <c r="F3056" s="64"/>
    </row>
    <row r="3057" spans="1:6" x14ac:dyDescent="0.3">
      <c r="A3057" s="2"/>
      <c r="B3057" s="65"/>
      <c r="C3057" s="65"/>
      <c r="D3057" s="2"/>
      <c r="E3057" s="2"/>
      <c r="F3057" s="2"/>
    </row>
    <row r="3058" spans="1:6" x14ac:dyDescent="0.3">
      <c r="A3058" s="63"/>
      <c r="B3058" s="64"/>
      <c r="C3058" s="64"/>
      <c r="D3058" s="64"/>
      <c r="E3058" s="63"/>
      <c r="F3058" s="64"/>
    </row>
    <row r="3059" spans="1:6" x14ac:dyDescent="0.3">
      <c r="A3059" s="2"/>
      <c r="B3059" s="65"/>
      <c r="C3059" s="65"/>
      <c r="D3059" s="2"/>
      <c r="E3059" s="2"/>
      <c r="F3059" s="2"/>
    </row>
    <row r="3060" spans="1:6" x14ac:dyDescent="0.3">
      <c r="A3060" s="63"/>
      <c r="B3060" s="64"/>
      <c r="C3060" s="64"/>
      <c r="D3060" s="64"/>
      <c r="E3060" s="63"/>
      <c r="F3060" s="64"/>
    </row>
    <row r="3061" spans="1:6" x14ac:dyDescent="0.3">
      <c r="A3061" s="2"/>
      <c r="B3061" s="65"/>
      <c r="C3061" s="65"/>
      <c r="D3061" s="2"/>
      <c r="E3061" s="2"/>
      <c r="F3061" s="2"/>
    </row>
    <row r="3062" spans="1:6" x14ac:dyDescent="0.3">
      <c r="A3062" s="63"/>
      <c r="B3062" s="64"/>
      <c r="C3062" s="64"/>
      <c r="D3062" s="64"/>
      <c r="E3062" s="63"/>
      <c r="F3062" s="64"/>
    </row>
    <row r="3063" spans="1:6" x14ac:dyDescent="0.3">
      <c r="A3063" s="2"/>
      <c r="B3063" s="65"/>
      <c r="C3063" s="65"/>
      <c r="D3063" s="2"/>
      <c r="E3063" s="2"/>
      <c r="F3063" s="2"/>
    </row>
    <row r="3064" spans="1:6" x14ac:dyDescent="0.3">
      <c r="A3064" s="63"/>
      <c r="B3064" s="64"/>
      <c r="C3064" s="64"/>
      <c r="D3064" s="64"/>
      <c r="E3064" s="63"/>
      <c r="F3064" s="64"/>
    </row>
    <row r="3065" spans="1:6" x14ac:dyDescent="0.3">
      <c r="A3065" s="2"/>
      <c r="B3065" s="65"/>
      <c r="C3065" s="65"/>
      <c r="D3065" s="2"/>
      <c r="E3065" s="2"/>
      <c r="F3065" s="2"/>
    </row>
    <row r="3066" spans="1:6" x14ac:dyDescent="0.3">
      <c r="A3066" s="63"/>
      <c r="B3066" s="64"/>
      <c r="C3066" s="64"/>
      <c r="D3066" s="64"/>
      <c r="E3066" s="63"/>
      <c r="F3066" s="64"/>
    </row>
    <row r="3067" spans="1:6" x14ac:dyDescent="0.3">
      <c r="A3067" s="2"/>
      <c r="B3067" s="65"/>
      <c r="C3067" s="65"/>
      <c r="D3067" s="2"/>
      <c r="E3067" s="2"/>
      <c r="F3067" s="2"/>
    </row>
    <row r="3068" spans="1:6" x14ac:dyDescent="0.3">
      <c r="A3068" s="63"/>
      <c r="B3068" s="64"/>
      <c r="C3068" s="64"/>
      <c r="D3068" s="64"/>
      <c r="E3068" s="63"/>
      <c r="F3068" s="64"/>
    </row>
    <row r="3069" spans="1:6" x14ac:dyDescent="0.3">
      <c r="A3069" s="2"/>
      <c r="B3069" s="65"/>
      <c r="C3069" s="65"/>
      <c r="D3069" s="2"/>
      <c r="E3069" s="2"/>
      <c r="F3069" s="2"/>
    </row>
    <row r="3070" spans="1:6" x14ac:dyDescent="0.3">
      <c r="A3070" s="63"/>
      <c r="B3070" s="64"/>
      <c r="C3070" s="64"/>
      <c r="D3070" s="64"/>
      <c r="E3070" s="63"/>
      <c r="F3070" s="64"/>
    </row>
    <row r="3071" spans="1:6" x14ac:dyDescent="0.3">
      <c r="A3071" s="2"/>
      <c r="B3071" s="65"/>
      <c r="C3071" s="65"/>
      <c r="D3071" s="2"/>
      <c r="E3071" s="2"/>
      <c r="F3071" s="2"/>
    </row>
    <row r="3072" spans="1:6" x14ac:dyDescent="0.3">
      <c r="A3072" s="63"/>
      <c r="B3072" s="64"/>
      <c r="C3072" s="64"/>
      <c r="D3072" s="64"/>
      <c r="E3072" s="63"/>
      <c r="F3072" s="64"/>
    </row>
    <row r="3073" spans="1:6" x14ac:dyDescent="0.3">
      <c r="A3073" s="2"/>
      <c r="B3073" s="65"/>
      <c r="C3073" s="65"/>
      <c r="D3073" s="2"/>
      <c r="E3073" s="2"/>
      <c r="F3073" s="2"/>
    </row>
    <row r="3074" spans="1:6" x14ac:dyDescent="0.3">
      <c r="A3074" s="63"/>
      <c r="B3074" s="64"/>
      <c r="C3074" s="64"/>
      <c r="D3074" s="64"/>
      <c r="E3074" s="63"/>
      <c r="F3074" s="64"/>
    </row>
    <row r="3075" spans="1:6" x14ac:dyDescent="0.3">
      <c r="A3075" s="2"/>
      <c r="B3075" s="65"/>
      <c r="C3075" s="65"/>
      <c r="D3075" s="2"/>
      <c r="E3075" s="2"/>
      <c r="F3075" s="2"/>
    </row>
    <row r="3076" spans="1:6" x14ac:dyDescent="0.3">
      <c r="A3076" s="63"/>
      <c r="B3076" s="64"/>
      <c r="C3076" s="64"/>
      <c r="D3076" s="64"/>
      <c r="E3076" s="63"/>
      <c r="F3076" s="64"/>
    </row>
    <row r="3077" spans="1:6" x14ac:dyDescent="0.3">
      <c r="A3077" s="2"/>
      <c r="B3077" s="65"/>
      <c r="C3077" s="65"/>
      <c r="D3077" s="2"/>
      <c r="E3077" s="2"/>
      <c r="F3077" s="2"/>
    </row>
    <row r="3078" spans="1:6" x14ac:dyDescent="0.3">
      <c r="A3078" s="63"/>
      <c r="B3078" s="64"/>
      <c r="C3078" s="64"/>
      <c r="D3078" s="64"/>
      <c r="E3078" s="63"/>
      <c r="F3078" s="64"/>
    </row>
    <row r="3079" spans="1:6" x14ac:dyDescent="0.3">
      <c r="A3079" s="2"/>
      <c r="B3079" s="65"/>
      <c r="C3079" s="65"/>
      <c r="D3079" s="2"/>
      <c r="E3079" s="2"/>
      <c r="F3079" s="2"/>
    </row>
    <row r="3080" spans="1:6" x14ac:dyDescent="0.3">
      <c r="A3080" s="63"/>
      <c r="B3080" s="64"/>
      <c r="C3080" s="64"/>
      <c r="D3080" s="64"/>
      <c r="E3080" s="63"/>
      <c r="F3080" s="64"/>
    </row>
    <row r="3081" spans="1:6" x14ac:dyDescent="0.3">
      <c r="A3081" s="2"/>
      <c r="B3081" s="65"/>
      <c r="C3081" s="65"/>
      <c r="D3081" s="2"/>
      <c r="E3081" s="2"/>
      <c r="F3081" s="2"/>
    </row>
    <row r="3082" spans="1:6" x14ac:dyDescent="0.3">
      <c r="A3082" s="63"/>
      <c r="B3082" s="64"/>
      <c r="C3082" s="64"/>
      <c r="D3082" s="64"/>
      <c r="E3082" s="63"/>
      <c r="F3082" s="64"/>
    </row>
    <row r="3083" spans="1:6" x14ac:dyDescent="0.3">
      <c r="A3083" s="2"/>
      <c r="B3083" s="65"/>
      <c r="C3083" s="65"/>
      <c r="D3083" s="2"/>
      <c r="E3083" s="2"/>
      <c r="F3083" s="2"/>
    </row>
    <row r="3084" spans="1:6" x14ac:dyDescent="0.3">
      <c r="A3084" s="63"/>
      <c r="B3084" s="64"/>
      <c r="C3084" s="64"/>
      <c r="D3084" s="64"/>
      <c r="E3084" s="63"/>
      <c r="F3084" s="64"/>
    </row>
    <row r="3085" spans="1:6" x14ac:dyDescent="0.3">
      <c r="A3085" s="2"/>
      <c r="B3085" s="65"/>
      <c r="C3085" s="65"/>
      <c r="D3085" s="2"/>
      <c r="E3085" s="2"/>
      <c r="F3085" s="2"/>
    </row>
    <row r="3086" spans="1:6" x14ac:dyDescent="0.3">
      <c r="A3086" s="63"/>
      <c r="B3086" s="64"/>
      <c r="C3086" s="64"/>
      <c r="D3086" s="64"/>
      <c r="E3086" s="63"/>
      <c r="F3086" s="64"/>
    </row>
    <row r="3087" spans="1:6" x14ac:dyDescent="0.3">
      <c r="A3087" s="2"/>
      <c r="B3087" s="65"/>
      <c r="C3087" s="65"/>
      <c r="D3087" s="2"/>
      <c r="E3087" s="2"/>
      <c r="F3087" s="2"/>
    </row>
    <row r="3088" spans="1:6" x14ac:dyDescent="0.3">
      <c r="A3088" s="63"/>
      <c r="B3088" s="64"/>
      <c r="C3088" s="64"/>
      <c r="D3088" s="64"/>
      <c r="E3088" s="63"/>
      <c r="F3088" s="64"/>
    </row>
    <row r="3089" spans="1:6" x14ac:dyDescent="0.3">
      <c r="A3089" s="2"/>
      <c r="B3089" s="65"/>
      <c r="C3089" s="65"/>
      <c r="D3089" s="2"/>
      <c r="E3089" s="2"/>
      <c r="F3089" s="2"/>
    </row>
    <row r="3090" spans="1:6" x14ac:dyDescent="0.3">
      <c r="A3090" s="63"/>
      <c r="B3090" s="64"/>
      <c r="C3090" s="64"/>
      <c r="D3090" s="64"/>
      <c r="E3090" s="63"/>
      <c r="F3090" s="64"/>
    </row>
    <row r="3091" spans="1:6" x14ac:dyDescent="0.3">
      <c r="A3091" s="2"/>
      <c r="B3091" s="65"/>
      <c r="C3091" s="65"/>
      <c r="D3091" s="2"/>
      <c r="E3091" s="2"/>
      <c r="F3091" s="2"/>
    </row>
    <row r="3092" spans="1:6" x14ac:dyDescent="0.3">
      <c r="A3092" s="63"/>
      <c r="B3092" s="64"/>
      <c r="C3092" s="64"/>
      <c r="D3092" s="64"/>
      <c r="E3092" s="63"/>
      <c r="F3092" s="64"/>
    </row>
    <row r="3093" spans="1:6" x14ac:dyDescent="0.3">
      <c r="A3093" s="2"/>
      <c r="B3093" s="65"/>
      <c r="C3093" s="65"/>
      <c r="D3093" s="2"/>
      <c r="E3093" s="2"/>
      <c r="F3093" s="2"/>
    </row>
    <row r="3094" spans="1:6" x14ac:dyDescent="0.3">
      <c r="A3094" s="63"/>
      <c r="B3094" s="64"/>
      <c r="C3094" s="64"/>
      <c r="D3094" s="64"/>
      <c r="E3094" s="63"/>
      <c r="F3094" s="64"/>
    </row>
    <row r="3095" spans="1:6" x14ac:dyDescent="0.3">
      <c r="A3095" s="2"/>
      <c r="B3095" s="65"/>
      <c r="C3095" s="65"/>
      <c r="D3095" s="2"/>
      <c r="E3095" s="2"/>
      <c r="F3095" s="2"/>
    </row>
    <row r="3096" spans="1:6" x14ac:dyDescent="0.3">
      <c r="A3096" s="63"/>
      <c r="B3096" s="64"/>
      <c r="C3096" s="64"/>
      <c r="D3096" s="64"/>
      <c r="E3096" s="63"/>
      <c r="F3096" s="64"/>
    </row>
    <row r="3097" spans="1:6" x14ac:dyDescent="0.3">
      <c r="A3097" s="2"/>
      <c r="B3097" s="65"/>
      <c r="C3097" s="65"/>
      <c r="D3097" s="2"/>
      <c r="E3097" s="2"/>
      <c r="F3097" s="2"/>
    </row>
    <row r="3098" spans="1:6" x14ac:dyDescent="0.3">
      <c r="A3098" s="63"/>
      <c r="B3098" s="64"/>
      <c r="C3098" s="64"/>
      <c r="D3098" s="64"/>
      <c r="E3098" s="63"/>
      <c r="F3098" s="64"/>
    </row>
    <row r="3099" spans="1:6" x14ac:dyDescent="0.3">
      <c r="A3099" s="2"/>
      <c r="B3099" s="65"/>
      <c r="C3099" s="65"/>
      <c r="D3099" s="2"/>
      <c r="E3099" s="2"/>
      <c r="F3099" s="2"/>
    </row>
    <row r="3100" spans="1:6" x14ac:dyDescent="0.3">
      <c r="A3100" s="63"/>
      <c r="B3100" s="64"/>
      <c r="C3100" s="64"/>
      <c r="D3100" s="64"/>
      <c r="E3100" s="63"/>
      <c r="F3100" s="64"/>
    </row>
    <row r="3101" spans="1:6" x14ac:dyDescent="0.3">
      <c r="A3101" s="2"/>
      <c r="B3101" s="65"/>
      <c r="C3101" s="65"/>
      <c r="D3101" s="2"/>
      <c r="E3101" s="2"/>
      <c r="F3101" s="2"/>
    </row>
    <row r="3102" spans="1:6" x14ac:dyDescent="0.3">
      <c r="A3102" s="63"/>
      <c r="B3102" s="64"/>
      <c r="C3102" s="64"/>
      <c r="D3102" s="64"/>
      <c r="E3102" s="63"/>
      <c r="F3102" s="64"/>
    </row>
    <row r="3103" spans="1:6" x14ac:dyDescent="0.3">
      <c r="A3103" s="2"/>
      <c r="B3103" s="65"/>
      <c r="C3103" s="65"/>
      <c r="D3103" s="2"/>
      <c r="E3103" s="2"/>
      <c r="F3103" s="2"/>
    </row>
    <row r="3104" spans="1:6" x14ac:dyDescent="0.3">
      <c r="A3104" s="63"/>
      <c r="B3104" s="64"/>
      <c r="C3104" s="64"/>
      <c r="D3104" s="64"/>
      <c r="E3104" s="63"/>
      <c r="F3104" s="64"/>
    </row>
    <row r="3105" spans="1:6" x14ac:dyDescent="0.3">
      <c r="A3105" s="2"/>
      <c r="B3105" s="65"/>
      <c r="C3105" s="65"/>
      <c r="D3105" s="2"/>
      <c r="E3105" s="2"/>
      <c r="F3105" s="2"/>
    </row>
    <row r="3106" spans="1:6" x14ac:dyDescent="0.3">
      <c r="A3106" s="63"/>
      <c r="B3106" s="64"/>
      <c r="C3106" s="64"/>
      <c r="D3106" s="64"/>
      <c r="E3106" s="63"/>
      <c r="F3106" s="64"/>
    </row>
    <row r="3107" spans="1:6" x14ac:dyDescent="0.3">
      <c r="A3107" s="2"/>
      <c r="B3107" s="65"/>
      <c r="C3107" s="65"/>
      <c r="D3107" s="2"/>
      <c r="E3107" s="2"/>
      <c r="F3107" s="2"/>
    </row>
    <row r="3108" spans="1:6" x14ac:dyDescent="0.3">
      <c r="A3108" s="63"/>
      <c r="B3108" s="64"/>
      <c r="C3108" s="64"/>
      <c r="D3108" s="64"/>
      <c r="E3108" s="63"/>
      <c r="F3108" s="64"/>
    </row>
    <row r="3109" spans="1:6" x14ac:dyDescent="0.3">
      <c r="A3109" s="2"/>
      <c r="B3109" s="65"/>
      <c r="C3109" s="65"/>
      <c r="D3109" s="2"/>
      <c r="E3109" s="2"/>
      <c r="F3109" s="2"/>
    </row>
    <row r="3110" spans="1:6" x14ac:dyDescent="0.3">
      <c r="A3110" s="63"/>
      <c r="B3110" s="64"/>
      <c r="C3110" s="64"/>
      <c r="D3110" s="64"/>
      <c r="E3110" s="63"/>
      <c r="F3110" s="64"/>
    </row>
    <row r="3111" spans="1:6" x14ac:dyDescent="0.3">
      <c r="A3111" s="2"/>
      <c r="B3111" s="65"/>
      <c r="C3111" s="65"/>
      <c r="D3111" s="2"/>
      <c r="E3111" s="2"/>
      <c r="F3111" s="2"/>
    </row>
    <row r="3112" spans="1:6" x14ac:dyDescent="0.3">
      <c r="A3112" s="63"/>
      <c r="B3112" s="64"/>
      <c r="C3112" s="64"/>
      <c r="D3112" s="64"/>
      <c r="E3112" s="63"/>
      <c r="F3112" s="64"/>
    </row>
    <row r="3113" spans="1:6" x14ac:dyDescent="0.3">
      <c r="A3113" s="2"/>
      <c r="B3113" s="65"/>
      <c r="C3113" s="65"/>
      <c r="D3113" s="2"/>
      <c r="E3113" s="2"/>
      <c r="F3113" s="2"/>
    </row>
    <row r="3114" spans="1:6" x14ac:dyDescent="0.3">
      <c r="A3114" s="63"/>
      <c r="B3114" s="64"/>
      <c r="C3114" s="64"/>
      <c r="D3114" s="64"/>
      <c r="E3114" s="63"/>
      <c r="F3114" s="64"/>
    </row>
    <row r="3115" spans="1:6" x14ac:dyDescent="0.3">
      <c r="A3115" s="2"/>
      <c r="B3115" s="65"/>
      <c r="C3115" s="65"/>
      <c r="D3115" s="2"/>
      <c r="E3115" s="2"/>
      <c r="F3115" s="2"/>
    </row>
    <row r="3116" spans="1:6" x14ac:dyDescent="0.3">
      <c r="A3116" s="63"/>
      <c r="B3116" s="64"/>
      <c r="C3116" s="64"/>
      <c r="D3116" s="64"/>
      <c r="E3116" s="63"/>
      <c r="F3116" s="64"/>
    </row>
    <row r="3117" spans="1:6" x14ac:dyDescent="0.3">
      <c r="A3117" s="2"/>
      <c r="B3117" s="65"/>
      <c r="C3117" s="65"/>
      <c r="D3117" s="2"/>
      <c r="E3117" s="2"/>
      <c r="F3117" s="2"/>
    </row>
    <row r="3118" spans="1:6" x14ac:dyDescent="0.3">
      <c r="A3118" s="63"/>
      <c r="B3118" s="64"/>
      <c r="C3118" s="64"/>
      <c r="D3118" s="64"/>
      <c r="E3118" s="63"/>
      <c r="F3118" s="64"/>
    </row>
    <row r="3119" spans="1:6" x14ac:dyDescent="0.3">
      <c r="A3119" s="2"/>
      <c r="B3119" s="65"/>
      <c r="C3119" s="65"/>
      <c r="D3119" s="2"/>
      <c r="E3119" s="2"/>
      <c r="F3119" s="2"/>
    </row>
    <row r="3120" spans="1:6" x14ac:dyDescent="0.3">
      <c r="A3120" s="63"/>
      <c r="B3120" s="64"/>
      <c r="C3120" s="64"/>
      <c r="D3120" s="64"/>
      <c r="E3120" s="63"/>
      <c r="F3120" s="64"/>
    </row>
    <row r="3121" spans="1:6" x14ac:dyDescent="0.3">
      <c r="A3121" s="2"/>
      <c r="B3121" s="65"/>
      <c r="C3121" s="65"/>
      <c r="D3121" s="2"/>
      <c r="E3121" s="2"/>
      <c r="F3121" s="2"/>
    </row>
    <row r="3122" spans="1:6" x14ac:dyDescent="0.3">
      <c r="A3122" s="63"/>
      <c r="B3122" s="64"/>
      <c r="C3122" s="64"/>
      <c r="D3122" s="64"/>
      <c r="E3122" s="63"/>
      <c r="F3122" s="64"/>
    </row>
    <row r="3123" spans="1:6" x14ac:dyDescent="0.3">
      <c r="A3123" s="2"/>
      <c r="B3123" s="65"/>
      <c r="C3123" s="65"/>
      <c r="D3123" s="2"/>
      <c r="E3123" s="2"/>
      <c r="F3123" s="2"/>
    </row>
    <row r="3124" spans="1:6" x14ac:dyDescent="0.3">
      <c r="A3124" s="63"/>
      <c r="B3124" s="64"/>
      <c r="C3124" s="64"/>
      <c r="D3124" s="64"/>
      <c r="E3124" s="63"/>
      <c r="F3124" s="64"/>
    </row>
    <row r="3125" spans="1:6" x14ac:dyDescent="0.3">
      <c r="A3125" s="2"/>
      <c r="B3125" s="65"/>
      <c r="C3125" s="65"/>
      <c r="D3125" s="2"/>
      <c r="E3125" s="2"/>
      <c r="F3125" s="2"/>
    </row>
    <row r="3126" spans="1:6" x14ac:dyDescent="0.3">
      <c r="A3126" s="63"/>
      <c r="B3126" s="64"/>
      <c r="C3126" s="64"/>
      <c r="D3126" s="64"/>
      <c r="E3126" s="63"/>
      <c r="F3126" s="64"/>
    </row>
    <row r="3127" spans="1:6" x14ac:dyDescent="0.3">
      <c r="A3127" s="2"/>
      <c r="B3127" s="65"/>
      <c r="C3127" s="65"/>
      <c r="D3127" s="2"/>
      <c r="E3127" s="2"/>
      <c r="F3127" s="2"/>
    </row>
    <row r="3128" spans="1:6" x14ac:dyDescent="0.3">
      <c r="A3128" s="63"/>
      <c r="B3128" s="64"/>
      <c r="C3128" s="64"/>
      <c r="D3128" s="64"/>
      <c r="E3128" s="63"/>
      <c r="F3128" s="64"/>
    </row>
    <row r="3129" spans="1:6" x14ac:dyDescent="0.3">
      <c r="A3129" s="2"/>
      <c r="B3129" s="65"/>
      <c r="C3129" s="65"/>
      <c r="D3129" s="2"/>
      <c r="E3129" s="2"/>
      <c r="F3129" s="2"/>
    </row>
    <row r="3130" spans="1:6" x14ac:dyDescent="0.3">
      <c r="A3130" s="63"/>
      <c r="B3130" s="64"/>
      <c r="C3130" s="64"/>
      <c r="D3130" s="64"/>
      <c r="E3130" s="63"/>
      <c r="F3130" s="64"/>
    </row>
    <row r="3131" spans="1:6" x14ac:dyDescent="0.3">
      <c r="A3131" s="2"/>
      <c r="B3131" s="65"/>
      <c r="C3131" s="65"/>
      <c r="D3131" s="2"/>
      <c r="E3131" s="2"/>
      <c r="F3131" s="2"/>
    </row>
    <row r="3132" spans="1:6" x14ac:dyDescent="0.3">
      <c r="A3132" s="63"/>
      <c r="B3132" s="64"/>
      <c r="C3132" s="64"/>
      <c r="D3132" s="64"/>
      <c r="E3132" s="63"/>
      <c r="F3132" s="64"/>
    </row>
    <row r="3133" spans="1:6" x14ac:dyDescent="0.3">
      <c r="A3133" s="2"/>
      <c r="B3133" s="65"/>
      <c r="C3133" s="65"/>
      <c r="D3133" s="2"/>
      <c r="E3133" s="2"/>
      <c r="F3133" s="2"/>
    </row>
    <row r="3134" spans="1:6" x14ac:dyDescent="0.3">
      <c r="A3134" s="63"/>
      <c r="B3134" s="64"/>
      <c r="C3134" s="64"/>
      <c r="D3134" s="64"/>
      <c r="E3134" s="63"/>
      <c r="F3134" s="64"/>
    </row>
    <row r="3135" spans="1:6" x14ac:dyDescent="0.3">
      <c r="A3135" s="2"/>
      <c r="B3135" s="65"/>
      <c r="C3135" s="65"/>
      <c r="D3135" s="2"/>
      <c r="E3135" s="2"/>
      <c r="F3135" s="2"/>
    </row>
    <row r="3136" spans="1:6" x14ac:dyDescent="0.3">
      <c r="A3136" s="63"/>
      <c r="B3136" s="64"/>
      <c r="C3136" s="64"/>
      <c r="D3136" s="64"/>
      <c r="E3136" s="63"/>
      <c r="F3136" s="64"/>
    </row>
    <row r="3137" spans="1:6" x14ac:dyDescent="0.3">
      <c r="A3137" s="2"/>
      <c r="B3137" s="65"/>
      <c r="C3137" s="65"/>
      <c r="D3137" s="2"/>
      <c r="E3137" s="2"/>
      <c r="F3137" s="2"/>
    </row>
    <row r="3138" spans="1:6" x14ac:dyDescent="0.3">
      <c r="A3138" s="63"/>
      <c r="B3138" s="64"/>
      <c r="C3138" s="64"/>
      <c r="D3138" s="64"/>
      <c r="E3138" s="63"/>
      <c r="F3138" s="64"/>
    </row>
    <row r="3139" spans="1:6" x14ac:dyDescent="0.3">
      <c r="A3139" s="2"/>
      <c r="B3139" s="65"/>
      <c r="C3139" s="65"/>
      <c r="D3139" s="2"/>
      <c r="E3139" s="2"/>
      <c r="F3139" s="2"/>
    </row>
    <row r="3140" spans="1:6" x14ac:dyDescent="0.3">
      <c r="A3140" s="63"/>
      <c r="B3140" s="64"/>
      <c r="C3140" s="64"/>
      <c r="D3140" s="64"/>
      <c r="E3140" s="63"/>
      <c r="F3140" s="64"/>
    </row>
    <row r="3141" spans="1:6" x14ac:dyDescent="0.3">
      <c r="A3141" s="2"/>
      <c r="B3141" s="65"/>
      <c r="C3141" s="65"/>
      <c r="D3141" s="2"/>
      <c r="E3141" s="2"/>
      <c r="F3141" s="2"/>
    </row>
    <row r="3142" spans="1:6" x14ac:dyDescent="0.3">
      <c r="A3142" s="63"/>
      <c r="B3142" s="64"/>
      <c r="C3142" s="64"/>
      <c r="D3142" s="64"/>
      <c r="E3142" s="63"/>
      <c r="F3142" s="64"/>
    </row>
    <row r="3143" spans="1:6" x14ac:dyDescent="0.3">
      <c r="A3143" s="2"/>
      <c r="B3143" s="65"/>
      <c r="C3143" s="65"/>
      <c r="D3143" s="2"/>
      <c r="E3143" s="2"/>
      <c r="F3143" s="2"/>
    </row>
    <row r="3144" spans="1:6" x14ac:dyDescent="0.3">
      <c r="A3144" s="63"/>
      <c r="B3144" s="64"/>
      <c r="C3144" s="64"/>
      <c r="D3144" s="64"/>
      <c r="E3144" s="63"/>
      <c r="F3144" s="64"/>
    </row>
    <row r="3145" spans="1:6" x14ac:dyDescent="0.3">
      <c r="A3145" s="2"/>
      <c r="B3145" s="65"/>
      <c r="C3145" s="65"/>
      <c r="D3145" s="2"/>
      <c r="E3145" s="2"/>
      <c r="F3145" s="2"/>
    </row>
    <row r="3146" spans="1:6" x14ac:dyDescent="0.3">
      <c r="A3146" s="63"/>
      <c r="B3146" s="64"/>
      <c r="C3146" s="64"/>
      <c r="D3146" s="64"/>
      <c r="E3146" s="63"/>
      <c r="F3146" s="64"/>
    </row>
    <row r="3147" spans="1:6" x14ac:dyDescent="0.3">
      <c r="A3147" s="2"/>
      <c r="B3147" s="65"/>
      <c r="C3147" s="65"/>
      <c r="D3147" s="2"/>
      <c r="E3147" s="2"/>
      <c r="F3147" s="2"/>
    </row>
    <row r="3148" spans="1:6" x14ac:dyDescent="0.3">
      <c r="A3148" s="63"/>
      <c r="B3148" s="64"/>
      <c r="C3148" s="64"/>
      <c r="D3148" s="64"/>
      <c r="E3148" s="63"/>
      <c r="F3148" s="64"/>
    </row>
    <row r="3149" spans="1:6" x14ac:dyDescent="0.3">
      <c r="A3149" s="2"/>
      <c r="B3149" s="65"/>
      <c r="C3149" s="65"/>
      <c r="D3149" s="2"/>
      <c r="E3149" s="2"/>
      <c r="F3149" s="2"/>
    </row>
    <row r="3150" spans="1:6" x14ac:dyDescent="0.3">
      <c r="A3150" s="63"/>
      <c r="B3150" s="64"/>
      <c r="C3150" s="64"/>
      <c r="D3150" s="64"/>
      <c r="E3150" s="63"/>
      <c r="F3150" s="64"/>
    </row>
    <row r="3151" spans="1:6" x14ac:dyDescent="0.3">
      <c r="A3151" s="2"/>
      <c r="B3151" s="65"/>
      <c r="C3151" s="65"/>
      <c r="D3151" s="2"/>
      <c r="E3151" s="2"/>
      <c r="F3151" s="2"/>
    </row>
    <row r="3152" spans="1:6" x14ac:dyDescent="0.3">
      <c r="A3152" s="63"/>
      <c r="B3152" s="64"/>
      <c r="C3152" s="64"/>
      <c r="D3152" s="64"/>
      <c r="E3152" s="63"/>
      <c r="F3152" s="64"/>
    </row>
    <row r="3153" spans="1:6" x14ac:dyDescent="0.3">
      <c r="A3153" s="2"/>
      <c r="B3153" s="65"/>
      <c r="C3153" s="65"/>
      <c r="D3153" s="2"/>
      <c r="E3153" s="2"/>
      <c r="F3153" s="2"/>
    </row>
    <row r="3154" spans="1:6" x14ac:dyDescent="0.3">
      <c r="A3154" s="63"/>
      <c r="B3154" s="64"/>
      <c r="C3154" s="64"/>
      <c r="D3154" s="64"/>
      <c r="E3154" s="63"/>
      <c r="F3154" s="64"/>
    </row>
    <row r="3155" spans="1:6" x14ac:dyDescent="0.3">
      <c r="A3155" s="2"/>
      <c r="B3155" s="65"/>
      <c r="C3155" s="65"/>
      <c r="D3155" s="2"/>
      <c r="E3155" s="2"/>
      <c r="F3155" s="2"/>
    </row>
    <row r="3156" spans="1:6" x14ac:dyDescent="0.3">
      <c r="A3156" s="63"/>
      <c r="B3156" s="64"/>
      <c r="C3156" s="64"/>
      <c r="D3156" s="64"/>
      <c r="E3156" s="63"/>
      <c r="F3156" s="64"/>
    </row>
    <row r="3157" spans="1:6" x14ac:dyDescent="0.3">
      <c r="A3157" s="2"/>
      <c r="B3157" s="65"/>
      <c r="C3157" s="65"/>
      <c r="D3157" s="2"/>
      <c r="E3157" s="2"/>
      <c r="F3157" s="2"/>
    </row>
    <row r="3158" spans="1:6" x14ac:dyDescent="0.3">
      <c r="A3158" s="63"/>
      <c r="B3158" s="64"/>
      <c r="C3158" s="64"/>
      <c r="D3158" s="64"/>
      <c r="E3158" s="63"/>
      <c r="F3158" s="64"/>
    </row>
    <row r="3159" spans="1:6" x14ac:dyDescent="0.3">
      <c r="A3159" s="2"/>
      <c r="B3159" s="65"/>
      <c r="C3159" s="65"/>
      <c r="D3159" s="2"/>
      <c r="E3159" s="2"/>
      <c r="F3159" s="2"/>
    </row>
    <row r="3160" spans="1:6" x14ac:dyDescent="0.3">
      <c r="A3160" s="63"/>
      <c r="B3160" s="64"/>
      <c r="C3160" s="64"/>
      <c r="D3160" s="64"/>
      <c r="E3160" s="63"/>
      <c r="F3160" s="64"/>
    </row>
    <row r="3161" spans="1:6" x14ac:dyDescent="0.3">
      <c r="A3161" s="2"/>
      <c r="B3161" s="65"/>
      <c r="C3161" s="65"/>
      <c r="D3161" s="2"/>
      <c r="E3161" s="2"/>
      <c r="F3161" s="2"/>
    </row>
    <row r="3162" spans="1:6" x14ac:dyDescent="0.3">
      <c r="A3162" s="63"/>
      <c r="B3162" s="64"/>
      <c r="C3162" s="64"/>
      <c r="D3162" s="64"/>
      <c r="E3162" s="63"/>
      <c r="F3162" s="64"/>
    </row>
    <row r="3163" spans="1:6" x14ac:dyDescent="0.3">
      <c r="A3163" s="2"/>
      <c r="B3163" s="65"/>
      <c r="C3163" s="65"/>
      <c r="D3163" s="2"/>
      <c r="E3163" s="2"/>
      <c r="F3163" s="2"/>
    </row>
    <row r="3164" spans="1:6" x14ac:dyDescent="0.3">
      <c r="A3164" s="63"/>
      <c r="B3164" s="64"/>
      <c r="C3164" s="64"/>
      <c r="D3164" s="64"/>
      <c r="E3164" s="63"/>
      <c r="F3164" s="64"/>
    </row>
    <row r="3165" spans="1:6" x14ac:dyDescent="0.3">
      <c r="A3165" s="2"/>
      <c r="B3165" s="65"/>
      <c r="C3165" s="65"/>
      <c r="D3165" s="2"/>
      <c r="E3165" s="2"/>
      <c r="F3165" s="2"/>
    </row>
    <row r="3166" spans="1:6" x14ac:dyDescent="0.3">
      <c r="A3166" s="63"/>
      <c r="B3166" s="64"/>
      <c r="C3166" s="64"/>
      <c r="D3166" s="64"/>
      <c r="E3166" s="63"/>
      <c r="F3166" s="64"/>
    </row>
    <row r="3167" spans="1:6" x14ac:dyDescent="0.3">
      <c r="A3167" s="2"/>
      <c r="B3167" s="65"/>
      <c r="C3167" s="65"/>
      <c r="D3167" s="2"/>
      <c r="E3167" s="2"/>
      <c r="F3167" s="2"/>
    </row>
    <row r="3168" spans="1:6" x14ac:dyDescent="0.3">
      <c r="A3168" s="63"/>
      <c r="B3168" s="64"/>
      <c r="C3168" s="64"/>
      <c r="D3168" s="64"/>
      <c r="E3168" s="63"/>
      <c r="F3168" s="64"/>
    </row>
    <row r="3169" spans="1:6" x14ac:dyDescent="0.3">
      <c r="A3169" s="2"/>
      <c r="B3169" s="65"/>
      <c r="C3169" s="65"/>
      <c r="D3169" s="2"/>
      <c r="E3169" s="2"/>
      <c r="F3169" s="2"/>
    </row>
    <row r="3170" spans="1:6" x14ac:dyDescent="0.3">
      <c r="A3170" s="63"/>
      <c r="B3170" s="64"/>
      <c r="C3170" s="64"/>
      <c r="D3170" s="64"/>
      <c r="E3170" s="63"/>
      <c r="F3170" s="64"/>
    </row>
    <row r="3171" spans="1:6" x14ac:dyDescent="0.3">
      <c r="A3171" s="2"/>
      <c r="B3171" s="65"/>
      <c r="C3171" s="65"/>
      <c r="D3171" s="2"/>
      <c r="E3171" s="2"/>
      <c r="F3171" s="2"/>
    </row>
    <row r="3172" spans="1:6" x14ac:dyDescent="0.3">
      <c r="A3172" s="63"/>
      <c r="B3172" s="64"/>
      <c r="C3172" s="64"/>
      <c r="D3172" s="64"/>
      <c r="E3172" s="63"/>
      <c r="F3172" s="64"/>
    </row>
    <row r="3173" spans="1:6" x14ac:dyDescent="0.3">
      <c r="A3173" s="2"/>
      <c r="B3173" s="65"/>
      <c r="C3173" s="65"/>
      <c r="D3173" s="2"/>
      <c r="E3173" s="2"/>
      <c r="F3173" s="2"/>
    </row>
    <row r="3174" spans="1:6" x14ac:dyDescent="0.3">
      <c r="A3174" s="63"/>
      <c r="B3174" s="64"/>
      <c r="C3174" s="64"/>
      <c r="D3174" s="64"/>
      <c r="E3174" s="63"/>
      <c r="F3174" s="64"/>
    </row>
    <row r="3175" spans="1:6" x14ac:dyDescent="0.3">
      <c r="A3175" s="2"/>
      <c r="B3175" s="65"/>
      <c r="C3175" s="65"/>
      <c r="D3175" s="2"/>
      <c r="E3175" s="2"/>
      <c r="F3175" s="2"/>
    </row>
    <row r="3176" spans="1:6" x14ac:dyDescent="0.3">
      <c r="A3176" s="63"/>
      <c r="B3176" s="64"/>
      <c r="C3176" s="64"/>
      <c r="D3176" s="64"/>
      <c r="E3176" s="63"/>
      <c r="F3176" s="64"/>
    </row>
    <row r="3177" spans="1:6" x14ac:dyDescent="0.3">
      <c r="A3177" s="2"/>
      <c r="B3177" s="65"/>
      <c r="C3177" s="65"/>
      <c r="D3177" s="2"/>
      <c r="E3177" s="2"/>
      <c r="F3177" s="2"/>
    </row>
    <row r="3178" spans="1:6" x14ac:dyDescent="0.3">
      <c r="A3178" s="63"/>
      <c r="B3178" s="64"/>
      <c r="C3178" s="64"/>
      <c r="D3178" s="64"/>
      <c r="E3178" s="63"/>
      <c r="F3178" s="64"/>
    </row>
    <row r="3179" spans="1:6" x14ac:dyDescent="0.3">
      <c r="A3179" s="2"/>
      <c r="B3179" s="65"/>
      <c r="C3179" s="65"/>
      <c r="D3179" s="2"/>
      <c r="E3179" s="2"/>
      <c r="F3179" s="2"/>
    </row>
    <row r="3180" spans="1:6" x14ac:dyDescent="0.3">
      <c r="A3180" s="63"/>
      <c r="B3180" s="64"/>
      <c r="C3180" s="64"/>
      <c r="D3180" s="64"/>
      <c r="E3180" s="63"/>
      <c r="F3180" s="64"/>
    </row>
    <row r="3181" spans="1:6" x14ac:dyDescent="0.3">
      <c r="A3181" s="2"/>
      <c r="B3181" s="65"/>
      <c r="C3181" s="65"/>
      <c r="D3181" s="2"/>
      <c r="E3181" s="2"/>
      <c r="F3181" s="2"/>
    </row>
    <row r="3182" spans="1:6" x14ac:dyDescent="0.3">
      <c r="A3182" s="63"/>
      <c r="B3182" s="64"/>
      <c r="C3182" s="64"/>
      <c r="D3182" s="64"/>
      <c r="E3182" s="63"/>
      <c r="F3182" s="64"/>
    </row>
    <row r="3183" spans="1:6" x14ac:dyDescent="0.3">
      <c r="A3183" s="2"/>
      <c r="B3183" s="65"/>
      <c r="C3183" s="65"/>
      <c r="D3183" s="2"/>
      <c r="E3183" s="2"/>
      <c r="F3183" s="2"/>
    </row>
    <row r="3184" spans="1:6" x14ac:dyDescent="0.3">
      <c r="A3184" s="63"/>
      <c r="B3184" s="64"/>
      <c r="C3184" s="64"/>
      <c r="D3184" s="64"/>
      <c r="E3184" s="63"/>
      <c r="F3184" s="64"/>
    </row>
    <row r="3185" spans="1:6" x14ac:dyDescent="0.3">
      <c r="A3185" s="2"/>
      <c r="B3185" s="65"/>
      <c r="C3185" s="65"/>
      <c r="D3185" s="2"/>
      <c r="E3185" s="2"/>
      <c r="F3185" s="2"/>
    </row>
    <row r="3186" spans="1:6" x14ac:dyDescent="0.3">
      <c r="A3186" s="63"/>
      <c r="B3186" s="64"/>
      <c r="C3186" s="64"/>
      <c r="D3186" s="64"/>
      <c r="E3186" s="63"/>
      <c r="F3186" s="64"/>
    </row>
    <row r="3187" spans="1:6" x14ac:dyDescent="0.3">
      <c r="A3187" s="2"/>
      <c r="B3187" s="65"/>
      <c r="C3187" s="65"/>
      <c r="D3187" s="2"/>
      <c r="E3187" s="2"/>
      <c r="F3187" s="2"/>
    </row>
    <row r="3188" spans="1:6" x14ac:dyDescent="0.3">
      <c r="A3188" s="63"/>
      <c r="B3188" s="64"/>
      <c r="C3188" s="64"/>
      <c r="D3188" s="64"/>
      <c r="E3188" s="63"/>
      <c r="F3188" s="64"/>
    </row>
    <row r="3189" spans="1:6" x14ac:dyDescent="0.3">
      <c r="A3189" s="2"/>
      <c r="B3189" s="65"/>
      <c r="C3189" s="65"/>
      <c r="D3189" s="2"/>
      <c r="E3189" s="2"/>
      <c r="F3189" s="2"/>
    </row>
    <row r="3190" spans="1:6" x14ac:dyDescent="0.3">
      <c r="A3190" s="63"/>
      <c r="B3190" s="64"/>
      <c r="C3190" s="64"/>
      <c r="D3190" s="64"/>
      <c r="E3190" s="63"/>
      <c r="F3190" s="64"/>
    </row>
    <row r="3191" spans="1:6" x14ac:dyDescent="0.3">
      <c r="A3191" s="2"/>
      <c r="B3191" s="65"/>
      <c r="C3191" s="65"/>
      <c r="D3191" s="2"/>
      <c r="E3191" s="2"/>
      <c r="F3191" s="2"/>
    </row>
    <row r="3192" spans="1:6" x14ac:dyDescent="0.3">
      <c r="A3192" s="63"/>
      <c r="B3192" s="64"/>
      <c r="C3192" s="64"/>
      <c r="D3192" s="64"/>
      <c r="E3192" s="63"/>
      <c r="F3192" s="64"/>
    </row>
    <row r="3193" spans="1:6" x14ac:dyDescent="0.3">
      <c r="A3193" s="2"/>
      <c r="B3193" s="65"/>
      <c r="C3193" s="65"/>
      <c r="D3193" s="2"/>
      <c r="E3193" s="2"/>
      <c r="F3193" s="2"/>
    </row>
    <row r="3194" spans="1:6" x14ac:dyDescent="0.3">
      <c r="A3194" s="63"/>
      <c r="B3194" s="64"/>
      <c r="C3194" s="64"/>
      <c r="D3194" s="64"/>
      <c r="E3194" s="63"/>
      <c r="F3194" s="64"/>
    </row>
    <row r="3195" spans="1:6" x14ac:dyDescent="0.3">
      <c r="A3195" s="2"/>
      <c r="B3195" s="65"/>
      <c r="C3195" s="65"/>
      <c r="D3195" s="2"/>
      <c r="E3195" s="2"/>
      <c r="F3195" s="2"/>
    </row>
    <row r="3196" spans="1:6" x14ac:dyDescent="0.3">
      <c r="A3196" s="63"/>
      <c r="B3196" s="64"/>
      <c r="C3196" s="64"/>
      <c r="D3196" s="64"/>
      <c r="E3196" s="63"/>
      <c r="F3196" s="64"/>
    </row>
    <row r="3197" spans="1:6" x14ac:dyDescent="0.3">
      <c r="A3197" s="2"/>
      <c r="B3197" s="65"/>
      <c r="C3197" s="65"/>
      <c r="D3197" s="2"/>
      <c r="E3197" s="2"/>
      <c r="F3197" s="2"/>
    </row>
    <row r="3198" spans="1:6" x14ac:dyDescent="0.3">
      <c r="A3198" s="63"/>
      <c r="B3198" s="64"/>
      <c r="C3198" s="64"/>
      <c r="D3198" s="64"/>
      <c r="E3198" s="63"/>
      <c r="F3198" s="64"/>
    </row>
    <row r="3199" spans="1:6" x14ac:dyDescent="0.3">
      <c r="A3199" s="2"/>
      <c r="B3199" s="65"/>
      <c r="C3199" s="65"/>
      <c r="D3199" s="2"/>
      <c r="E3199" s="2"/>
      <c r="F3199" s="2"/>
    </row>
    <row r="3200" spans="1:6" x14ac:dyDescent="0.3">
      <c r="A3200" s="63"/>
      <c r="B3200" s="64"/>
      <c r="C3200" s="64"/>
      <c r="D3200" s="64"/>
      <c r="E3200" s="63"/>
      <c r="F3200" s="64"/>
    </row>
    <row r="3201" spans="1:6" x14ac:dyDescent="0.3">
      <c r="A3201" s="2"/>
      <c r="B3201" s="65"/>
      <c r="C3201" s="65"/>
      <c r="D3201" s="2"/>
      <c r="E3201" s="2"/>
      <c r="F3201" s="2"/>
    </row>
    <row r="3202" spans="1:6" x14ac:dyDescent="0.3">
      <c r="A3202" s="63"/>
      <c r="B3202" s="64"/>
      <c r="C3202" s="64"/>
      <c r="D3202" s="64"/>
      <c r="E3202" s="63"/>
      <c r="F3202" s="64"/>
    </row>
    <row r="3203" spans="1:6" x14ac:dyDescent="0.3">
      <c r="A3203" s="2"/>
      <c r="B3203" s="65"/>
      <c r="C3203" s="65"/>
      <c r="D3203" s="2"/>
      <c r="E3203" s="2"/>
      <c r="F3203" s="2"/>
    </row>
    <row r="3204" spans="1:6" x14ac:dyDescent="0.3">
      <c r="A3204" s="63"/>
      <c r="B3204" s="64"/>
      <c r="C3204" s="64"/>
      <c r="D3204" s="64"/>
      <c r="E3204" s="63"/>
      <c r="F3204" s="64"/>
    </row>
    <row r="3205" spans="1:6" x14ac:dyDescent="0.3">
      <c r="A3205" s="2"/>
      <c r="B3205" s="65"/>
      <c r="C3205" s="65"/>
      <c r="D3205" s="2"/>
      <c r="E3205" s="2"/>
      <c r="F3205" s="2"/>
    </row>
    <row r="3206" spans="1:6" x14ac:dyDescent="0.3">
      <c r="A3206" s="63"/>
      <c r="B3206" s="64"/>
      <c r="C3206" s="64"/>
      <c r="D3206" s="64"/>
      <c r="E3206" s="63"/>
      <c r="F3206" s="64"/>
    </row>
    <row r="3207" spans="1:6" x14ac:dyDescent="0.3">
      <c r="A3207" s="2"/>
      <c r="B3207" s="65"/>
      <c r="C3207" s="65"/>
      <c r="D3207" s="2"/>
      <c r="E3207" s="2"/>
      <c r="F3207" s="2"/>
    </row>
    <row r="3208" spans="1:6" x14ac:dyDescent="0.3">
      <c r="A3208" s="63"/>
      <c r="B3208" s="64"/>
      <c r="C3208" s="64"/>
      <c r="D3208" s="64"/>
      <c r="E3208" s="63"/>
      <c r="F3208" s="64"/>
    </row>
    <row r="3209" spans="1:6" x14ac:dyDescent="0.3">
      <c r="A3209" s="2"/>
      <c r="B3209" s="65"/>
      <c r="C3209" s="65"/>
      <c r="D3209" s="2"/>
      <c r="E3209" s="2"/>
      <c r="F3209" s="2"/>
    </row>
    <row r="3210" spans="1:6" x14ac:dyDescent="0.3">
      <c r="A3210" s="63"/>
      <c r="B3210" s="64"/>
      <c r="C3210" s="64"/>
      <c r="D3210" s="64"/>
      <c r="E3210" s="63"/>
      <c r="F3210" s="64"/>
    </row>
    <row r="3211" spans="1:6" x14ac:dyDescent="0.3">
      <c r="A3211" s="2"/>
      <c r="B3211" s="65"/>
      <c r="C3211" s="65"/>
      <c r="D3211" s="2"/>
      <c r="E3211" s="2"/>
      <c r="F3211" s="2"/>
    </row>
    <row r="3212" spans="1:6" x14ac:dyDescent="0.3">
      <c r="A3212" s="63"/>
      <c r="B3212" s="64"/>
      <c r="C3212" s="64"/>
      <c r="D3212" s="64"/>
      <c r="E3212" s="63"/>
      <c r="F3212" s="64"/>
    </row>
    <row r="3213" spans="1:6" x14ac:dyDescent="0.3">
      <c r="A3213" s="2"/>
      <c r="B3213" s="65"/>
      <c r="C3213" s="65"/>
      <c r="D3213" s="2"/>
      <c r="E3213" s="2"/>
      <c r="F3213" s="2"/>
    </row>
    <row r="3214" spans="1:6" x14ac:dyDescent="0.3">
      <c r="A3214" s="63"/>
      <c r="B3214" s="64"/>
      <c r="C3214" s="64"/>
      <c r="D3214" s="64"/>
      <c r="E3214" s="63"/>
      <c r="F3214" s="64"/>
    </row>
    <row r="3215" spans="1:6" x14ac:dyDescent="0.3">
      <c r="A3215" s="2"/>
      <c r="B3215" s="65"/>
      <c r="C3215" s="65"/>
      <c r="D3215" s="2"/>
      <c r="E3215" s="2"/>
      <c r="F3215" s="2"/>
    </row>
    <row r="3216" spans="1:6" x14ac:dyDescent="0.3">
      <c r="A3216" s="63"/>
      <c r="B3216" s="64"/>
      <c r="C3216" s="64"/>
      <c r="D3216" s="64"/>
      <c r="E3216" s="63"/>
      <c r="F3216" s="64"/>
    </row>
    <row r="3217" spans="1:6" x14ac:dyDescent="0.3">
      <c r="A3217" s="2"/>
      <c r="B3217" s="65"/>
      <c r="C3217" s="65"/>
      <c r="D3217" s="2"/>
      <c r="E3217" s="2"/>
      <c r="F3217" s="2"/>
    </row>
    <row r="3218" spans="1:6" x14ac:dyDescent="0.3">
      <c r="A3218" s="63"/>
      <c r="B3218" s="64"/>
      <c r="C3218" s="64"/>
      <c r="D3218" s="64"/>
      <c r="E3218" s="63"/>
      <c r="F3218" s="64"/>
    </row>
    <row r="3219" spans="1:6" x14ac:dyDescent="0.3">
      <c r="A3219" s="2"/>
      <c r="B3219" s="65"/>
      <c r="C3219" s="65"/>
      <c r="D3219" s="2"/>
      <c r="E3219" s="2"/>
      <c r="F3219" s="2"/>
    </row>
    <row r="3220" spans="1:6" x14ac:dyDescent="0.3">
      <c r="A3220" s="63"/>
      <c r="B3220" s="64"/>
      <c r="C3220" s="64"/>
      <c r="D3220" s="64"/>
      <c r="E3220" s="63"/>
      <c r="F3220" s="64"/>
    </row>
    <row r="3221" spans="1:6" x14ac:dyDescent="0.3">
      <c r="A3221" s="2"/>
      <c r="B3221" s="65"/>
      <c r="C3221" s="65"/>
      <c r="D3221" s="2"/>
      <c r="E3221" s="2"/>
      <c r="F3221" s="2"/>
    </row>
    <row r="3222" spans="1:6" x14ac:dyDescent="0.3">
      <c r="A3222" s="63"/>
      <c r="B3222" s="64"/>
      <c r="C3222" s="64"/>
      <c r="D3222" s="64"/>
      <c r="E3222" s="63"/>
      <c r="F3222" s="64"/>
    </row>
    <row r="3223" spans="1:6" x14ac:dyDescent="0.3">
      <c r="A3223" s="2"/>
      <c r="B3223" s="65"/>
      <c r="C3223" s="65"/>
      <c r="D3223" s="2"/>
      <c r="E3223" s="2"/>
      <c r="F3223" s="2"/>
    </row>
    <row r="3224" spans="1:6" x14ac:dyDescent="0.3">
      <c r="A3224" s="63"/>
      <c r="B3224" s="64"/>
      <c r="C3224" s="64"/>
      <c r="D3224" s="64"/>
      <c r="E3224" s="63"/>
      <c r="F3224" s="64"/>
    </row>
    <row r="3225" spans="1:6" x14ac:dyDescent="0.3">
      <c r="A3225" s="2"/>
      <c r="B3225" s="65"/>
      <c r="C3225" s="65"/>
      <c r="D3225" s="2"/>
      <c r="E3225" s="2"/>
      <c r="F3225" s="2"/>
    </row>
    <row r="3226" spans="1:6" x14ac:dyDescent="0.3">
      <c r="A3226" s="63"/>
      <c r="B3226" s="64"/>
      <c r="C3226" s="64"/>
      <c r="D3226" s="64"/>
      <c r="E3226" s="63"/>
      <c r="F3226" s="64"/>
    </row>
    <row r="3227" spans="1:6" x14ac:dyDescent="0.3">
      <c r="A3227" s="2"/>
      <c r="B3227" s="65"/>
      <c r="C3227" s="65"/>
      <c r="D3227" s="2"/>
      <c r="E3227" s="2"/>
      <c r="F3227" s="2"/>
    </row>
    <row r="3228" spans="1:6" x14ac:dyDescent="0.3">
      <c r="A3228" s="63"/>
      <c r="B3228" s="64"/>
      <c r="C3228" s="64"/>
      <c r="D3228" s="64"/>
      <c r="E3228" s="63"/>
      <c r="F3228" s="64"/>
    </row>
    <row r="3229" spans="1:6" x14ac:dyDescent="0.3">
      <c r="A3229" s="2"/>
      <c r="B3229" s="65"/>
      <c r="C3229" s="65"/>
      <c r="D3229" s="2"/>
      <c r="E3229" s="2"/>
      <c r="F3229" s="2"/>
    </row>
    <row r="3230" spans="1:6" x14ac:dyDescent="0.3">
      <c r="A3230" s="63"/>
      <c r="B3230" s="64"/>
      <c r="C3230" s="64"/>
      <c r="D3230" s="64"/>
      <c r="E3230" s="63"/>
      <c r="F3230" s="64"/>
    </row>
    <row r="3231" spans="1:6" x14ac:dyDescent="0.3">
      <c r="A3231" s="2"/>
      <c r="B3231" s="65"/>
      <c r="C3231" s="65"/>
      <c r="D3231" s="2"/>
      <c r="E3231" s="2"/>
      <c r="F3231" s="2"/>
    </row>
    <row r="3232" spans="1:6" x14ac:dyDescent="0.3">
      <c r="A3232" s="63"/>
      <c r="B3232" s="64"/>
      <c r="C3232" s="64"/>
      <c r="D3232" s="64"/>
      <c r="E3232" s="63"/>
      <c r="F3232" s="64"/>
    </row>
    <row r="3233" spans="1:6" x14ac:dyDescent="0.3">
      <c r="A3233" s="2"/>
      <c r="B3233" s="65"/>
      <c r="C3233" s="65"/>
      <c r="D3233" s="2"/>
      <c r="E3233" s="2"/>
      <c r="F3233" s="2"/>
    </row>
    <row r="3234" spans="1:6" x14ac:dyDescent="0.3">
      <c r="A3234" s="63"/>
      <c r="B3234" s="64"/>
      <c r="C3234" s="64"/>
      <c r="D3234" s="64"/>
      <c r="E3234" s="63"/>
      <c r="F3234" s="64"/>
    </row>
    <row r="3235" spans="1:6" x14ac:dyDescent="0.3">
      <c r="A3235" s="2"/>
      <c r="B3235" s="65"/>
      <c r="C3235" s="65"/>
      <c r="D3235" s="2"/>
      <c r="E3235" s="2"/>
      <c r="F3235" s="2"/>
    </row>
    <row r="3236" spans="1:6" x14ac:dyDescent="0.3">
      <c r="A3236" s="63"/>
      <c r="B3236" s="64"/>
      <c r="C3236" s="64"/>
      <c r="D3236" s="64"/>
      <c r="E3236" s="63"/>
      <c r="F3236" s="64"/>
    </row>
    <row r="3237" spans="1:6" x14ac:dyDescent="0.3">
      <c r="A3237" s="2"/>
      <c r="B3237" s="65"/>
      <c r="C3237" s="65"/>
      <c r="D3237" s="2"/>
      <c r="E3237" s="2"/>
      <c r="F3237" s="2"/>
    </row>
    <row r="3238" spans="1:6" x14ac:dyDescent="0.3">
      <c r="A3238" s="63"/>
      <c r="B3238" s="64"/>
      <c r="C3238" s="64"/>
      <c r="D3238" s="64"/>
      <c r="E3238" s="63"/>
      <c r="F3238" s="64"/>
    </row>
    <row r="3239" spans="1:6" x14ac:dyDescent="0.3">
      <c r="A3239" s="2"/>
      <c r="B3239" s="65"/>
      <c r="C3239" s="65"/>
      <c r="D3239" s="2"/>
      <c r="E3239" s="2"/>
      <c r="F3239" s="2"/>
    </row>
    <row r="3240" spans="1:6" x14ac:dyDescent="0.3">
      <c r="A3240" s="63"/>
      <c r="B3240" s="64"/>
      <c r="C3240" s="64"/>
      <c r="D3240" s="64"/>
      <c r="E3240" s="63"/>
      <c r="F3240" s="64"/>
    </row>
    <row r="3241" spans="1:6" x14ac:dyDescent="0.3">
      <c r="A3241" s="2"/>
      <c r="B3241" s="65"/>
      <c r="C3241" s="65"/>
      <c r="D3241" s="2"/>
      <c r="E3241" s="2"/>
      <c r="F3241" s="2"/>
    </row>
    <row r="3242" spans="1:6" x14ac:dyDescent="0.3">
      <c r="A3242" s="63"/>
      <c r="B3242" s="64"/>
      <c r="C3242" s="64"/>
      <c r="D3242" s="64"/>
      <c r="E3242" s="63"/>
      <c r="F3242" s="64"/>
    </row>
    <row r="3243" spans="1:6" x14ac:dyDescent="0.3">
      <c r="A3243" s="2"/>
      <c r="B3243" s="65"/>
      <c r="C3243" s="65"/>
      <c r="D3243" s="2"/>
      <c r="E3243" s="2"/>
      <c r="F3243" s="2"/>
    </row>
    <row r="3244" spans="1:6" x14ac:dyDescent="0.3">
      <c r="A3244" s="63"/>
      <c r="B3244" s="64"/>
      <c r="C3244" s="64"/>
      <c r="D3244" s="64"/>
      <c r="E3244" s="63"/>
      <c r="F3244" s="64"/>
    </row>
    <row r="3245" spans="1:6" x14ac:dyDescent="0.3">
      <c r="A3245" s="2"/>
      <c r="B3245" s="65"/>
      <c r="C3245" s="65"/>
      <c r="D3245" s="2"/>
      <c r="E3245" s="2"/>
      <c r="F3245" s="2"/>
    </row>
    <row r="3246" spans="1:6" x14ac:dyDescent="0.3">
      <c r="A3246" s="63"/>
      <c r="B3246" s="64"/>
      <c r="C3246" s="64"/>
      <c r="D3246" s="64"/>
      <c r="E3246" s="63"/>
      <c r="F3246" s="64"/>
    </row>
    <row r="3247" spans="1:6" x14ac:dyDescent="0.3">
      <c r="A3247" s="2"/>
      <c r="B3247" s="65"/>
      <c r="C3247" s="65"/>
      <c r="D3247" s="2"/>
      <c r="E3247" s="2"/>
      <c r="F3247" s="2"/>
    </row>
    <row r="3248" spans="1:6" x14ac:dyDescent="0.3">
      <c r="A3248" s="63"/>
      <c r="B3248" s="64"/>
      <c r="C3248" s="64"/>
      <c r="D3248" s="64"/>
      <c r="E3248" s="63"/>
      <c r="F3248" s="64"/>
    </row>
    <row r="3249" spans="1:6" x14ac:dyDescent="0.3">
      <c r="A3249" s="2"/>
      <c r="B3249" s="65"/>
      <c r="C3249" s="65"/>
      <c r="D3249" s="2"/>
      <c r="E3249" s="2"/>
      <c r="F3249" s="2"/>
    </row>
    <row r="3250" spans="1:6" x14ac:dyDescent="0.3">
      <c r="A3250" s="63"/>
      <c r="B3250" s="64"/>
      <c r="C3250" s="64"/>
      <c r="D3250" s="64"/>
      <c r="E3250" s="63"/>
      <c r="F3250" s="64"/>
    </row>
    <row r="3251" spans="1:6" x14ac:dyDescent="0.3">
      <c r="A3251" s="2"/>
      <c r="B3251" s="65"/>
      <c r="C3251" s="65"/>
      <c r="D3251" s="2"/>
      <c r="E3251" s="2"/>
      <c r="F3251" s="2"/>
    </row>
    <row r="3252" spans="1:6" x14ac:dyDescent="0.3">
      <c r="A3252" s="63"/>
      <c r="B3252" s="64"/>
      <c r="C3252" s="64"/>
      <c r="D3252" s="64"/>
      <c r="E3252" s="63"/>
      <c r="F3252" s="64"/>
    </row>
    <row r="3253" spans="1:6" x14ac:dyDescent="0.3">
      <c r="A3253" s="2"/>
      <c r="B3253" s="65"/>
      <c r="C3253" s="65"/>
      <c r="D3253" s="2"/>
      <c r="E3253" s="2"/>
      <c r="F3253" s="2"/>
    </row>
    <row r="3254" spans="1:6" x14ac:dyDescent="0.3">
      <c r="A3254" s="63"/>
      <c r="B3254" s="64"/>
      <c r="C3254" s="64"/>
      <c r="D3254" s="64"/>
      <c r="E3254" s="63"/>
      <c r="F3254" s="64"/>
    </row>
    <row r="3255" spans="1:6" x14ac:dyDescent="0.3">
      <c r="A3255" s="2"/>
      <c r="B3255" s="65"/>
      <c r="C3255" s="65"/>
      <c r="D3255" s="2"/>
      <c r="E3255" s="2"/>
      <c r="F3255" s="2"/>
    </row>
    <row r="3256" spans="1:6" x14ac:dyDescent="0.3">
      <c r="A3256" s="63"/>
      <c r="B3256" s="64"/>
      <c r="C3256" s="64"/>
      <c r="D3256" s="64"/>
      <c r="E3256" s="63"/>
      <c r="F3256" s="64"/>
    </row>
    <row r="3257" spans="1:6" x14ac:dyDescent="0.3">
      <c r="A3257" s="2"/>
      <c r="B3257" s="65"/>
      <c r="C3257" s="65"/>
      <c r="D3257" s="2"/>
      <c r="E3257" s="2"/>
      <c r="F3257" s="2"/>
    </row>
    <row r="3258" spans="1:6" x14ac:dyDescent="0.3">
      <c r="A3258" s="63"/>
      <c r="B3258" s="64"/>
      <c r="C3258" s="64"/>
      <c r="D3258" s="64"/>
      <c r="E3258" s="63"/>
      <c r="F3258" s="64"/>
    </row>
    <row r="3259" spans="1:6" x14ac:dyDescent="0.3">
      <c r="A3259" s="2"/>
      <c r="B3259" s="65"/>
      <c r="C3259" s="65"/>
      <c r="D3259" s="2"/>
      <c r="E3259" s="2"/>
      <c r="F3259" s="2"/>
    </row>
    <row r="3260" spans="1:6" x14ac:dyDescent="0.3">
      <c r="A3260" s="63"/>
      <c r="B3260" s="64"/>
      <c r="C3260" s="64"/>
      <c r="D3260" s="64"/>
      <c r="E3260" s="63"/>
      <c r="F3260" s="64"/>
    </row>
    <row r="3261" spans="1:6" x14ac:dyDescent="0.3">
      <c r="A3261" s="2"/>
      <c r="B3261" s="65"/>
      <c r="C3261" s="65"/>
      <c r="D3261" s="2"/>
      <c r="E3261" s="2"/>
      <c r="F3261" s="2"/>
    </row>
    <row r="3262" spans="1:6" x14ac:dyDescent="0.3">
      <c r="A3262" s="63"/>
      <c r="B3262" s="64"/>
      <c r="C3262" s="64"/>
      <c r="D3262" s="64"/>
      <c r="E3262" s="63"/>
      <c r="F3262" s="64"/>
    </row>
    <row r="3263" spans="1:6" x14ac:dyDescent="0.3">
      <c r="A3263" s="2"/>
      <c r="B3263" s="65"/>
      <c r="C3263" s="65"/>
      <c r="D3263" s="2"/>
      <c r="E3263" s="2"/>
      <c r="F3263" s="2"/>
    </row>
    <row r="3264" spans="1:6" x14ac:dyDescent="0.3">
      <c r="A3264" s="63"/>
      <c r="B3264" s="64"/>
      <c r="C3264" s="64"/>
      <c r="D3264" s="64"/>
      <c r="E3264" s="63"/>
      <c r="F3264" s="64"/>
    </row>
    <row r="3265" spans="1:6" x14ac:dyDescent="0.3">
      <c r="A3265" s="2"/>
      <c r="B3265" s="65"/>
      <c r="C3265" s="65"/>
      <c r="D3265" s="2"/>
      <c r="E3265" s="2"/>
      <c r="F3265" s="2"/>
    </row>
    <row r="3266" spans="1:6" x14ac:dyDescent="0.3">
      <c r="A3266" s="63"/>
      <c r="B3266" s="64"/>
      <c r="C3266" s="64"/>
      <c r="D3266" s="64"/>
      <c r="E3266" s="63"/>
      <c r="F3266" s="64"/>
    </row>
    <row r="3267" spans="1:6" x14ac:dyDescent="0.3">
      <c r="A3267" s="2"/>
      <c r="B3267" s="65"/>
      <c r="C3267" s="65"/>
      <c r="D3267" s="2"/>
      <c r="E3267" s="2"/>
      <c r="F3267" s="2"/>
    </row>
    <row r="3268" spans="1:6" x14ac:dyDescent="0.3">
      <c r="A3268" s="63"/>
      <c r="B3268" s="64"/>
      <c r="C3268" s="64"/>
      <c r="D3268" s="64"/>
      <c r="E3268" s="63"/>
      <c r="F3268" s="64"/>
    </row>
    <row r="3269" spans="1:6" x14ac:dyDescent="0.3">
      <c r="A3269" s="2"/>
      <c r="B3269" s="65"/>
      <c r="C3269" s="65"/>
      <c r="D3269" s="2"/>
      <c r="E3269" s="2"/>
      <c r="F3269" s="2"/>
    </row>
    <row r="3270" spans="1:6" x14ac:dyDescent="0.3">
      <c r="A3270" s="63"/>
      <c r="B3270" s="64"/>
      <c r="C3270" s="64"/>
      <c r="D3270" s="64"/>
      <c r="E3270" s="63"/>
      <c r="F3270" s="64"/>
    </row>
    <row r="3271" spans="1:6" x14ac:dyDescent="0.3">
      <c r="A3271" s="2"/>
      <c r="B3271" s="65"/>
      <c r="C3271" s="65"/>
      <c r="D3271" s="2"/>
      <c r="E3271" s="2"/>
      <c r="F3271" s="2"/>
    </row>
    <row r="3272" spans="1:6" x14ac:dyDescent="0.3">
      <c r="A3272" s="63"/>
      <c r="B3272" s="64"/>
      <c r="C3272" s="64"/>
      <c r="D3272" s="64"/>
      <c r="E3272" s="63"/>
      <c r="F3272" s="64"/>
    </row>
    <row r="3273" spans="1:6" x14ac:dyDescent="0.3">
      <c r="A3273" s="2"/>
      <c r="B3273" s="65"/>
      <c r="C3273" s="65"/>
      <c r="D3273" s="2"/>
      <c r="E3273" s="2"/>
      <c r="F3273" s="2"/>
    </row>
    <row r="3274" spans="1:6" x14ac:dyDescent="0.3">
      <c r="A3274" s="63"/>
      <c r="B3274" s="64"/>
      <c r="C3274" s="64"/>
      <c r="D3274" s="64"/>
      <c r="E3274" s="63"/>
      <c r="F3274" s="64"/>
    </row>
    <row r="3275" spans="1:6" x14ac:dyDescent="0.3">
      <c r="A3275" s="2"/>
      <c r="B3275" s="65"/>
      <c r="C3275" s="65"/>
      <c r="D3275" s="2"/>
      <c r="E3275" s="2"/>
      <c r="F3275" s="2"/>
    </row>
    <row r="3276" spans="1:6" x14ac:dyDescent="0.3">
      <c r="A3276" s="63"/>
      <c r="B3276" s="64"/>
      <c r="C3276" s="64"/>
      <c r="D3276" s="64"/>
      <c r="E3276" s="63"/>
      <c r="F3276" s="64"/>
    </row>
    <row r="3277" spans="1:6" x14ac:dyDescent="0.3">
      <c r="A3277" s="2"/>
      <c r="B3277" s="65"/>
      <c r="C3277" s="65"/>
      <c r="D3277" s="2"/>
      <c r="E3277" s="2"/>
      <c r="F3277" s="2"/>
    </row>
    <row r="3278" spans="1:6" x14ac:dyDescent="0.3">
      <c r="A3278" s="63"/>
      <c r="B3278" s="64"/>
      <c r="C3278" s="64"/>
      <c r="D3278" s="64"/>
      <c r="E3278" s="63"/>
      <c r="F3278" s="64"/>
    </row>
    <row r="3279" spans="1:6" x14ac:dyDescent="0.3">
      <c r="A3279" s="2"/>
      <c r="B3279" s="65"/>
      <c r="C3279" s="65"/>
      <c r="D3279" s="2"/>
      <c r="E3279" s="2"/>
      <c r="F3279" s="2"/>
    </row>
    <row r="3280" spans="1:6" x14ac:dyDescent="0.3">
      <c r="A3280" s="63"/>
      <c r="B3280" s="64"/>
      <c r="C3280" s="64"/>
      <c r="D3280" s="64"/>
      <c r="E3280" s="63"/>
      <c r="F3280" s="64"/>
    </row>
    <row r="3281" spans="1:6" x14ac:dyDescent="0.3">
      <c r="A3281" s="2"/>
      <c r="B3281" s="65"/>
      <c r="C3281" s="65"/>
      <c r="D3281" s="2"/>
      <c r="E3281" s="2"/>
      <c r="F3281" s="2"/>
    </row>
    <row r="3282" spans="1:6" x14ac:dyDescent="0.3">
      <c r="A3282" s="63"/>
      <c r="B3282" s="64"/>
      <c r="C3282" s="64"/>
      <c r="D3282" s="64"/>
      <c r="E3282" s="63"/>
      <c r="F3282" s="64"/>
    </row>
    <row r="3283" spans="1:6" x14ac:dyDescent="0.3">
      <c r="A3283" s="2"/>
      <c r="B3283" s="65"/>
      <c r="C3283" s="65"/>
      <c r="D3283" s="2"/>
      <c r="E3283" s="2"/>
      <c r="F3283" s="2"/>
    </row>
    <row r="3284" spans="1:6" x14ac:dyDescent="0.3">
      <c r="A3284" s="63"/>
      <c r="B3284" s="64"/>
      <c r="C3284" s="64"/>
      <c r="D3284" s="64"/>
      <c r="E3284" s="63"/>
      <c r="F3284" s="64"/>
    </row>
    <row r="3285" spans="1:6" x14ac:dyDescent="0.3">
      <c r="A3285" s="2"/>
      <c r="B3285" s="65"/>
      <c r="C3285" s="65"/>
      <c r="D3285" s="2"/>
      <c r="E3285" s="2"/>
      <c r="F3285" s="2"/>
    </row>
    <row r="3286" spans="1:6" x14ac:dyDescent="0.3">
      <c r="A3286" s="63"/>
      <c r="B3286" s="64"/>
      <c r="C3286" s="64"/>
      <c r="D3286" s="64"/>
      <c r="E3286" s="63"/>
      <c r="F3286" s="64"/>
    </row>
    <row r="3287" spans="1:6" x14ac:dyDescent="0.3">
      <c r="A3287" s="2"/>
      <c r="B3287" s="65"/>
      <c r="C3287" s="65"/>
      <c r="D3287" s="2"/>
      <c r="E3287" s="2"/>
      <c r="F3287" s="2"/>
    </row>
    <row r="3288" spans="1:6" x14ac:dyDescent="0.3">
      <c r="A3288" s="63"/>
      <c r="B3288" s="64"/>
      <c r="C3288" s="64"/>
      <c r="D3288" s="64"/>
      <c r="E3288" s="63"/>
      <c r="F3288" s="64"/>
    </row>
    <row r="3289" spans="1:6" x14ac:dyDescent="0.3">
      <c r="A3289" s="2"/>
      <c r="B3289" s="65"/>
      <c r="C3289" s="65"/>
      <c r="D3289" s="2"/>
      <c r="E3289" s="2"/>
      <c r="F3289" s="2"/>
    </row>
    <row r="3290" spans="1:6" x14ac:dyDescent="0.3">
      <c r="A3290" s="63"/>
      <c r="B3290" s="64"/>
      <c r="C3290" s="64"/>
      <c r="D3290" s="64"/>
      <c r="E3290" s="63"/>
      <c r="F3290" s="64"/>
    </row>
    <row r="3291" spans="1:6" x14ac:dyDescent="0.3">
      <c r="A3291" s="2"/>
      <c r="B3291" s="65"/>
      <c r="C3291" s="65"/>
      <c r="D3291" s="2"/>
      <c r="E3291" s="2"/>
      <c r="F3291" s="2"/>
    </row>
    <row r="3292" spans="1:6" x14ac:dyDescent="0.3">
      <c r="A3292" s="63"/>
      <c r="B3292" s="64"/>
      <c r="C3292" s="64"/>
      <c r="D3292" s="64"/>
      <c r="E3292" s="63"/>
      <c r="F3292" s="64"/>
    </row>
    <row r="3293" spans="1:6" x14ac:dyDescent="0.3">
      <c r="A3293" s="2"/>
      <c r="B3293" s="65"/>
      <c r="C3293" s="65"/>
      <c r="D3293" s="2"/>
      <c r="E3293" s="2"/>
      <c r="F3293" s="2"/>
    </row>
    <row r="3294" spans="1:6" x14ac:dyDescent="0.3">
      <c r="A3294" s="63"/>
      <c r="B3294" s="64"/>
      <c r="C3294" s="64"/>
      <c r="D3294" s="64"/>
      <c r="E3294" s="63"/>
      <c r="F3294" s="64"/>
    </row>
    <row r="3295" spans="1:6" x14ac:dyDescent="0.3">
      <c r="A3295" s="2"/>
      <c r="B3295" s="65"/>
      <c r="C3295" s="65"/>
      <c r="D3295" s="2"/>
      <c r="E3295" s="2"/>
      <c r="F3295" s="2"/>
    </row>
    <row r="3296" spans="1:6" x14ac:dyDescent="0.3">
      <c r="A3296" s="63"/>
      <c r="B3296" s="64"/>
      <c r="C3296" s="64"/>
      <c r="D3296" s="64"/>
      <c r="E3296" s="63"/>
      <c r="F3296" s="64"/>
    </row>
    <row r="3297" spans="1:6" x14ac:dyDescent="0.3">
      <c r="A3297" s="2"/>
      <c r="B3297" s="65"/>
      <c r="C3297" s="65"/>
      <c r="D3297" s="2"/>
      <c r="E3297" s="2"/>
      <c r="F3297" s="2"/>
    </row>
    <row r="3298" spans="1:6" x14ac:dyDescent="0.3">
      <c r="A3298" s="63"/>
      <c r="B3298" s="64"/>
      <c r="C3298" s="64"/>
      <c r="D3298" s="64"/>
      <c r="E3298" s="63"/>
      <c r="F3298" s="64"/>
    </row>
    <row r="3299" spans="1:6" x14ac:dyDescent="0.3">
      <c r="A3299" s="2"/>
      <c r="B3299" s="65"/>
      <c r="C3299" s="65"/>
      <c r="D3299" s="2"/>
      <c r="E3299" s="2"/>
      <c r="F3299" s="2"/>
    </row>
    <row r="3300" spans="1:6" x14ac:dyDescent="0.3">
      <c r="A3300" s="63"/>
      <c r="B3300" s="64"/>
      <c r="C3300" s="64"/>
      <c r="D3300" s="64"/>
      <c r="E3300" s="63"/>
      <c r="F3300" s="64"/>
    </row>
    <row r="3301" spans="1:6" x14ac:dyDescent="0.3">
      <c r="A3301" s="2"/>
      <c r="B3301" s="65"/>
      <c r="C3301" s="65"/>
      <c r="D3301" s="2"/>
      <c r="E3301" s="2"/>
      <c r="F3301" s="2"/>
    </row>
    <row r="3302" spans="1:6" x14ac:dyDescent="0.3">
      <c r="A3302" s="63"/>
      <c r="B3302" s="64"/>
      <c r="C3302" s="64"/>
      <c r="D3302" s="64"/>
      <c r="E3302" s="63"/>
      <c r="F3302" s="64"/>
    </row>
    <row r="3303" spans="1:6" x14ac:dyDescent="0.3">
      <c r="A3303" s="2"/>
      <c r="B3303" s="65"/>
      <c r="C3303" s="65"/>
      <c r="D3303" s="2"/>
      <c r="E3303" s="2"/>
      <c r="F3303" s="2"/>
    </row>
    <row r="3304" spans="1:6" x14ac:dyDescent="0.3">
      <c r="A3304" s="63"/>
      <c r="B3304" s="64"/>
      <c r="C3304" s="64"/>
      <c r="D3304" s="64"/>
      <c r="E3304" s="63"/>
      <c r="F3304" s="64"/>
    </row>
    <row r="3305" spans="1:6" x14ac:dyDescent="0.3">
      <c r="A3305" s="2"/>
      <c r="B3305" s="65"/>
      <c r="C3305" s="65"/>
      <c r="D3305" s="2"/>
      <c r="E3305" s="2"/>
      <c r="F3305" s="2"/>
    </row>
    <row r="3306" spans="1:6" x14ac:dyDescent="0.3">
      <c r="A3306" s="63"/>
      <c r="B3306" s="64"/>
      <c r="C3306" s="64"/>
      <c r="D3306" s="64"/>
      <c r="E3306" s="63"/>
      <c r="F3306" s="64"/>
    </row>
    <row r="3307" spans="1:6" x14ac:dyDescent="0.3">
      <c r="A3307" s="2"/>
      <c r="B3307" s="65"/>
      <c r="C3307" s="65"/>
      <c r="D3307" s="2"/>
      <c r="E3307" s="2"/>
      <c r="F3307" s="2"/>
    </row>
    <row r="3308" spans="1:6" x14ac:dyDescent="0.3">
      <c r="A3308" s="63"/>
      <c r="B3308" s="64"/>
      <c r="C3308" s="64"/>
      <c r="D3308" s="64"/>
      <c r="E3308" s="63"/>
      <c r="F3308" s="64"/>
    </row>
    <row r="3309" spans="1:6" x14ac:dyDescent="0.3">
      <c r="A3309" s="2"/>
      <c r="B3309" s="65"/>
      <c r="C3309" s="65"/>
      <c r="D3309" s="2"/>
      <c r="E3309" s="2"/>
      <c r="F3309" s="2"/>
    </row>
    <row r="3310" spans="1:6" x14ac:dyDescent="0.3">
      <c r="A3310" s="63"/>
      <c r="B3310" s="64"/>
      <c r="C3310" s="64"/>
      <c r="D3310" s="64"/>
      <c r="E3310" s="63"/>
      <c r="F3310" s="64"/>
    </row>
    <row r="3311" spans="1:6" x14ac:dyDescent="0.3">
      <c r="A3311" s="2"/>
      <c r="B3311" s="65"/>
      <c r="C3311" s="65"/>
      <c r="D3311" s="2"/>
      <c r="E3311" s="2"/>
      <c r="F3311" s="2"/>
    </row>
    <row r="3312" spans="1:6" x14ac:dyDescent="0.3">
      <c r="A3312" s="63"/>
      <c r="B3312" s="64"/>
      <c r="C3312" s="64"/>
      <c r="D3312" s="64"/>
      <c r="E3312" s="63"/>
      <c r="F3312" s="64"/>
    </row>
    <row r="3313" spans="1:6" x14ac:dyDescent="0.3">
      <c r="A3313" s="2"/>
      <c r="B3313" s="65"/>
      <c r="C3313" s="65"/>
      <c r="D3313" s="2"/>
      <c r="E3313" s="2"/>
      <c r="F3313" s="2"/>
    </row>
    <row r="3314" spans="1:6" x14ac:dyDescent="0.3">
      <c r="A3314" s="63"/>
      <c r="B3314" s="64"/>
      <c r="C3314" s="64"/>
      <c r="D3314" s="64"/>
      <c r="E3314" s="63"/>
      <c r="F3314" s="64"/>
    </row>
    <row r="3315" spans="1:6" x14ac:dyDescent="0.3">
      <c r="A3315" s="2"/>
      <c r="B3315" s="65"/>
      <c r="C3315" s="65"/>
      <c r="D3315" s="2"/>
      <c r="E3315" s="2"/>
      <c r="F3315" s="2"/>
    </row>
    <row r="3316" spans="1:6" x14ac:dyDescent="0.3">
      <c r="A3316" s="63"/>
      <c r="B3316" s="64"/>
      <c r="C3316" s="64"/>
      <c r="D3316" s="64"/>
      <c r="E3316" s="63"/>
      <c r="F3316" s="64"/>
    </row>
    <row r="3317" spans="1:6" x14ac:dyDescent="0.3">
      <c r="A3317" s="2"/>
      <c r="B3317" s="65"/>
      <c r="C3317" s="65"/>
      <c r="D3317" s="2"/>
      <c r="E3317" s="2"/>
      <c r="F3317" s="2"/>
    </row>
    <row r="3318" spans="1:6" x14ac:dyDescent="0.3">
      <c r="A3318" s="63"/>
      <c r="B3318" s="64"/>
      <c r="C3318" s="64"/>
      <c r="D3318" s="64"/>
      <c r="E3318" s="63"/>
      <c r="F3318" s="64"/>
    </row>
    <row r="3319" spans="1:6" x14ac:dyDescent="0.3">
      <c r="A3319" s="2"/>
      <c r="B3319" s="65"/>
      <c r="C3319" s="65"/>
      <c r="D3319" s="2"/>
      <c r="E3319" s="2"/>
      <c r="F3319" s="2"/>
    </row>
    <row r="3320" spans="1:6" x14ac:dyDescent="0.3">
      <c r="A3320" s="63"/>
      <c r="B3320" s="64"/>
      <c r="C3320" s="64"/>
      <c r="D3320" s="64"/>
      <c r="E3320" s="63"/>
      <c r="F3320" s="64"/>
    </row>
    <row r="3321" spans="1:6" x14ac:dyDescent="0.3">
      <c r="A3321" s="2"/>
      <c r="B3321" s="65"/>
      <c r="C3321" s="65"/>
      <c r="D3321" s="2"/>
      <c r="E3321" s="2"/>
      <c r="F3321" s="2"/>
    </row>
    <row r="3322" spans="1:6" x14ac:dyDescent="0.3">
      <c r="A3322" s="63"/>
      <c r="B3322" s="64"/>
      <c r="C3322" s="64"/>
      <c r="D3322" s="64"/>
      <c r="E3322" s="63"/>
      <c r="F3322" s="64"/>
    </row>
    <row r="3323" spans="1:6" x14ac:dyDescent="0.3">
      <c r="A3323" s="2"/>
      <c r="B3323" s="65"/>
      <c r="C3323" s="65"/>
      <c r="D3323" s="2"/>
      <c r="E3323" s="2"/>
      <c r="F3323" s="2"/>
    </row>
    <row r="3324" spans="1:6" x14ac:dyDescent="0.3">
      <c r="A3324" s="63"/>
      <c r="B3324" s="64"/>
      <c r="C3324" s="64"/>
      <c r="D3324" s="64"/>
      <c r="E3324" s="63"/>
      <c r="F3324" s="64"/>
    </row>
    <row r="3325" spans="1:6" x14ac:dyDescent="0.3">
      <c r="A3325" s="2"/>
      <c r="B3325" s="65"/>
      <c r="C3325" s="65"/>
      <c r="D3325" s="2"/>
      <c r="E3325" s="2"/>
      <c r="F3325" s="2"/>
    </row>
    <row r="3326" spans="1:6" x14ac:dyDescent="0.3">
      <c r="A3326" s="63"/>
      <c r="B3326" s="64"/>
      <c r="C3326" s="64"/>
      <c r="D3326" s="64"/>
      <c r="E3326" s="63"/>
      <c r="F3326" s="64"/>
    </row>
    <row r="3327" spans="1:6" x14ac:dyDescent="0.3">
      <c r="A3327" s="2"/>
      <c r="B3327" s="65"/>
      <c r="C3327" s="65"/>
      <c r="D3327" s="2"/>
      <c r="E3327" s="2"/>
      <c r="F3327" s="2"/>
    </row>
    <row r="3328" spans="1:6" x14ac:dyDescent="0.3">
      <c r="A3328" s="63"/>
      <c r="B3328" s="64"/>
      <c r="C3328" s="64"/>
      <c r="D3328" s="64"/>
      <c r="E3328" s="63"/>
      <c r="F3328" s="64"/>
    </row>
    <row r="3329" spans="1:6" x14ac:dyDescent="0.3">
      <c r="A3329" s="2"/>
      <c r="B3329" s="65"/>
      <c r="C3329" s="65"/>
      <c r="D3329" s="2"/>
      <c r="E3329" s="2"/>
      <c r="F3329" s="2"/>
    </row>
    <row r="3330" spans="1:6" x14ac:dyDescent="0.3">
      <c r="A3330" s="63"/>
      <c r="B3330" s="64"/>
      <c r="C3330" s="64"/>
      <c r="D3330" s="64"/>
      <c r="E3330" s="63"/>
      <c r="F3330" s="64"/>
    </row>
    <row r="3331" spans="1:6" x14ac:dyDescent="0.3">
      <c r="A3331" s="2"/>
      <c r="B3331" s="65"/>
      <c r="C3331" s="65"/>
      <c r="D3331" s="2"/>
      <c r="E3331" s="2"/>
      <c r="F3331" s="2"/>
    </row>
    <row r="3332" spans="1:6" x14ac:dyDescent="0.3">
      <c r="A3332" s="63"/>
      <c r="B3332" s="64"/>
      <c r="C3332" s="64"/>
      <c r="D3332" s="64"/>
      <c r="E3332" s="63"/>
      <c r="F3332" s="64"/>
    </row>
    <row r="3333" spans="1:6" x14ac:dyDescent="0.3">
      <c r="A3333" s="2"/>
      <c r="B3333" s="65"/>
      <c r="C3333" s="65"/>
      <c r="D3333" s="2"/>
      <c r="E3333" s="2"/>
      <c r="F3333" s="2"/>
    </row>
    <row r="3334" spans="1:6" x14ac:dyDescent="0.3">
      <c r="A3334" s="63"/>
      <c r="B3334" s="64"/>
      <c r="C3334" s="64"/>
      <c r="D3334" s="64"/>
      <c r="E3334" s="63"/>
      <c r="F3334" s="64"/>
    </row>
    <row r="3335" spans="1:6" x14ac:dyDescent="0.3">
      <c r="A3335" s="2"/>
      <c r="B3335" s="65"/>
      <c r="C3335" s="65"/>
      <c r="D3335" s="2"/>
      <c r="E3335" s="2"/>
      <c r="F3335" s="2"/>
    </row>
    <row r="3336" spans="1:6" x14ac:dyDescent="0.3">
      <c r="A3336" s="63"/>
      <c r="B3336" s="64"/>
      <c r="C3336" s="64"/>
      <c r="D3336" s="64"/>
      <c r="E3336" s="63"/>
      <c r="F3336" s="64"/>
    </row>
    <row r="3337" spans="1:6" x14ac:dyDescent="0.3">
      <c r="A3337" s="2"/>
      <c r="B3337" s="65"/>
      <c r="C3337" s="65"/>
      <c r="D3337" s="2"/>
      <c r="E3337" s="2"/>
      <c r="F3337" s="2"/>
    </row>
    <row r="3338" spans="1:6" x14ac:dyDescent="0.3">
      <c r="A3338" s="63"/>
      <c r="B3338" s="64"/>
      <c r="C3338" s="64"/>
      <c r="D3338" s="64"/>
      <c r="E3338" s="63"/>
      <c r="F3338" s="64"/>
    </row>
    <row r="3339" spans="1:6" x14ac:dyDescent="0.3">
      <c r="A3339" s="2"/>
      <c r="B3339" s="65"/>
      <c r="C3339" s="65"/>
      <c r="D3339" s="2"/>
      <c r="E3339" s="2"/>
      <c r="F3339" s="2"/>
    </row>
    <row r="3340" spans="1:6" x14ac:dyDescent="0.3">
      <c r="A3340" s="63"/>
      <c r="B3340" s="64"/>
      <c r="C3340" s="64"/>
      <c r="D3340" s="64"/>
      <c r="E3340" s="63"/>
      <c r="F3340" s="64"/>
    </row>
    <row r="3341" spans="1:6" x14ac:dyDescent="0.3">
      <c r="A3341" s="2"/>
      <c r="B3341" s="65"/>
      <c r="C3341" s="65"/>
      <c r="D3341" s="2"/>
      <c r="E3341" s="2"/>
      <c r="F3341" s="2"/>
    </row>
    <row r="3342" spans="1:6" x14ac:dyDescent="0.3">
      <c r="A3342" s="63"/>
      <c r="B3342" s="64"/>
      <c r="C3342" s="64"/>
      <c r="D3342" s="64"/>
      <c r="E3342" s="63"/>
      <c r="F3342" s="64"/>
    </row>
    <row r="3343" spans="1:6" x14ac:dyDescent="0.3">
      <c r="A3343" s="2"/>
      <c r="B3343" s="65"/>
      <c r="C3343" s="65"/>
      <c r="D3343" s="2"/>
      <c r="E3343" s="2"/>
      <c r="F3343" s="2"/>
    </row>
    <row r="3344" spans="1:6" x14ac:dyDescent="0.3">
      <c r="A3344" s="63"/>
      <c r="B3344" s="64"/>
      <c r="C3344" s="64"/>
      <c r="D3344" s="64"/>
      <c r="E3344" s="63"/>
      <c r="F3344" s="64"/>
    </row>
    <row r="3345" spans="1:6" x14ac:dyDescent="0.3">
      <c r="A3345" s="2"/>
      <c r="B3345" s="65"/>
      <c r="C3345" s="65"/>
      <c r="D3345" s="2"/>
      <c r="E3345" s="2"/>
      <c r="F3345" s="2"/>
    </row>
    <row r="3346" spans="1:6" x14ac:dyDescent="0.3">
      <c r="A3346" s="63"/>
      <c r="B3346" s="64"/>
      <c r="C3346" s="64"/>
      <c r="D3346" s="64"/>
      <c r="E3346" s="63"/>
      <c r="F3346" s="64"/>
    </row>
    <row r="3347" spans="1:6" x14ac:dyDescent="0.3">
      <c r="A3347" s="2"/>
      <c r="B3347" s="65"/>
      <c r="C3347" s="65"/>
      <c r="D3347" s="2"/>
      <c r="E3347" s="2"/>
      <c r="F3347" s="2"/>
    </row>
    <row r="3348" spans="1:6" x14ac:dyDescent="0.3">
      <c r="A3348" s="63"/>
      <c r="B3348" s="64"/>
      <c r="C3348" s="64"/>
      <c r="D3348" s="64"/>
      <c r="E3348" s="63"/>
      <c r="F3348" s="64"/>
    </row>
    <row r="3349" spans="1:6" x14ac:dyDescent="0.3">
      <c r="A3349" s="2"/>
      <c r="B3349" s="65"/>
      <c r="C3349" s="65"/>
      <c r="D3349" s="2"/>
      <c r="E3349" s="2"/>
      <c r="F3349" s="2"/>
    </row>
    <row r="3350" spans="1:6" x14ac:dyDescent="0.3">
      <c r="A3350" s="63"/>
      <c r="B3350" s="64"/>
      <c r="C3350" s="64"/>
      <c r="D3350" s="64"/>
      <c r="E3350" s="63"/>
      <c r="F3350" s="64"/>
    </row>
    <row r="3351" spans="1:6" x14ac:dyDescent="0.3">
      <c r="A3351" s="2"/>
      <c r="B3351" s="65"/>
      <c r="C3351" s="65"/>
      <c r="D3351" s="2"/>
      <c r="E3351" s="2"/>
      <c r="F3351" s="2"/>
    </row>
    <row r="3352" spans="1:6" x14ac:dyDescent="0.3">
      <c r="A3352" s="63"/>
      <c r="B3352" s="64"/>
      <c r="C3352" s="64"/>
      <c r="D3352" s="64"/>
      <c r="E3352" s="63"/>
      <c r="F3352" s="64"/>
    </row>
    <row r="3353" spans="1:6" x14ac:dyDescent="0.3">
      <c r="A3353" s="2"/>
      <c r="B3353" s="65"/>
      <c r="C3353" s="65"/>
      <c r="D3353" s="2"/>
      <c r="E3353" s="2"/>
      <c r="F3353" s="2"/>
    </row>
    <row r="3354" spans="1:6" x14ac:dyDescent="0.3">
      <c r="A3354" s="63"/>
      <c r="B3354" s="64"/>
      <c r="C3354" s="64"/>
      <c r="D3354" s="64"/>
      <c r="E3354" s="63"/>
      <c r="F3354" s="64"/>
    </row>
    <row r="3355" spans="1:6" x14ac:dyDescent="0.3">
      <c r="A3355" s="2"/>
      <c r="B3355" s="65"/>
      <c r="C3355" s="65"/>
      <c r="D3355" s="2"/>
      <c r="E3355" s="2"/>
      <c r="F3355" s="2"/>
    </row>
    <row r="3356" spans="1:6" x14ac:dyDescent="0.3">
      <c r="A3356" s="63"/>
      <c r="B3356" s="64"/>
      <c r="C3356" s="64"/>
      <c r="D3356" s="64"/>
      <c r="E3356" s="63"/>
      <c r="F3356" s="64"/>
    </row>
    <row r="3357" spans="1:6" x14ac:dyDescent="0.3">
      <c r="A3357" s="2"/>
      <c r="B3357" s="65"/>
      <c r="C3357" s="65"/>
      <c r="D3357" s="2"/>
      <c r="E3357" s="2"/>
      <c r="F3357" s="2"/>
    </row>
    <row r="3358" spans="1:6" x14ac:dyDescent="0.3">
      <c r="A3358" s="63"/>
      <c r="B3358" s="64"/>
      <c r="C3358" s="64"/>
      <c r="D3358" s="64"/>
      <c r="E3358" s="63"/>
      <c r="F3358" s="64"/>
    </row>
    <row r="3359" spans="1:6" x14ac:dyDescent="0.3">
      <c r="A3359" s="2"/>
      <c r="B3359" s="65"/>
      <c r="C3359" s="65"/>
      <c r="D3359" s="2"/>
      <c r="E3359" s="2"/>
      <c r="F3359" s="2"/>
    </row>
    <row r="3360" spans="1:6" x14ac:dyDescent="0.3">
      <c r="A3360" s="63"/>
      <c r="B3360" s="64"/>
      <c r="C3360" s="64"/>
      <c r="D3360" s="64"/>
      <c r="E3360" s="63"/>
      <c r="F3360" s="64"/>
    </row>
    <row r="3361" spans="1:6" x14ac:dyDescent="0.3">
      <c r="A3361" s="2"/>
      <c r="B3361" s="65"/>
      <c r="C3361" s="65"/>
      <c r="D3361" s="2"/>
      <c r="E3361" s="2"/>
      <c r="F3361" s="2"/>
    </row>
    <row r="3362" spans="1:6" x14ac:dyDescent="0.3">
      <c r="A3362" s="63"/>
      <c r="B3362" s="64"/>
      <c r="C3362" s="64"/>
      <c r="D3362" s="64"/>
      <c r="E3362" s="63"/>
      <c r="F3362" s="64"/>
    </row>
    <row r="3363" spans="1:6" x14ac:dyDescent="0.3">
      <c r="A3363" s="2"/>
      <c r="B3363" s="65"/>
      <c r="C3363" s="65"/>
      <c r="D3363" s="2"/>
      <c r="E3363" s="2"/>
      <c r="F3363" s="2"/>
    </row>
    <row r="3364" spans="1:6" x14ac:dyDescent="0.3">
      <c r="A3364" s="63"/>
      <c r="B3364" s="64"/>
      <c r="C3364" s="64"/>
      <c r="D3364" s="64"/>
      <c r="E3364" s="63"/>
      <c r="F3364" s="64"/>
    </row>
    <row r="3365" spans="1:6" x14ac:dyDescent="0.3">
      <c r="A3365" s="2"/>
      <c r="B3365" s="65"/>
      <c r="C3365" s="65"/>
      <c r="D3365" s="2"/>
      <c r="E3365" s="2"/>
      <c r="F3365" s="2"/>
    </row>
    <row r="3366" spans="1:6" x14ac:dyDescent="0.3">
      <c r="A3366" s="63"/>
      <c r="B3366" s="64"/>
      <c r="C3366" s="64"/>
      <c r="D3366" s="64"/>
      <c r="E3366" s="63"/>
      <c r="F3366" s="64"/>
    </row>
    <row r="3367" spans="1:6" x14ac:dyDescent="0.3">
      <c r="A3367" s="2"/>
      <c r="B3367" s="65"/>
      <c r="C3367" s="65"/>
      <c r="D3367" s="2"/>
      <c r="E3367" s="2"/>
      <c r="F3367" s="2"/>
    </row>
    <row r="3368" spans="1:6" x14ac:dyDescent="0.3">
      <c r="A3368" s="63"/>
      <c r="B3368" s="64"/>
      <c r="C3368" s="64"/>
      <c r="D3368" s="64"/>
      <c r="E3368" s="63"/>
      <c r="F3368" s="64"/>
    </row>
    <row r="3369" spans="1:6" x14ac:dyDescent="0.3">
      <c r="A3369" s="2"/>
      <c r="B3369" s="65"/>
      <c r="C3369" s="65"/>
      <c r="D3369" s="2"/>
      <c r="E3369" s="2"/>
      <c r="F3369" s="2"/>
    </row>
    <row r="3370" spans="1:6" x14ac:dyDescent="0.3">
      <c r="A3370" s="63"/>
      <c r="B3370" s="64"/>
      <c r="C3370" s="64"/>
      <c r="D3370" s="64"/>
      <c r="E3370" s="63"/>
      <c r="F3370" s="64"/>
    </row>
    <row r="3371" spans="1:6" x14ac:dyDescent="0.3">
      <c r="A3371" s="2"/>
      <c r="B3371" s="65"/>
      <c r="C3371" s="65"/>
      <c r="D3371" s="2"/>
      <c r="E3371" s="2"/>
      <c r="F3371" s="2"/>
    </row>
    <row r="3372" spans="1:6" x14ac:dyDescent="0.3">
      <c r="A3372" s="63"/>
      <c r="B3372" s="64"/>
      <c r="C3372" s="64"/>
      <c r="D3372" s="64"/>
      <c r="E3372" s="63"/>
      <c r="F3372" s="64"/>
    </row>
    <row r="3373" spans="1:6" x14ac:dyDescent="0.3">
      <c r="A3373" s="2"/>
      <c r="B3373" s="65"/>
      <c r="C3373" s="65"/>
      <c r="D3373" s="2"/>
      <c r="E3373" s="2"/>
      <c r="F3373" s="2"/>
    </row>
    <row r="3374" spans="1:6" x14ac:dyDescent="0.3">
      <c r="A3374" s="63"/>
      <c r="B3374" s="64"/>
      <c r="C3374" s="64"/>
      <c r="D3374" s="64"/>
      <c r="E3374" s="63"/>
      <c r="F3374" s="64"/>
    </row>
    <row r="3375" spans="1:6" x14ac:dyDescent="0.3">
      <c r="A3375" s="2"/>
      <c r="B3375" s="65"/>
      <c r="C3375" s="65"/>
      <c r="D3375" s="2"/>
      <c r="E3375" s="2"/>
      <c r="F3375" s="2"/>
    </row>
    <row r="3376" spans="1:6" x14ac:dyDescent="0.3">
      <c r="A3376" s="63"/>
      <c r="B3376" s="64"/>
      <c r="C3376" s="64"/>
      <c r="D3376" s="64"/>
      <c r="E3376" s="63"/>
      <c r="F3376" s="64"/>
    </row>
    <row r="3377" spans="1:6" x14ac:dyDescent="0.3">
      <c r="A3377" s="2"/>
      <c r="B3377" s="65"/>
      <c r="C3377" s="65"/>
      <c r="D3377" s="2"/>
      <c r="E3377" s="2"/>
      <c r="F3377" s="2"/>
    </row>
    <row r="3378" spans="1:6" x14ac:dyDescent="0.3">
      <c r="A3378" s="63"/>
      <c r="B3378" s="64"/>
      <c r="C3378" s="64"/>
      <c r="D3378" s="64"/>
      <c r="E3378" s="63"/>
      <c r="F3378" s="64"/>
    </row>
    <row r="3379" spans="1:6" x14ac:dyDescent="0.3">
      <c r="A3379" s="2"/>
      <c r="B3379" s="65"/>
      <c r="C3379" s="65"/>
      <c r="D3379" s="2"/>
      <c r="E3379" s="2"/>
      <c r="F3379" s="2"/>
    </row>
    <row r="3380" spans="1:6" x14ac:dyDescent="0.3">
      <c r="A3380" s="63"/>
      <c r="B3380" s="64"/>
      <c r="C3380" s="64"/>
      <c r="D3380" s="64"/>
      <c r="E3380" s="63"/>
      <c r="F3380" s="64"/>
    </row>
    <row r="3381" spans="1:6" x14ac:dyDescent="0.3">
      <c r="A3381" s="2"/>
      <c r="B3381" s="65"/>
      <c r="C3381" s="65"/>
      <c r="D3381" s="2"/>
      <c r="E3381" s="2"/>
      <c r="F3381" s="2"/>
    </row>
    <row r="3382" spans="1:6" x14ac:dyDescent="0.3">
      <c r="A3382" s="63"/>
      <c r="B3382" s="64"/>
      <c r="C3382" s="64"/>
      <c r="D3382" s="64"/>
      <c r="E3382" s="63"/>
      <c r="F3382" s="64"/>
    </row>
    <row r="3383" spans="1:6" x14ac:dyDescent="0.3">
      <c r="A3383" s="2"/>
      <c r="B3383" s="65"/>
      <c r="C3383" s="65"/>
      <c r="D3383" s="2"/>
      <c r="E3383" s="2"/>
      <c r="F3383" s="2"/>
    </row>
    <row r="3384" spans="1:6" x14ac:dyDescent="0.3">
      <c r="A3384" s="63"/>
      <c r="B3384" s="64"/>
      <c r="C3384" s="64"/>
      <c r="D3384" s="64"/>
      <c r="E3384" s="63"/>
      <c r="F3384" s="64"/>
    </row>
    <row r="3385" spans="1:6" x14ac:dyDescent="0.3">
      <c r="A3385" s="2"/>
      <c r="B3385" s="65"/>
      <c r="C3385" s="65"/>
      <c r="D3385" s="2"/>
      <c r="E3385" s="2"/>
      <c r="F3385" s="2"/>
    </row>
    <row r="3386" spans="1:6" x14ac:dyDescent="0.3">
      <c r="A3386" s="63"/>
      <c r="B3386" s="64"/>
      <c r="C3386" s="64"/>
      <c r="D3386" s="64"/>
      <c r="E3386" s="63"/>
      <c r="F3386" s="64"/>
    </row>
    <row r="3387" spans="1:6" x14ac:dyDescent="0.3">
      <c r="A3387" s="2"/>
      <c r="B3387" s="65"/>
      <c r="C3387" s="65"/>
      <c r="D3387" s="2"/>
      <c r="E3387" s="2"/>
      <c r="F3387" s="2"/>
    </row>
    <row r="3388" spans="1:6" x14ac:dyDescent="0.3">
      <c r="A3388" s="63"/>
      <c r="B3388" s="64"/>
      <c r="C3388" s="64"/>
      <c r="D3388" s="64"/>
      <c r="E3388" s="63"/>
      <c r="F3388" s="64"/>
    </row>
    <row r="3389" spans="1:6" x14ac:dyDescent="0.3">
      <c r="A3389" s="2"/>
      <c r="B3389" s="65"/>
      <c r="C3389" s="65"/>
      <c r="D3389" s="2"/>
      <c r="E3389" s="2"/>
      <c r="F3389" s="2"/>
    </row>
    <row r="3390" spans="1:6" x14ac:dyDescent="0.3">
      <c r="A3390" s="63"/>
      <c r="B3390" s="64"/>
      <c r="C3390" s="64"/>
      <c r="D3390" s="64"/>
      <c r="E3390" s="63"/>
      <c r="F3390" s="64"/>
    </row>
    <row r="3391" spans="1:6" x14ac:dyDescent="0.3">
      <c r="A3391" s="2"/>
      <c r="B3391" s="65"/>
      <c r="C3391" s="65"/>
      <c r="D3391" s="2"/>
      <c r="E3391" s="2"/>
      <c r="F3391" s="2"/>
    </row>
    <row r="3392" spans="1:6" x14ac:dyDescent="0.3">
      <c r="A3392" s="63"/>
      <c r="B3392" s="64"/>
      <c r="C3392" s="64"/>
      <c r="D3392" s="64"/>
      <c r="E3392" s="63"/>
      <c r="F3392" s="64"/>
    </row>
    <row r="3393" spans="1:6" x14ac:dyDescent="0.3">
      <c r="A3393" s="2"/>
      <c r="B3393" s="65"/>
      <c r="C3393" s="65"/>
      <c r="D3393" s="2"/>
      <c r="E3393" s="2"/>
      <c r="F3393" s="2"/>
    </row>
    <row r="3394" spans="1:6" x14ac:dyDescent="0.3">
      <c r="A3394" s="63"/>
      <c r="B3394" s="64"/>
      <c r="C3394" s="64"/>
      <c r="D3394" s="64"/>
      <c r="E3394" s="63"/>
      <c r="F3394" s="64"/>
    </row>
    <row r="3395" spans="1:6" x14ac:dyDescent="0.3">
      <c r="A3395" s="2"/>
      <c r="B3395" s="65"/>
      <c r="C3395" s="65"/>
      <c r="D3395" s="2"/>
      <c r="E3395" s="2"/>
      <c r="F3395" s="2"/>
    </row>
    <row r="3396" spans="1:6" x14ac:dyDescent="0.3">
      <c r="A3396" s="63"/>
      <c r="B3396" s="64"/>
      <c r="C3396" s="64"/>
      <c r="D3396" s="64"/>
      <c r="E3396" s="63"/>
      <c r="F3396" s="64"/>
    </row>
    <row r="3397" spans="1:6" x14ac:dyDescent="0.3">
      <c r="A3397" s="2"/>
      <c r="B3397" s="65"/>
      <c r="C3397" s="65"/>
      <c r="D3397" s="2"/>
      <c r="E3397" s="2"/>
      <c r="F3397" s="2"/>
    </row>
    <row r="3398" spans="1:6" x14ac:dyDescent="0.3">
      <c r="A3398" s="63"/>
      <c r="B3398" s="64"/>
      <c r="C3398" s="64"/>
      <c r="D3398" s="64"/>
      <c r="E3398" s="63"/>
      <c r="F3398" s="64"/>
    </row>
    <row r="3399" spans="1:6" x14ac:dyDescent="0.3">
      <c r="A3399" s="2"/>
      <c r="B3399" s="65"/>
      <c r="C3399" s="65"/>
      <c r="D3399" s="2"/>
      <c r="E3399" s="2"/>
      <c r="F3399" s="2"/>
    </row>
    <row r="3400" spans="1:6" x14ac:dyDescent="0.3">
      <c r="A3400" s="63"/>
      <c r="B3400" s="64"/>
      <c r="C3400" s="64"/>
      <c r="D3400" s="64"/>
      <c r="E3400" s="63"/>
      <c r="F3400" s="64"/>
    </row>
    <row r="3401" spans="1:6" x14ac:dyDescent="0.3">
      <c r="A3401" s="2"/>
      <c r="B3401" s="65"/>
      <c r="C3401" s="65"/>
      <c r="D3401" s="2"/>
      <c r="E3401" s="2"/>
      <c r="F3401" s="2"/>
    </row>
    <row r="3402" spans="1:6" x14ac:dyDescent="0.3">
      <c r="A3402" s="63"/>
      <c r="B3402" s="64"/>
      <c r="C3402" s="64"/>
      <c r="D3402" s="64"/>
      <c r="E3402" s="63"/>
      <c r="F3402" s="64"/>
    </row>
    <row r="3403" spans="1:6" x14ac:dyDescent="0.3">
      <c r="A3403" s="2"/>
      <c r="B3403" s="65"/>
      <c r="C3403" s="65"/>
      <c r="D3403" s="2"/>
      <c r="E3403" s="2"/>
      <c r="F3403" s="2"/>
    </row>
    <row r="3404" spans="1:6" x14ac:dyDescent="0.3">
      <c r="A3404" s="63"/>
      <c r="B3404" s="64"/>
      <c r="C3404" s="64"/>
      <c r="D3404" s="64"/>
      <c r="E3404" s="63"/>
      <c r="F3404" s="64"/>
    </row>
    <row r="3405" spans="1:6" x14ac:dyDescent="0.3">
      <c r="A3405" s="2"/>
      <c r="B3405" s="65"/>
      <c r="C3405" s="65"/>
      <c r="D3405" s="2"/>
      <c r="E3405" s="2"/>
      <c r="F3405" s="2"/>
    </row>
    <row r="3406" spans="1:6" x14ac:dyDescent="0.3">
      <c r="A3406" s="63"/>
      <c r="B3406" s="64"/>
      <c r="C3406" s="64"/>
      <c r="D3406" s="64"/>
      <c r="E3406" s="63"/>
      <c r="F3406" s="64"/>
    </row>
    <row r="3407" spans="1:6" x14ac:dyDescent="0.3">
      <c r="A3407" s="2"/>
      <c r="B3407" s="65"/>
      <c r="C3407" s="65"/>
      <c r="D3407" s="2"/>
      <c r="E3407" s="2"/>
      <c r="F3407" s="2"/>
    </row>
    <row r="3408" spans="1:6" x14ac:dyDescent="0.3">
      <c r="A3408" s="63"/>
      <c r="B3408" s="64"/>
      <c r="C3408" s="64"/>
      <c r="D3408" s="64"/>
      <c r="E3408" s="63"/>
      <c r="F3408" s="64"/>
    </row>
    <row r="3409" spans="1:6" x14ac:dyDescent="0.3">
      <c r="A3409" s="2"/>
      <c r="B3409" s="65"/>
      <c r="C3409" s="65"/>
      <c r="D3409" s="2"/>
      <c r="E3409" s="2"/>
      <c r="F3409" s="2"/>
    </row>
    <row r="3410" spans="1:6" x14ac:dyDescent="0.3">
      <c r="A3410" s="63"/>
      <c r="B3410" s="64"/>
      <c r="C3410" s="64"/>
      <c r="D3410" s="64"/>
      <c r="E3410" s="63"/>
      <c r="F3410" s="64"/>
    </row>
    <row r="3411" spans="1:6" x14ac:dyDescent="0.3">
      <c r="A3411" s="2"/>
      <c r="B3411" s="65"/>
      <c r="C3411" s="65"/>
      <c r="D3411" s="2"/>
      <c r="E3411" s="2"/>
      <c r="F3411" s="2"/>
    </row>
    <row r="3412" spans="1:6" x14ac:dyDescent="0.3">
      <c r="A3412" s="63"/>
      <c r="B3412" s="64"/>
      <c r="C3412" s="64"/>
      <c r="D3412" s="64"/>
      <c r="E3412" s="63"/>
      <c r="F3412" s="64"/>
    </row>
    <row r="3413" spans="1:6" x14ac:dyDescent="0.3">
      <c r="A3413" s="2"/>
      <c r="B3413" s="65"/>
      <c r="C3413" s="65"/>
      <c r="D3413" s="2"/>
      <c r="E3413" s="2"/>
      <c r="F3413" s="2"/>
    </row>
    <row r="3414" spans="1:6" x14ac:dyDescent="0.3">
      <c r="A3414" s="63"/>
      <c r="B3414" s="64"/>
      <c r="C3414" s="64"/>
      <c r="D3414" s="64"/>
      <c r="E3414" s="63"/>
      <c r="F3414" s="64"/>
    </row>
    <row r="3415" spans="1:6" x14ac:dyDescent="0.3">
      <c r="A3415" s="2"/>
      <c r="B3415" s="65"/>
      <c r="C3415" s="65"/>
      <c r="D3415" s="2"/>
      <c r="E3415" s="2"/>
      <c r="F3415" s="2"/>
    </row>
    <row r="3416" spans="1:6" x14ac:dyDescent="0.3">
      <c r="A3416" s="63"/>
      <c r="B3416" s="64"/>
      <c r="C3416" s="64"/>
      <c r="D3416" s="64"/>
      <c r="E3416" s="63"/>
      <c r="F3416" s="64"/>
    </row>
    <row r="3417" spans="1:6" x14ac:dyDescent="0.3">
      <c r="A3417" s="2"/>
      <c r="B3417" s="65"/>
      <c r="C3417" s="65"/>
      <c r="D3417" s="2"/>
      <c r="E3417" s="2"/>
      <c r="F3417" s="2"/>
    </row>
    <row r="3418" spans="1:6" x14ac:dyDescent="0.3">
      <c r="A3418" s="63"/>
      <c r="B3418" s="64"/>
      <c r="C3418" s="64"/>
      <c r="D3418" s="64"/>
      <c r="E3418" s="63"/>
      <c r="F3418" s="64"/>
    </row>
    <row r="3419" spans="1:6" x14ac:dyDescent="0.3">
      <c r="A3419" s="2"/>
      <c r="B3419" s="65"/>
      <c r="C3419" s="65"/>
      <c r="D3419" s="2"/>
      <c r="E3419" s="2"/>
      <c r="F3419" s="2"/>
    </row>
    <row r="3420" spans="1:6" x14ac:dyDescent="0.3">
      <c r="A3420" s="63"/>
      <c r="B3420" s="64"/>
      <c r="C3420" s="64"/>
      <c r="D3420" s="64"/>
      <c r="E3420" s="63"/>
      <c r="F3420" s="64"/>
    </row>
    <row r="3421" spans="1:6" x14ac:dyDescent="0.3">
      <c r="A3421" s="2"/>
      <c r="B3421" s="65"/>
      <c r="C3421" s="65"/>
      <c r="D3421" s="2"/>
      <c r="E3421" s="2"/>
      <c r="F3421" s="2"/>
    </row>
    <row r="3422" spans="1:6" x14ac:dyDescent="0.3">
      <c r="A3422" s="63"/>
      <c r="B3422" s="64"/>
      <c r="C3422" s="64"/>
      <c r="D3422" s="64"/>
      <c r="E3422" s="63"/>
      <c r="F3422" s="64"/>
    </row>
    <row r="3423" spans="1:6" x14ac:dyDescent="0.3">
      <c r="A3423" s="2"/>
      <c r="B3423" s="65"/>
      <c r="C3423" s="65"/>
      <c r="D3423" s="2"/>
      <c r="E3423" s="2"/>
      <c r="F3423" s="2"/>
    </row>
    <row r="3424" spans="1:6" x14ac:dyDescent="0.3">
      <c r="A3424" s="63"/>
      <c r="B3424" s="64"/>
      <c r="C3424" s="64"/>
      <c r="D3424" s="64"/>
      <c r="E3424" s="63"/>
      <c r="F3424" s="64"/>
    </row>
    <row r="3425" spans="1:6" x14ac:dyDescent="0.3">
      <c r="A3425" s="2"/>
      <c r="B3425" s="65"/>
      <c r="C3425" s="65"/>
      <c r="D3425" s="2"/>
      <c r="E3425" s="2"/>
      <c r="F3425" s="2"/>
    </row>
    <row r="3426" spans="1:6" x14ac:dyDescent="0.3">
      <c r="A3426" s="63"/>
      <c r="B3426" s="64"/>
      <c r="C3426" s="64"/>
      <c r="D3426" s="64"/>
      <c r="E3426" s="63"/>
      <c r="F3426" s="64"/>
    </row>
    <row r="3427" spans="1:6" x14ac:dyDescent="0.3">
      <c r="A3427" s="2"/>
      <c r="B3427" s="65"/>
      <c r="C3427" s="65"/>
      <c r="D3427" s="2"/>
      <c r="E3427" s="2"/>
      <c r="F3427" s="2"/>
    </row>
    <row r="3428" spans="1:6" x14ac:dyDescent="0.3">
      <c r="A3428" s="63"/>
      <c r="B3428" s="64"/>
      <c r="C3428" s="64"/>
      <c r="D3428" s="64"/>
      <c r="E3428" s="63"/>
      <c r="F3428" s="64"/>
    </row>
    <row r="3429" spans="1:6" x14ac:dyDescent="0.3">
      <c r="A3429" s="2"/>
      <c r="B3429" s="65"/>
      <c r="C3429" s="65"/>
      <c r="D3429" s="2"/>
      <c r="E3429" s="2"/>
      <c r="F3429" s="2"/>
    </row>
    <row r="3430" spans="1:6" x14ac:dyDescent="0.3">
      <c r="A3430" s="63"/>
      <c r="B3430" s="64"/>
      <c r="C3430" s="64"/>
      <c r="D3430" s="64"/>
      <c r="E3430" s="63"/>
      <c r="F3430" s="64"/>
    </row>
    <row r="3431" spans="1:6" x14ac:dyDescent="0.3">
      <c r="A3431" s="2"/>
      <c r="B3431" s="65"/>
      <c r="C3431" s="65"/>
      <c r="D3431" s="2"/>
      <c r="E3431" s="2"/>
      <c r="F3431" s="2"/>
    </row>
    <row r="3432" spans="1:6" x14ac:dyDescent="0.3">
      <c r="A3432" s="63"/>
      <c r="B3432" s="64"/>
      <c r="C3432" s="64"/>
      <c r="D3432" s="64"/>
      <c r="E3432" s="63"/>
      <c r="F3432" s="64"/>
    </row>
    <row r="3433" spans="1:6" x14ac:dyDescent="0.3">
      <c r="A3433" s="2"/>
      <c r="B3433" s="65"/>
      <c r="C3433" s="65"/>
      <c r="D3433" s="2"/>
      <c r="E3433" s="2"/>
      <c r="F3433" s="2"/>
    </row>
    <row r="3434" spans="1:6" x14ac:dyDescent="0.3">
      <c r="A3434" s="63"/>
      <c r="B3434" s="64"/>
      <c r="C3434" s="64"/>
      <c r="D3434" s="64"/>
      <c r="E3434" s="63"/>
      <c r="F3434" s="64"/>
    </row>
    <row r="3435" spans="1:6" x14ac:dyDescent="0.3">
      <c r="A3435" s="2"/>
      <c r="B3435" s="65"/>
      <c r="C3435" s="65"/>
      <c r="D3435" s="2"/>
      <c r="E3435" s="2"/>
      <c r="F3435" s="2"/>
    </row>
    <row r="3436" spans="1:6" x14ac:dyDescent="0.3">
      <c r="A3436" s="63"/>
      <c r="B3436" s="64"/>
      <c r="C3436" s="64"/>
      <c r="D3436" s="64"/>
      <c r="E3436" s="63"/>
      <c r="F3436" s="64"/>
    </row>
    <row r="3437" spans="1:6" x14ac:dyDescent="0.3">
      <c r="A3437" s="2"/>
      <c r="B3437" s="65"/>
      <c r="C3437" s="65"/>
      <c r="D3437" s="2"/>
      <c r="E3437" s="2"/>
      <c r="F3437" s="2"/>
    </row>
    <row r="3438" spans="1:6" x14ac:dyDescent="0.3">
      <c r="A3438" s="63"/>
      <c r="B3438" s="64"/>
      <c r="C3438" s="64"/>
      <c r="D3438" s="64"/>
      <c r="E3438" s="63"/>
      <c r="F3438" s="64"/>
    </row>
    <row r="3439" spans="1:6" x14ac:dyDescent="0.3">
      <c r="A3439" s="2"/>
      <c r="B3439" s="65"/>
      <c r="C3439" s="65"/>
      <c r="D3439" s="2"/>
      <c r="E3439" s="2"/>
      <c r="F3439" s="2"/>
    </row>
    <row r="3440" spans="1:6" x14ac:dyDescent="0.3">
      <c r="A3440" s="63"/>
      <c r="B3440" s="64"/>
      <c r="C3440" s="64"/>
      <c r="D3440" s="64"/>
      <c r="E3440" s="63"/>
      <c r="F3440" s="64"/>
    </row>
    <row r="3441" spans="1:6" x14ac:dyDescent="0.3">
      <c r="A3441" s="2"/>
      <c r="B3441" s="65"/>
      <c r="C3441" s="65"/>
      <c r="D3441" s="2"/>
      <c r="E3441" s="2"/>
      <c r="F3441" s="2"/>
    </row>
    <row r="3442" spans="1:6" x14ac:dyDescent="0.3">
      <c r="A3442" s="63"/>
      <c r="B3442" s="64"/>
      <c r="C3442" s="64"/>
      <c r="D3442" s="64"/>
      <c r="E3442" s="63"/>
      <c r="F3442" s="64"/>
    </row>
    <row r="3443" spans="1:6" x14ac:dyDescent="0.3">
      <c r="A3443" s="2"/>
      <c r="B3443" s="65"/>
      <c r="C3443" s="65"/>
      <c r="D3443" s="2"/>
      <c r="E3443" s="2"/>
      <c r="F3443" s="2"/>
    </row>
    <row r="3444" spans="1:6" x14ac:dyDescent="0.3">
      <c r="A3444" s="63"/>
      <c r="B3444" s="64"/>
      <c r="C3444" s="64"/>
      <c r="D3444" s="64"/>
      <c r="E3444" s="63"/>
      <c r="F3444" s="64"/>
    </row>
    <row r="3445" spans="1:6" x14ac:dyDescent="0.3">
      <c r="A3445" s="2"/>
      <c r="B3445" s="65"/>
      <c r="C3445" s="65"/>
      <c r="D3445" s="2"/>
      <c r="E3445" s="2"/>
      <c r="F3445" s="2"/>
    </row>
    <row r="3446" spans="1:6" x14ac:dyDescent="0.3">
      <c r="A3446" s="63"/>
      <c r="B3446" s="64"/>
      <c r="C3446" s="64"/>
      <c r="D3446" s="64"/>
      <c r="E3446" s="63"/>
      <c r="F3446" s="64"/>
    </row>
    <row r="3447" spans="1:6" x14ac:dyDescent="0.3">
      <c r="A3447" s="2"/>
      <c r="B3447" s="65"/>
      <c r="C3447" s="65"/>
      <c r="D3447" s="2"/>
      <c r="E3447" s="2"/>
      <c r="F3447" s="2"/>
    </row>
    <row r="3448" spans="1:6" x14ac:dyDescent="0.3">
      <c r="A3448" s="63"/>
      <c r="B3448" s="64"/>
      <c r="C3448" s="64"/>
      <c r="D3448" s="64"/>
      <c r="E3448" s="63"/>
      <c r="F3448" s="64"/>
    </row>
    <row r="3449" spans="1:6" x14ac:dyDescent="0.3">
      <c r="A3449" s="2"/>
      <c r="B3449" s="65"/>
      <c r="C3449" s="65"/>
      <c r="D3449" s="2"/>
      <c r="E3449" s="2"/>
      <c r="F3449" s="2"/>
    </row>
    <row r="3450" spans="1:6" x14ac:dyDescent="0.3">
      <c r="A3450" s="63"/>
      <c r="B3450" s="64"/>
      <c r="C3450" s="64"/>
      <c r="D3450" s="64"/>
      <c r="E3450" s="63"/>
      <c r="F3450" s="64"/>
    </row>
    <row r="3451" spans="1:6" x14ac:dyDescent="0.3">
      <c r="A3451" s="2"/>
      <c r="B3451" s="65"/>
      <c r="C3451" s="65"/>
      <c r="D3451" s="2"/>
      <c r="E3451" s="2"/>
      <c r="F3451" s="2"/>
    </row>
    <row r="3452" spans="1:6" x14ac:dyDescent="0.3">
      <c r="A3452" s="63"/>
      <c r="B3452" s="64"/>
      <c r="C3452" s="64"/>
      <c r="D3452" s="64"/>
      <c r="E3452" s="63"/>
      <c r="F3452" s="64"/>
    </row>
    <row r="3453" spans="1:6" x14ac:dyDescent="0.3">
      <c r="A3453" s="2"/>
      <c r="B3453" s="65"/>
      <c r="C3453" s="65"/>
      <c r="D3453" s="2"/>
      <c r="E3453" s="2"/>
      <c r="F3453" s="2"/>
    </row>
    <row r="3454" spans="1:6" x14ac:dyDescent="0.3">
      <c r="A3454" s="63"/>
      <c r="B3454" s="64"/>
      <c r="C3454" s="64"/>
      <c r="D3454" s="64"/>
      <c r="E3454" s="63"/>
      <c r="F3454" s="64"/>
    </row>
    <row r="3455" spans="1:6" x14ac:dyDescent="0.3">
      <c r="A3455" s="2"/>
      <c r="B3455" s="65"/>
      <c r="C3455" s="65"/>
      <c r="D3455" s="2"/>
      <c r="E3455" s="2"/>
      <c r="F3455" s="2"/>
    </row>
    <row r="3456" spans="1:6" x14ac:dyDescent="0.3">
      <c r="A3456" s="63"/>
      <c r="B3456" s="64"/>
      <c r="C3456" s="64"/>
      <c r="D3456" s="64"/>
      <c r="E3456" s="63"/>
      <c r="F3456" s="64"/>
    </row>
    <row r="3457" spans="1:6" x14ac:dyDescent="0.3">
      <c r="A3457" s="2"/>
      <c r="B3457" s="65"/>
      <c r="C3457" s="65"/>
      <c r="D3457" s="2"/>
      <c r="E3457" s="2"/>
      <c r="F3457" s="2"/>
    </row>
    <row r="3458" spans="1:6" x14ac:dyDescent="0.3">
      <c r="A3458" s="63"/>
      <c r="B3458" s="64"/>
      <c r="C3458" s="64"/>
      <c r="D3458" s="64"/>
      <c r="E3458" s="63"/>
      <c r="F3458" s="64"/>
    </row>
    <row r="3459" spans="1:6" x14ac:dyDescent="0.3">
      <c r="A3459" s="2"/>
      <c r="B3459" s="65"/>
      <c r="C3459" s="65"/>
      <c r="D3459" s="2"/>
      <c r="E3459" s="2"/>
      <c r="F3459" s="2"/>
    </row>
    <row r="3460" spans="1:6" x14ac:dyDescent="0.3">
      <c r="A3460" s="63"/>
      <c r="B3460" s="64"/>
      <c r="C3460" s="64"/>
      <c r="D3460" s="64"/>
      <c r="E3460" s="63"/>
      <c r="F3460" s="64"/>
    </row>
    <row r="3461" spans="1:6" x14ac:dyDescent="0.3">
      <c r="A3461" s="2"/>
      <c r="B3461" s="65"/>
      <c r="C3461" s="65"/>
      <c r="D3461" s="2"/>
      <c r="E3461" s="2"/>
      <c r="F3461" s="2"/>
    </row>
    <row r="3462" spans="1:6" x14ac:dyDescent="0.3">
      <c r="A3462" s="63"/>
      <c r="B3462" s="64"/>
      <c r="C3462" s="64"/>
      <c r="D3462" s="64"/>
      <c r="E3462" s="63"/>
      <c r="F3462" s="64"/>
    </row>
    <row r="3463" spans="1:6" x14ac:dyDescent="0.3">
      <c r="A3463" s="2"/>
      <c r="B3463" s="65"/>
      <c r="C3463" s="65"/>
      <c r="D3463" s="2"/>
      <c r="E3463" s="2"/>
      <c r="F3463" s="2"/>
    </row>
    <row r="3464" spans="1:6" x14ac:dyDescent="0.3">
      <c r="A3464" s="63"/>
      <c r="B3464" s="64"/>
      <c r="C3464" s="64"/>
      <c r="D3464" s="64"/>
      <c r="E3464" s="63"/>
      <c r="F3464" s="64"/>
    </row>
    <row r="3465" spans="1:6" x14ac:dyDescent="0.3">
      <c r="A3465" s="2"/>
      <c r="B3465" s="65"/>
      <c r="C3465" s="65"/>
      <c r="D3465" s="2"/>
      <c r="E3465" s="2"/>
      <c r="F3465" s="2"/>
    </row>
    <row r="3466" spans="1:6" x14ac:dyDescent="0.3">
      <c r="A3466" s="63"/>
      <c r="B3466" s="64"/>
      <c r="C3466" s="64"/>
      <c r="D3466" s="64"/>
      <c r="E3466" s="63"/>
      <c r="F3466" s="64"/>
    </row>
    <row r="3467" spans="1:6" x14ac:dyDescent="0.3">
      <c r="A3467" s="2"/>
      <c r="B3467" s="65"/>
      <c r="C3467" s="65"/>
      <c r="D3467" s="2"/>
      <c r="E3467" s="2"/>
      <c r="F3467" s="2"/>
    </row>
    <row r="3468" spans="1:6" x14ac:dyDescent="0.3">
      <c r="A3468" s="63"/>
      <c r="B3468" s="64"/>
      <c r="C3468" s="64"/>
      <c r="D3468" s="64"/>
      <c r="E3468" s="63"/>
      <c r="F3468" s="64"/>
    </row>
    <row r="3469" spans="1:6" x14ac:dyDescent="0.3">
      <c r="A3469" s="2"/>
      <c r="B3469" s="65"/>
      <c r="C3469" s="65"/>
      <c r="D3469" s="2"/>
      <c r="E3469" s="2"/>
      <c r="F3469" s="2"/>
    </row>
    <row r="3470" spans="1:6" x14ac:dyDescent="0.3">
      <c r="A3470" s="63"/>
      <c r="B3470" s="64"/>
      <c r="C3470" s="64"/>
      <c r="D3470" s="64"/>
      <c r="E3470" s="63"/>
      <c r="F3470" s="64"/>
    </row>
    <row r="3471" spans="1:6" x14ac:dyDescent="0.3">
      <c r="A3471" s="2"/>
      <c r="B3471" s="65"/>
      <c r="C3471" s="65"/>
      <c r="D3471" s="2"/>
      <c r="E3471" s="2"/>
      <c r="F3471" s="2"/>
    </row>
    <row r="3472" spans="1:6" x14ac:dyDescent="0.3">
      <c r="A3472" s="63"/>
      <c r="B3472" s="64"/>
      <c r="C3472" s="64"/>
      <c r="D3472" s="64"/>
      <c r="E3472" s="63"/>
      <c r="F3472" s="64"/>
    </row>
    <row r="3473" spans="1:6" x14ac:dyDescent="0.3">
      <c r="A3473" s="2"/>
      <c r="B3473" s="65"/>
      <c r="C3473" s="65"/>
      <c r="D3473" s="2"/>
      <c r="E3473" s="2"/>
      <c r="F3473" s="2"/>
    </row>
    <row r="3474" spans="1:6" x14ac:dyDescent="0.3">
      <c r="A3474" s="63"/>
      <c r="B3474" s="64"/>
      <c r="C3474" s="64"/>
      <c r="D3474" s="64"/>
      <c r="E3474" s="63"/>
      <c r="F3474" s="64"/>
    </row>
    <row r="3475" spans="1:6" x14ac:dyDescent="0.3">
      <c r="A3475" s="2"/>
      <c r="B3475" s="65"/>
      <c r="C3475" s="65"/>
      <c r="D3475" s="2"/>
      <c r="E3475" s="2"/>
      <c r="F3475" s="2"/>
    </row>
    <row r="3476" spans="1:6" x14ac:dyDescent="0.3">
      <c r="A3476" s="63"/>
      <c r="B3476" s="64"/>
      <c r="C3476" s="64"/>
      <c r="D3476" s="64"/>
      <c r="E3476" s="63"/>
      <c r="F3476" s="64"/>
    </row>
    <row r="3477" spans="1:6" x14ac:dyDescent="0.3">
      <c r="A3477" s="2"/>
      <c r="B3477" s="65"/>
      <c r="C3477" s="65"/>
      <c r="D3477" s="2"/>
      <c r="E3477" s="2"/>
      <c r="F3477" s="2"/>
    </row>
    <row r="3478" spans="1:6" x14ac:dyDescent="0.3">
      <c r="A3478" s="63"/>
      <c r="B3478" s="64"/>
      <c r="C3478" s="64"/>
      <c r="D3478" s="64"/>
      <c r="E3478" s="63"/>
      <c r="F3478" s="64"/>
    </row>
    <row r="3479" spans="1:6" x14ac:dyDescent="0.3">
      <c r="A3479" s="2"/>
      <c r="B3479" s="65"/>
      <c r="C3479" s="65"/>
      <c r="D3479" s="2"/>
      <c r="E3479" s="2"/>
      <c r="F3479" s="2"/>
    </row>
    <row r="3480" spans="1:6" x14ac:dyDescent="0.3">
      <c r="A3480" s="63"/>
      <c r="B3480" s="64"/>
      <c r="C3480" s="64"/>
      <c r="D3480" s="64"/>
      <c r="E3480" s="63"/>
      <c r="F3480" s="64"/>
    </row>
    <row r="3481" spans="1:6" x14ac:dyDescent="0.3">
      <c r="A3481" s="2"/>
      <c r="B3481" s="65"/>
      <c r="C3481" s="65"/>
      <c r="D3481" s="2"/>
      <c r="E3481" s="2"/>
      <c r="F3481" s="2"/>
    </row>
    <row r="3482" spans="1:6" x14ac:dyDescent="0.3">
      <c r="A3482" s="63"/>
      <c r="B3482" s="64"/>
      <c r="C3482" s="64"/>
      <c r="D3482" s="64"/>
      <c r="E3482" s="63"/>
      <c r="F3482" s="64"/>
    </row>
    <row r="3483" spans="1:6" x14ac:dyDescent="0.3">
      <c r="A3483" s="2"/>
      <c r="B3483" s="65"/>
      <c r="C3483" s="65"/>
      <c r="D3483" s="2"/>
      <c r="E3483" s="2"/>
      <c r="F3483" s="2"/>
    </row>
    <row r="3484" spans="1:6" x14ac:dyDescent="0.3">
      <c r="A3484" s="63"/>
      <c r="B3484" s="64"/>
      <c r="C3484" s="64"/>
      <c r="D3484" s="64"/>
      <c r="E3484" s="63"/>
      <c r="F3484" s="64"/>
    </row>
    <row r="3485" spans="1:6" x14ac:dyDescent="0.3">
      <c r="A3485" s="2"/>
      <c r="B3485" s="65"/>
      <c r="C3485" s="65"/>
      <c r="D3485" s="2"/>
      <c r="E3485" s="2"/>
      <c r="F3485" s="2"/>
    </row>
    <row r="3486" spans="1:6" x14ac:dyDescent="0.3">
      <c r="A3486" s="63"/>
      <c r="B3486" s="64"/>
      <c r="C3486" s="64"/>
      <c r="D3486" s="64"/>
      <c r="E3486" s="63"/>
      <c r="F3486" s="64"/>
    </row>
    <row r="3487" spans="1:6" x14ac:dyDescent="0.3">
      <c r="A3487" s="2"/>
      <c r="B3487" s="65"/>
      <c r="C3487" s="65"/>
      <c r="D3487" s="2"/>
      <c r="E3487" s="2"/>
      <c r="F3487" s="2"/>
    </row>
    <row r="3488" spans="1:6" x14ac:dyDescent="0.3">
      <c r="A3488" s="63"/>
      <c r="B3488" s="64"/>
      <c r="C3488" s="64"/>
      <c r="D3488" s="64"/>
      <c r="E3488" s="63"/>
      <c r="F3488" s="64"/>
    </row>
    <row r="3489" spans="1:6" x14ac:dyDescent="0.3">
      <c r="A3489" s="2"/>
      <c r="B3489" s="65"/>
      <c r="C3489" s="65"/>
      <c r="D3489" s="2"/>
      <c r="E3489" s="2"/>
      <c r="F3489" s="2"/>
    </row>
    <row r="3490" spans="1:6" x14ac:dyDescent="0.3">
      <c r="A3490" s="63"/>
      <c r="B3490" s="64"/>
      <c r="C3490" s="64"/>
      <c r="D3490" s="64"/>
      <c r="E3490" s="63"/>
      <c r="F3490" s="64"/>
    </row>
    <row r="3491" spans="1:6" x14ac:dyDescent="0.3">
      <c r="A3491" s="2"/>
      <c r="B3491" s="65"/>
      <c r="C3491" s="65"/>
      <c r="D3491" s="2"/>
      <c r="E3491" s="2"/>
      <c r="F3491" s="2"/>
    </row>
    <row r="3492" spans="1:6" x14ac:dyDescent="0.3">
      <c r="A3492" s="63"/>
      <c r="B3492" s="64"/>
      <c r="C3492" s="64"/>
      <c r="D3492" s="64"/>
      <c r="E3492" s="63"/>
      <c r="F3492" s="64"/>
    </row>
    <row r="3493" spans="1:6" x14ac:dyDescent="0.3">
      <c r="A3493" s="2"/>
      <c r="B3493" s="65"/>
      <c r="C3493" s="65"/>
      <c r="D3493" s="2"/>
      <c r="E3493" s="2"/>
      <c r="F3493" s="2"/>
    </row>
    <row r="3494" spans="1:6" x14ac:dyDescent="0.3">
      <c r="A3494" s="63"/>
      <c r="B3494" s="64"/>
      <c r="C3494" s="64"/>
      <c r="D3494" s="64"/>
      <c r="E3494" s="63"/>
      <c r="F3494" s="64"/>
    </row>
    <row r="3495" spans="1:6" x14ac:dyDescent="0.3">
      <c r="A3495" s="2"/>
      <c r="B3495" s="65"/>
      <c r="C3495" s="65"/>
      <c r="D3495" s="2"/>
      <c r="E3495" s="2"/>
      <c r="F3495" s="2"/>
    </row>
    <row r="3496" spans="1:6" x14ac:dyDescent="0.3">
      <c r="A3496" s="63"/>
      <c r="B3496" s="64"/>
      <c r="C3496" s="64"/>
      <c r="D3496" s="64"/>
      <c r="E3496" s="63"/>
      <c r="F3496" s="64"/>
    </row>
    <row r="3497" spans="1:6" x14ac:dyDescent="0.3">
      <c r="A3497" s="2"/>
      <c r="B3497" s="65"/>
      <c r="C3497" s="65"/>
      <c r="D3497" s="2"/>
      <c r="E3497" s="2"/>
      <c r="F3497" s="2"/>
    </row>
    <row r="3498" spans="1:6" x14ac:dyDescent="0.3">
      <c r="A3498" s="63"/>
      <c r="B3498" s="64"/>
      <c r="C3498" s="64"/>
      <c r="D3498" s="64"/>
      <c r="E3498" s="63"/>
      <c r="F3498" s="64"/>
    </row>
    <row r="3499" spans="1:6" x14ac:dyDescent="0.3">
      <c r="A3499" s="2"/>
      <c r="B3499" s="65"/>
      <c r="C3499" s="65"/>
      <c r="D3499" s="2"/>
      <c r="E3499" s="2"/>
      <c r="F3499" s="2"/>
    </row>
    <row r="3500" spans="1:6" x14ac:dyDescent="0.3">
      <c r="A3500" s="63"/>
      <c r="B3500" s="64"/>
      <c r="C3500" s="64"/>
      <c r="D3500" s="64"/>
      <c r="E3500" s="63"/>
      <c r="F3500" s="64"/>
    </row>
    <row r="3501" spans="1:6" x14ac:dyDescent="0.3">
      <c r="A3501" s="2"/>
      <c r="B3501" s="65"/>
      <c r="C3501" s="65"/>
      <c r="D3501" s="2"/>
      <c r="E3501" s="2"/>
      <c r="F3501" s="2"/>
    </row>
    <row r="3502" spans="1:6" x14ac:dyDescent="0.3">
      <c r="A3502" s="63"/>
      <c r="B3502" s="64"/>
      <c r="C3502" s="64"/>
      <c r="D3502" s="64"/>
      <c r="E3502" s="63"/>
      <c r="F3502" s="64"/>
    </row>
    <row r="3503" spans="1:6" x14ac:dyDescent="0.3">
      <c r="A3503" s="2"/>
      <c r="B3503" s="65"/>
      <c r="C3503" s="65"/>
      <c r="D3503" s="2"/>
      <c r="E3503" s="2"/>
      <c r="F3503" s="2"/>
    </row>
    <row r="3504" spans="1:6" x14ac:dyDescent="0.3">
      <c r="A3504" s="63"/>
      <c r="B3504" s="64"/>
      <c r="C3504" s="64"/>
      <c r="D3504" s="64"/>
      <c r="E3504" s="63"/>
      <c r="F3504" s="64"/>
    </row>
    <row r="3505" spans="1:6" x14ac:dyDescent="0.3">
      <c r="A3505" s="2"/>
      <c r="B3505" s="65"/>
      <c r="C3505" s="65"/>
      <c r="D3505" s="2"/>
      <c r="E3505" s="2"/>
      <c r="F3505" s="2"/>
    </row>
    <row r="3506" spans="1:6" x14ac:dyDescent="0.3">
      <c r="A3506" s="63"/>
      <c r="B3506" s="64"/>
      <c r="C3506" s="64"/>
      <c r="D3506" s="64"/>
      <c r="E3506" s="63"/>
      <c r="F3506" s="64"/>
    </row>
    <row r="3507" spans="1:6" x14ac:dyDescent="0.3">
      <c r="A3507" s="2"/>
      <c r="B3507" s="65"/>
      <c r="C3507" s="65"/>
      <c r="D3507" s="2"/>
      <c r="E3507" s="2"/>
      <c r="F3507" s="2"/>
    </row>
    <row r="3508" spans="1:6" x14ac:dyDescent="0.3">
      <c r="A3508" s="63"/>
      <c r="B3508" s="64"/>
      <c r="C3508" s="64"/>
      <c r="D3508" s="64"/>
      <c r="E3508" s="63"/>
      <c r="F3508" s="64"/>
    </row>
    <row r="3509" spans="1:6" x14ac:dyDescent="0.3">
      <c r="A3509" s="2"/>
      <c r="B3509" s="65"/>
      <c r="C3509" s="65"/>
      <c r="D3509" s="2"/>
      <c r="E3509" s="2"/>
      <c r="F3509" s="2"/>
    </row>
    <row r="3510" spans="1:6" x14ac:dyDescent="0.3">
      <c r="A3510" s="63"/>
      <c r="B3510" s="64"/>
      <c r="C3510" s="64"/>
      <c r="D3510" s="64"/>
      <c r="E3510" s="63"/>
      <c r="F3510" s="64"/>
    </row>
    <row r="3511" spans="1:6" x14ac:dyDescent="0.3">
      <c r="A3511" s="2"/>
      <c r="B3511" s="65"/>
      <c r="C3511" s="65"/>
      <c r="D3511" s="2"/>
      <c r="E3511" s="2"/>
      <c r="F3511" s="2"/>
    </row>
    <row r="3512" spans="1:6" x14ac:dyDescent="0.3">
      <c r="A3512" s="63"/>
      <c r="B3512" s="64"/>
      <c r="C3512" s="64"/>
      <c r="D3512" s="64"/>
      <c r="E3512" s="63"/>
      <c r="F3512" s="64"/>
    </row>
    <row r="3513" spans="1:6" x14ac:dyDescent="0.3">
      <c r="A3513" s="2"/>
      <c r="B3513" s="65"/>
      <c r="C3513" s="65"/>
      <c r="D3513" s="2"/>
      <c r="E3513" s="2"/>
      <c r="F3513" s="2"/>
    </row>
    <row r="3514" spans="1:6" x14ac:dyDescent="0.3">
      <c r="A3514" s="63"/>
      <c r="B3514" s="64"/>
      <c r="C3514" s="64"/>
      <c r="D3514" s="64"/>
      <c r="E3514" s="63"/>
      <c r="F3514" s="64"/>
    </row>
    <row r="3515" spans="1:6" x14ac:dyDescent="0.3">
      <c r="A3515" s="2"/>
      <c r="B3515" s="65"/>
      <c r="C3515" s="65"/>
      <c r="D3515" s="2"/>
      <c r="E3515" s="2"/>
      <c r="F3515" s="2"/>
    </row>
    <row r="3516" spans="1:6" x14ac:dyDescent="0.3">
      <c r="A3516" s="63"/>
      <c r="B3516" s="64"/>
      <c r="C3516" s="64"/>
      <c r="D3516" s="64"/>
      <c r="E3516" s="63"/>
      <c r="F3516" s="64"/>
    </row>
    <row r="3517" spans="1:6" x14ac:dyDescent="0.3">
      <c r="A3517" s="2"/>
      <c r="B3517" s="65"/>
      <c r="C3517" s="65"/>
      <c r="D3517" s="2"/>
      <c r="E3517" s="2"/>
      <c r="F3517" s="2"/>
    </row>
    <row r="3518" spans="1:6" x14ac:dyDescent="0.3">
      <c r="A3518" s="63"/>
      <c r="B3518" s="64"/>
      <c r="C3518" s="64"/>
      <c r="D3518" s="64"/>
      <c r="E3518" s="63"/>
      <c r="F3518" s="64"/>
    </row>
    <row r="3519" spans="1:6" x14ac:dyDescent="0.3">
      <c r="A3519" s="2"/>
      <c r="B3519" s="65"/>
      <c r="C3519" s="65"/>
      <c r="D3519" s="2"/>
      <c r="E3519" s="2"/>
      <c r="F3519" s="2"/>
    </row>
    <row r="3520" spans="1:6" x14ac:dyDescent="0.3">
      <c r="A3520" s="63"/>
      <c r="B3520" s="64"/>
      <c r="C3520" s="64"/>
      <c r="D3520" s="64"/>
      <c r="E3520" s="63"/>
      <c r="F3520" s="64"/>
    </row>
    <row r="3521" spans="1:6" x14ac:dyDescent="0.3">
      <c r="A3521" s="2"/>
      <c r="B3521" s="65"/>
      <c r="C3521" s="65"/>
      <c r="D3521" s="2"/>
      <c r="E3521" s="2"/>
      <c r="F3521" s="2"/>
    </row>
    <row r="3522" spans="1:6" x14ac:dyDescent="0.3">
      <c r="A3522" s="63"/>
      <c r="B3522" s="64"/>
      <c r="C3522" s="64"/>
      <c r="D3522" s="64"/>
      <c r="E3522" s="63"/>
      <c r="F3522" s="64"/>
    </row>
    <row r="3523" spans="1:6" x14ac:dyDescent="0.3">
      <c r="A3523" s="2"/>
      <c r="B3523" s="65"/>
      <c r="C3523" s="65"/>
      <c r="D3523" s="2"/>
      <c r="E3523" s="2"/>
      <c r="F3523" s="2"/>
    </row>
    <row r="3524" spans="1:6" x14ac:dyDescent="0.3">
      <c r="A3524" s="63"/>
      <c r="B3524" s="64"/>
      <c r="C3524" s="64"/>
      <c r="D3524" s="64"/>
      <c r="E3524" s="63"/>
      <c r="F3524" s="64"/>
    </row>
    <row r="3525" spans="1:6" x14ac:dyDescent="0.3">
      <c r="A3525" s="2"/>
      <c r="B3525" s="65"/>
      <c r="C3525" s="65"/>
      <c r="D3525" s="2"/>
      <c r="E3525" s="2"/>
      <c r="F3525" s="2"/>
    </row>
    <row r="3526" spans="1:6" x14ac:dyDescent="0.3">
      <c r="A3526" s="63"/>
      <c r="B3526" s="64"/>
      <c r="C3526" s="64"/>
      <c r="D3526" s="64"/>
      <c r="E3526" s="63"/>
      <c r="F3526" s="64"/>
    </row>
    <row r="3527" spans="1:6" x14ac:dyDescent="0.3">
      <c r="A3527" s="2"/>
      <c r="B3527" s="65"/>
      <c r="C3527" s="65"/>
      <c r="D3527" s="2"/>
      <c r="E3527" s="2"/>
      <c r="F3527" s="2"/>
    </row>
    <row r="3528" spans="1:6" x14ac:dyDescent="0.3">
      <c r="A3528" s="63"/>
      <c r="B3528" s="64"/>
      <c r="C3528" s="64"/>
      <c r="D3528" s="64"/>
      <c r="E3528" s="63"/>
      <c r="F3528" s="64"/>
    </row>
    <row r="3529" spans="1:6" x14ac:dyDescent="0.3">
      <c r="A3529" s="2"/>
      <c r="B3529" s="65"/>
      <c r="C3529" s="65"/>
      <c r="D3529" s="2"/>
      <c r="E3529" s="2"/>
      <c r="F3529" s="2"/>
    </row>
    <row r="3530" spans="1:6" x14ac:dyDescent="0.3">
      <c r="A3530" s="63"/>
      <c r="B3530" s="64"/>
      <c r="C3530" s="64"/>
      <c r="D3530" s="64"/>
      <c r="E3530" s="63"/>
      <c r="F3530" s="64"/>
    </row>
    <row r="3531" spans="1:6" x14ac:dyDescent="0.3">
      <c r="A3531" s="2"/>
      <c r="B3531" s="65"/>
      <c r="C3531" s="65"/>
      <c r="D3531" s="2"/>
      <c r="E3531" s="2"/>
      <c r="F3531" s="2"/>
    </row>
    <row r="3532" spans="1:6" x14ac:dyDescent="0.3">
      <c r="A3532" s="63"/>
      <c r="B3532" s="64"/>
      <c r="C3532" s="64"/>
      <c r="D3532" s="64"/>
      <c r="E3532" s="63"/>
      <c r="F3532" s="64"/>
    </row>
    <row r="3533" spans="1:6" x14ac:dyDescent="0.3">
      <c r="A3533" s="2"/>
      <c r="B3533" s="65"/>
      <c r="C3533" s="65"/>
      <c r="D3533" s="2"/>
      <c r="E3533" s="2"/>
      <c r="F3533" s="2"/>
    </row>
    <row r="3534" spans="1:6" x14ac:dyDescent="0.3">
      <c r="A3534" s="63"/>
      <c r="B3534" s="64"/>
      <c r="C3534" s="64"/>
      <c r="D3534" s="64"/>
      <c r="E3534" s="63"/>
      <c r="F3534" s="64"/>
    </row>
    <row r="3535" spans="1:6" x14ac:dyDescent="0.3">
      <c r="A3535" s="2"/>
      <c r="B3535" s="65"/>
      <c r="C3535" s="65"/>
      <c r="D3535" s="2"/>
      <c r="E3535" s="2"/>
      <c r="F3535" s="2"/>
    </row>
    <row r="3536" spans="1:6" x14ac:dyDescent="0.3">
      <c r="A3536" s="63"/>
      <c r="B3536" s="64"/>
      <c r="C3536" s="64"/>
      <c r="D3536" s="64"/>
      <c r="E3536" s="63"/>
      <c r="F3536" s="64"/>
    </row>
    <row r="3537" spans="1:6" x14ac:dyDescent="0.3">
      <c r="A3537" s="2"/>
      <c r="B3537" s="65"/>
      <c r="C3537" s="65"/>
      <c r="D3537" s="2"/>
      <c r="E3537" s="2"/>
      <c r="F3537" s="2"/>
    </row>
    <row r="3538" spans="1:6" x14ac:dyDescent="0.3">
      <c r="A3538" s="63"/>
      <c r="B3538" s="64"/>
      <c r="C3538" s="64"/>
      <c r="D3538" s="64"/>
      <c r="E3538" s="63"/>
      <c r="F3538" s="64"/>
    </row>
    <row r="3539" spans="1:6" x14ac:dyDescent="0.3">
      <c r="A3539" s="2"/>
      <c r="B3539" s="65"/>
      <c r="C3539" s="65"/>
      <c r="D3539" s="2"/>
      <c r="E3539" s="2"/>
      <c r="F3539" s="2"/>
    </row>
    <row r="3540" spans="1:6" x14ac:dyDescent="0.3">
      <c r="A3540" s="63"/>
      <c r="B3540" s="64"/>
      <c r="C3540" s="64"/>
      <c r="D3540" s="64"/>
      <c r="E3540" s="63"/>
      <c r="F3540" s="64"/>
    </row>
    <row r="3541" spans="1:6" x14ac:dyDescent="0.3">
      <c r="A3541" s="2"/>
      <c r="B3541" s="65"/>
      <c r="C3541" s="65"/>
      <c r="D3541" s="2"/>
      <c r="E3541" s="2"/>
      <c r="F3541" s="2"/>
    </row>
    <row r="3542" spans="1:6" x14ac:dyDescent="0.3">
      <c r="A3542" s="63"/>
      <c r="B3542" s="64"/>
      <c r="C3542" s="64"/>
      <c r="D3542" s="64"/>
      <c r="E3542" s="63"/>
      <c r="F3542" s="64"/>
    </row>
    <row r="3543" spans="1:6" x14ac:dyDescent="0.3">
      <c r="A3543" s="2"/>
      <c r="B3543" s="65"/>
      <c r="C3543" s="65"/>
      <c r="D3543" s="2"/>
      <c r="E3543" s="2"/>
      <c r="F3543" s="2"/>
    </row>
    <row r="3544" spans="1:6" x14ac:dyDescent="0.3">
      <c r="A3544" s="63"/>
      <c r="B3544" s="64"/>
      <c r="C3544" s="64"/>
      <c r="D3544" s="64"/>
      <c r="E3544" s="63"/>
      <c r="F3544" s="64"/>
    </row>
    <row r="3545" spans="1:6" x14ac:dyDescent="0.3">
      <c r="A3545" s="2"/>
      <c r="B3545" s="65"/>
      <c r="C3545" s="65"/>
      <c r="D3545" s="2"/>
      <c r="E3545" s="2"/>
      <c r="F3545" s="2"/>
    </row>
    <row r="3546" spans="1:6" x14ac:dyDescent="0.3">
      <c r="A3546" s="63"/>
      <c r="B3546" s="64"/>
      <c r="C3546" s="64"/>
      <c r="D3546" s="64"/>
      <c r="E3546" s="63"/>
      <c r="F3546" s="64"/>
    </row>
    <row r="3547" spans="1:6" x14ac:dyDescent="0.3">
      <c r="A3547" s="2"/>
      <c r="B3547" s="65"/>
      <c r="C3547" s="65"/>
      <c r="D3547" s="2"/>
      <c r="E3547" s="2"/>
      <c r="F3547" s="2"/>
    </row>
    <row r="3548" spans="1:6" x14ac:dyDescent="0.3">
      <c r="A3548" s="63"/>
      <c r="B3548" s="64"/>
      <c r="C3548" s="64"/>
      <c r="D3548" s="64"/>
      <c r="E3548" s="63"/>
      <c r="F3548" s="64"/>
    </row>
    <row r="3549" spans="1:6" x14ac:dyDescent="0.3">
      <c r="A3549" s="2"/>
      <c r="B3549" s="65"/>
      <c r="C3549" s="65"/>
      <c r="D3549" s="2"/>
      <c r="E3549" s="2"/>
      <c r="F3549" s="2"/>
    </row>
    <row r="3550" spans="1:6" x14ac:dyDescent="0.3">
      <c r="A3550" s="63"/>
      <c r="B3550" s="64"/>
      <c r="C3550" s="64"/>
      <c r="D3550" s="64"/>
      <c r="E3550" s="63"/>
      <c r="F3550" s="64"/>
    </row>
    <row r="3551" spans="1:6" x14ac:dyDescent="0.3">
      <c r="A3551" s="2"/>
      <c r="B3551" s="65"/>
      <c r="C3551" s="65"/>
      <c r="D3551" s="2"/>
      <c r="E3551" s="2"/>
      <c r="F3551" s="2"/>
    </row>
    <row r="3552" spans="1:6" x14ac:dyDescent="0.3">
      <c r="A3552" s="63"/>
      <c r="B3552" s="64"/>
      <c r="C3552" s="64"/>
      <c r="D3552" s="64"/>
      <c r="E3552" s="63"/>
      <c r="F3552" s="64"/>
    </row>
    <row r="3553" spans="1:6" x14ac:dyDescent="0.3">
      <c r="A3553" s="2"/>
      <c r="B3553" s="65"/>
      <c r="C3553" s="65"/>
      <c r="D3553" s="2"/>
      <c r="E3553" s="2"/>
      <c r="F3553" s="2"/>
    </row>
    <row r="3554" spans="1:6" x14ac:dyDescent="0.3">
      <c r="A3554" s="63"/>
      <c r="B3554" s="64"/>
      <c r="C3554" s="64"/>
      <c r="D3554" s="64"/>
      <c r="E3554" s="63"/>
      <c r="F3554" s="64"/>
    </row>
    <row r="3555" spans="1:6" x14ac:dyDescent="0.3">
      <c r="A3555" s="2"/>
      <c r="B3555" s="65"/>
      <c r="C3555" s="65"/>
      <c r="D3555" s="2"/>
      <c r="E3555" s="2"/>
      <c r="F3555" s="2"/>
    </row>
    <row r="3556" spans="1:6" x14ac:dyDescent="0.3">
      <c r="A3556" s="63"/>
      <c r="B3556" s="64"/>
      <c r="C3556" s="64"/>
      <c r="D3556" s="64"/>
      <c r="E3556" s="63"/>
      <c r="F3556" s="64"/>
    </row>
    <row r="3557" spans="1:6" x14ac:dyDescent="0.3">
      <c r="A3557" s="2"/>
      <c r="B3557" s="65"/>
      <c r="C3557" s="65"/>
      <c r="D3557" s="2"/>
      <c r="E3557" s="2"/>
      <c r="F3557" s="2"/>
    </row>
    <row r="3558" spans="1:6" x14ac:dyDescent="0.3">
      <c r="A3558" s="63"/>
      <c r="B3558" s="64"/>
      <c r="C3558" s="64"/>
      <c r="D3558" s="64"/>
      <c r="E3558" s="63"/>
      <c r="F3558" s="64"/>
    </row>
    <row r="3559" spans="1:6" x14ac:dyDescent="0.3">
      <c r="A3559" s="2"/>
      <c r="B3559" s="65"/>
      <c r="C3559" s="65"/>
      <c r="D3559" s="2"/>
      <c r="E3559" s="2"/>
      <c r="F3559" s="2"/>
    </row>
    <row r="3560" spans="1:6" x14ac:dyDescent="0.3">
      <c r="A3560" s="63"/>
      <c r="B3560" s="64"/>
      <c r="C3560" s="64"/>
      <c r="D3560" s="64"/>
      <c r="E3560" s="63"/>
      <c r="F3560" s="64"/>
    </row>
    <row r="3561" spans="1:6" x14ac:dyDescent="0.3">
      <c r="A3561" s="2"/>
      <c r="B3561" s="65"/>
      <c r="C3561" s="65"/>
      <c r="D3561" s="2"/>
      <c r="E3561" s="2"/>
      <c r="F3561" s="2"/>
    </row>
    <row r="3562" spans="1:6" x14ac:dyDescent="0.3">
      <c r="A3562" s="63"/>
      <c r="B3562" s="64"/>
      <c r="C3562" s="64"/>
      <c r="D3562" s="64"/>
      <c r="E3562" s="63"/>
      <c r="F3562" s="64"/>
    </row>
    <row r="3563" spans="1:6" x14ac:dyDescent="0.3">
      <c r="A3563" s="2"/>
      <c r="B3563" s="65"/>
      <c r="C3563" s="65"/>
      <c r="D3563" s="2"/>
      <c r="E3563" s="2"/>
      <c r="F3563" s="2"/>
    </row>
    <row r="3564" spans="1:6" x14ac:dyDescent="0.3">
      <c r="A3564" s="63"/>
      <c r="B3564" s="64"/>
      <c r="C3564" s="64"/>
      <c r="D3564" s="64"/>
      <c r="E3564" s="63"/>
      <c r="F3564" s="64"/>
    </row>
    <row r="3565" spans="1:6" x14ac:dyDescent="0.3">
      <c r="A3565" s="2"/>
      <c r="B3565" s="65"/>
      <c r="C3565" s="65"/>
      <c r="D3565" s="2"/>
      <c r="E3565" s="2"/>
      <c r="F3565" s="2"/>
    </row>
    <row r="3566" spans="1:6" x14ac:dyDescent="0.3">
      <c r="A3566" s="63"/>
      <c r="B3566" s="64"/>
      <c r="C3566" s="64"/>
      <c r="D3566" s="64"/>
      <c r="E3566" s="63"/>
      <c r="F3566" s="64"/>
    </row>
    <row r="3567" spans="1:6" x14ac:dyDescent="0.3">
      <c r="A3567" s="2"/>
      <c r="B3567" s="65"/>
      <c r="C3567" s="65"/>
      <c r="D3567" s="2"/>
      <c r="E3567" s="2"/>
      <c r="F3567" s="2"/>
    </row>
    <row r="3568" spans="1:6" x14ac:dyDescent="0.3">
      <c r="A3568" s="63"/>
      <c r="B3568" s="64"/>
      <c r="C3568" s="64"/>
      <c r="D3568" s="64"/>
      <c r="E3568" s="63"/>
      <c r="F3568" s="64"/>
    </row>
    <row r="3569" spans="1:6" x14ac:dyDescent="0.3">
      <c r="A3569" s="2"/>
      <c r="B3569" s="65"/>
      <c r="C3569" s="65"/>
      <c r="D3569" s="2"/>
      <c r="E3569" s="2"/>
      <c r="F3569" s="2"/>
    </row>
    <row r="3570" spans="1:6" x14ac:dyDescent="0.3">
      <c r="A3570" s="63"/>
      <c r="B3570" s="64"/>
      <c r="C3570" s="64"/>
      <c r="D3570" s="64"/>
      <c r="E3570" s="63"/>
      <c r="F3570" s="64"/>
    </row>
    <row r="3571" spans="1:6" x14ac:dyDescent="0.3">
      <c r="A3571" s="2"/>
      <c r="B3571" s="65"/>
      <c r="C3571" s="65"/>
      <c r="D3571" s="2"/>
      <c r="E3571" s="2"/>
      <c r="F3571" s="2"/>
    </row>
    <row r="3572" spans="1:6" x14ac:dyDescent="0.3">
      <c r="A3572" s="63"/>
      <c r="B3572" s="64"/>
      <c r="C3572" s="64"/>
      <c r="D3572" s="64"/>
      <c r="E3572" s="63"/>
      <c r="F3572" s="64"/>
    </row>
    <row r="3573" spans="1:6" x14ac:dyDescent="0.3">
      <c r="A3573" s="2"/>
      <c r="B3573" s="65"/>
      <c r="C3573" s="65"/>
      <c r="D3573" s="2"/>
      <c r="E3573" s="2"/>
      <c r="F3573" s="2"/>
    </row>
    <row r="3574" spans="1:6" x14ac:dyDescent="0.3">
      <c r="A3574" s="63"/>
      <c r="B3574" s="64"/>
      <c r="C3574" s="64"/>
      <c r="D3574" s="64"/>
      <c r="E3574" s="63"/>
      <c r="F3574" s="64"/>
    </row>
    <row r="3575" spans="1:6" x14ac:dyDescent="0.3">
      <c r="A3575" s="2"/>
      <c r="B3575" s="65"/>
      <c r="C3575" s="65"/>
      <c r="D3575" s="2"/>
      <c r="E3575" s="2"/>
      <c r="F3575" s="2"/>
    </row>
    <row r="3576" spans="1:6" x14ac:dyDescent="0.3">
      <c r="A3576" s="63"/>
      <c r="B3576" s="64"/>
      <c r="C3576" s="64"/>
      <c r="D3576" s="64"/>
      <c r="E3576" s="63"/>
      <c r="F3576" s="64"/>
    </row>
    <row r="3577" spans="1:6" x14ac:dyDescent="0.3">
      <c r="A3577" s="2"/>
      <c r="B3577" s="65"/>
      <c r="C3577" s="65"/>
      <c r="D3577" s="2"/>
      <c r="E3577" s="2"/>
      <c r="F3577" s="2"/>
    </row>
    <row r="3578" spans="1:6" x14ac:dyDescent="0.3">
      <c r="A3578" s="63"/>
      <c r="B3578" s="64"/>
      <c r="C3578" s="64"/>
      <c r="D3578" s="64"/>
      <c r="E3578" s="63"/>
      <c r="F3578" s="64"/>
    </row>
    <row r="3579" spans="1:6" x14ac:dyDescent="0.3">
      <c r="A3579" s="2"/>
      <c r="B3579" s="65"/>
      <c r="C3579" s="65"/>
      <c r="D3579" s="2"/>
      <c r="E3579" s="2"/>
      <c r="F3579" s="2"/>
    </row>
    <row r="3580" spans="1:6" x14ac:dyDescent="0.3">
      <c r="A3580" s="63"/>
      <c r="B3580" s="64"/>
      <c r="C3580" s="64"/>
      <c r="D3580" s="64"/>
      <c r="E3580" s="63"/>
      <c r="F3580" s="64"/>
    </row>
    <row r="3581" spans="1:6" x14ac:dyDescent="0.3">
      <c r="A3581" s="2"/>
      <c r="B3581" s="65"/>
      <c r="C3581" s="65"/>
      <c r="D3581" s="2"/>
      <c r="E3581" s="2"/>
      <c r="F3581" s="2"/>
    </row>
    <row r="3582" spans="1:6" x14ac:dyDescent="0.3">
      <c r="A3582" s="63"/>
      <c r="B3582" s="64"/>
      <c r="C3582" s="64"/>
      <c r="D3582" s="64"/>
      <c r="E3582" s="63"/>
      <c r="F3582" s="64"/>
    </row>
    <row r="3583" spans="1:6" x14ac:dyDescent="0.3">
      <c r="A3583" s="2"/>
      <c r="B3583" s="65"/>
      <c r="C3583" s="65"/>
      <c r="D3583" s="2"/>
      <c r="E3583" s="2"/>
      <c r="F3583" s="2"/>
    </row>
    <row r="3584" spans="1:6" x14ac:dyDescent="0.3">
      <c r="A3584" s="63"/>
      <c r="B3584" s="64"/>
      <c r="C3584" s="64"/>
      <c r="D3584" s="64"/>
      <c r="E3584" s="63"/>
      <c r="F3584" s="64"/>
    </row>
    <row r="3585" spans="1:6" x14ac:dyDescent="0.3">
      <c r="A3585" s="2"/>
      <c r="B3585" s="65"/>
      <c r="C3585" s="65"/>
      <c r="D3585" s="2"/>
      <c r="E3585" s="2"/>
      <c r="F3585" s="2"/>
    </row>
    <row r="3586" spans="1:6" x14ac:dyDescent="0.3">
      <c r="A3586" s="63"/>
      <c r="B3586" s="64"/>
      <c r="C3586" s="64"/>
      <c r="D3586" s="64"/>
      <c r="E3586" s="63"/>
      <c r="F3586" s="64"/>
    </row>
    <row r="3587" spans="1:6" x14ac:dyDescent="0.3">
      <c r="A3587" s="2"/>
      <c r="B3587" s="65"/>
      <c r="C3587" s="65"/>
      <c r="D3587" s="2"/>
      <c r="E3587" s="2"/>
      <c r="F3587" s="2"/>
    </row>
    <row r="3588" spans="1:6" x14ac:dyDescent="0.3">
      <c r="A3588" s="63"/>
      <c r="B3588" s="64"/>
      <c r="C3588" s="64"/>
      <c r="D3588" s="64"/>
      <c r="E3588" s="63"/>
      <c r="F3588" s="64"/>
    </row>
    <row r="3589" spans="1:6" x14ac:dyDescent="0.3">
      <c r="A3589" s="2"/>
      <c r="B3589" s="65"/>
      <c r="C3589" s="65"/>
      <c r="D3589" s="2"/>
      <c r="E3589" s="2"/>
      <c r="F3589" s="2"/>
    </row>
    <row r="3590" spans="1:6" x14ac:dyDescent="0.3">
      <c r="A3590" s="63"/>
      <c r="B3590" s="64"/>
      <c r="C3590" s="64"/>
      <c r="D3590" s="64"/>
      <c r="E3590" s="63"/>
      <c r="F3590" s="64"/>
    </row>
    <row r="3591" spans="1:6" x14ac:dyDescent="0.3">
      <c r="A3591" s="2"/>
      <c r="B3591" s="65"/>
      <c r="C3591" s="65"/>
      <c r="D3591" s="2"/>
      <c r="E3591" s="2"/>
      <c r="F3591" s="2"/>
    </row>
    <row r="3592" spans="1:6" x14ac:dyDescent="0.3">
      <c r="A3592" s="63"/>
      <c r="B3592" s="64"/>
      <c r="C3592" s="64"/>
      <c r="D3592" s="64"/>
      <c r="E3592" s="63"/>
      <c r="F3592" s="64"/>
    </row>
    <row r="3593" spans="1:6" x14ac:dyDescent="0.3">
      <c r="A3593" s="2"/>
      <c r="B3593" s="65"/>
      <c r="C3593" s="65"/>
      <c r="D3593" s="2"/>
      <c r="E3593" s="2"/>
      <c r="F3593" s="2"/>
    </row>
    <row r="3594" spans="1:6" x14ac:dyDescent="0.3">
      <c r="A3594" s="63"/>
      <c r="B3594" s="64"/>
      <c r="C3594" s="64"/>
      <c r="D3594" s="64"/>
      <c r="E3594" s="63"/>
      <c r="F3594" s="64"/>
    </row>
    <row r="3595" spans="1:6" x14ac:dyDescent="0.3">
      <c r="A3595" s="2"/>
      <c r="B3595" s="65"/>
      <c r="C3595" s="65"/>
      <c r="D3595" s="2"/>
      <c r="E3595" s="2"/>
      <c r="F3595" s="2"/>
    </row>
    <row r="3596" spans="1:6" x14ac:dyDescent="0.3">
      <c r="A3596" s="63"/>
      <c r="B3596" s="64"/>
      <c r="C3596" s="64"/>
      <c r="D3596" s="64"/>
      <c r="E3596" s="63"/>
      <c r="F3596" s="64"/>
    </row>
    <row r="3597" spans="1:6" x14ac:dyDescent="0.3">
      <c r="A3597" s="2"/>
      <c r="B3597" s="65"/>
      <c r="C3597" s="65"/>
      <c r="D3597" s="2"/>
      <c r="E3597" s="2"/>
      <c r="F3597" s="2"/>
    </row>
    <row r="3598" spans="1:6" x14ac:dyDescent="0.3">
      <c r="A3598" s="63"/>
      <c r="B3598" s="64"/>
      <c r="C3598" s="64"/>
      <c r="D3598" s="64"/>
      <c r="E3598" s="63"/>
      <c r="F3598" s="64"/>
    </row>
    <row r="3599" spans="1:6" x14ac:dyDescent="0.3">
      <c r="A3599" s="2"/>
      <c r="B3599" s="65"/>
      <c r="C3599" s="65"/>
      <c r="D3599" s="2"/>
      <c r="E3599" s="2"/>
      <c r="F3599" s="2"/>
    </row>
    <row r="3600" spans="1:6" x14ac:dyDescent="0.3">
      <c r="A3600" s="63"/>
      <c r="B3600" s="64"/>
      <c r="C3600" s="64"/>
      <c r="D3600" s="64"/>
      <c r="E3600" s="63"/>
      <c r="F3600" s="64"/>
    </row>
    <row r="3601" spans="1:6" x14ac:dyDescent="0.3">
      <c r="A3601" s="2"/>
      <c r="B3601" s="65"/>
      <c r="C3601" s="65"/>
      <c r="D3601" s="2"/>
      <c r="E3601" s="2"/>
      <c r="F3601" s="2"/>
    </row>
    <row r="3602" spans="1:6" x14ac:dyDescent="0.3">
      <c r="A3602" s="63"/>
      <c r="B3602" s="64"/>
      <c r="C3602" s="64"/>
      <c r="D3602" s="64"/>
      <c r="E3602" s="63"/>
      <c r="F3602" s="64"/>
    </row>
    <row r="3603" spans="1:6" x14ac:dyDescent="0.3">
      <c r="A3603" s="2"/>
      <c r="B3603" s="65"/>
      <c r="C3603" s="65"/>
      <c r="D3603" s="2"/>
      <c r="E3603" s="2"/>
      <c r="F3603" s="2"/>
    </row>
    <row r="3604" spans="1:6" x14ac:dyDescent="0.3">
      <c r="A3604" s="63"/>
      <c r="B3604" s="64"/>
      <c r="C3604" s="64"/>
      <c r="D3604" s="64"/>
      <c r="E3604" s="63"/>
      <c r="F3604" s="64"/>
    </row>
    <row r="3605" spans="1:6" x14ac:dyDescent="0.3">
      <c r="A3605" s="2"/>
      <c r="B3605" s="65"/>
      <c r="C3605" s="65"/>
      <c r="D3605" s="2"/>
      <c r="E3605" s="2"/>
      <c r="F3605" s="2"/>
    </row>
    <row r="3606" spans="1:6" x14ac:dyDescent="0.3">
      <c r="A3606" s="63"/>
      <c r="B3606" s="64"/>
      <c r="C3606" s="64"/>
      <c r="D3606" s="64"/>
      <c r="E3606" s="63"/>
      <c r="F3606" s="64"/>
    </row>
    <row r="3607" spans="1:6" x14ac:dyDescent="0.3">
      <c r="A3607" s="2"/>
      <c r="B3607" s="65"/>
      <c r="C3607" s="65"/>
      <c r="D3607" s="2"/>
      <c r="E3607" s="2"/>
      <c r="F3607" s="2"/>
    </row>
    <row r="3608" spans="1:6" x14ac:dyDescent="0.3">
      <c r="A3608" s="63"/>
      <c r="B3608" s="64"/>
      <c r="C3608" s="64"/>
      <c r="D3608" s="64"/>
      <c r="E3608" s="63"/>
      <c r="F3608" s="64"/>
    </row>
    <row r="3609" spans="1:6" x14ac:dyDescent="0.3">
      <c r="A3609" s="2"/>
      <c r="B3609" s="65"/>
      <c r="C3609" s="65"/>
      <c r="D3609" s="2"/>
      <c r="E3609" s="2"/>
      <c r="F3609" s="2"/>
    </row>
    <row r="3610" spans="1:6" x14ac:dyDescent="0.3">
      <c r="A3610" s="63"/>
      <c r="B3610" s="64"/>
      <c r="C3610" s="64"/>
      <c r="D3610" s="64"/>
      <c r="E3610" s="63"/>
      <c r="F3610" s="64"/>
    </row>
    <row r="3611" spans="1:6" x14ac:dyDescent="0.3">
      <c r="A3611" s="2"/>
      <c r="B3611" s="65"/>
      <c r="C3611" s="65"/>
      <c r="D3611" s="2"/>
      <c r="E3611" s="2"/>
      <c r="F3611" s="2"/>
    </row>
    <row r="3612" spans="1:6" x14ac:dyDescent="0.3">
      <c r="A3612" s="63"/>
      <c r="B3612" s="64"/>
      <c r="C3612" s="64"/>
      <c r="D3612" s="64"/>
      <c r="E3612" s="63"/>
      <c r="F3612" s="64"/>
    </row>
    <row r="3613" spans="1:6" x14ac:dyDescent="0.3">
      <c r="A3613" s="2"/>
      <c r="B3613" s="65"/>
      <c r="C3613" s="65"/>
      <c r="D3613" s="2"/>
      <c r="E3613" s="2"/>
      <c r="F3613" s="2"/>
    </row>
    <row r="3614" spans="1:6" x14ac:dyDescent="0.3">
      <c r="A3614" s="63"/>
      <c r="B3614" s="64"/>
      <c r="C3614" s="64"/>
      <c r="D3614" s="64"/>
      <c r="E3614" s="63"/>
      <c r="F3614" s="64"/>
    </row>
    <row r="3615" spans="1:6" x14ac:dyDescent="0.3">
      <c r="A3615" s="2"/>
      <c r="B3615" s="65"/>
      <c r="C3615" s="65"/>
      <c r="D3615" s="2"/>
      <c r="E3615" s="2"/>
      <c r="F3615" s="2"/>
    </row>
    <row r="3616" spans="1:6" x14ac:dyDescent="0.3">
      <c r="A3616" s="63"/>
      <c r="B3616" s="64"/>
      <c r="C3616" s="64"/>
      <c r="D3616" s="64"/>
      <c r="E3616" s="63"/>
      <c r="F3616" s="64"/>
    </row>
    <row r="3617" spans="1:6" x14ac:dyDescent="0.3">
      <c r="A3617" s="2"/>
      <c r="B3617" s="65"/>
      <c r="C3617" s="65"/>
      <c r="D3617" s="2"/>
      <c r="E3617" s="2"/>
      <c r="F3617" s="2"/>
    </row>
    <row r="3618" spans="1:6" x14ac:dyDescent="0.3">
      <c r="A3618" s="63"/>
      <c r="B3618" s="64"/>
      <c r="C3618" s="64"/>
      <c r="D3618" s="64"/>
      <c r="E3618" s="63"/>
      <c r="F3618" s="64"/>
    </row>
    <row r="3619" spans="1:6" x14ac:dyDescent="0.3">
      <c r="A3619" s="2"/>
      <c r="B3619" s="65"/>
      <c r="C3619" s="65"/>
      <c r="D3619" s="2"/>
      <c r="E3619" s="2"/>
      <c r="F3619" s="2"/>
    </row>
    <row r="3620" spans="1:6" x14ac:dyDescent="0.3">
      <c r="A3620" s="63"/>
      <c r="B3620" s="64"/>
      <c r="C3620" s="64"/>
      <c r="D3620" s="64"/>
      <c r="E3620" s="63"/>
      <c r="F3620" s="64"/>
    </row>
    <row r="3621" spans="1:6" x14ac:dyDescent="0.3">
      <c r="A3621" s="2"/>
      <c r="B3621" s="65"/>
      <c r="C3621" s="65"/>
      <c r="D3621" s="2"/>
      <c r="E3621" s="2"/>
      <c r="F3621" s="2"/>
    </row>
    <row r="3622" spans="1:6" x14ac:dyDescent="0.3">
      <c r="A3622" s="63"/>
      <c r="B3622" s="64"/>
      <c r="C3622" s="64"/>
      <c r="D3622" s="64"/>
      <c r="E3622" s="63"/>
      <c r="F3622" s="64"/>
    </row>
    <row r="3623" spans="1:6" x14ac:dyDescent="0.3">
      <c r="A3623" s="2"/>
      <c r="B3623" s="65"/>
      <c r="C3623" s="65"/>
      <c r="D3623" s="2"/>
      <c r="E3623" s="2"/>
      <c r="F3623" s="2"/>
    </row>
    <row r="3624" spans="1:6" x14ac:dyDescent="0.3">
      <c r="A3624" s="63"/>
      <c r="B3624" s="64"/>
      <c r="C3624" s="64"/>
      <c r="D3624" s="64"/>
      <c r="E3624" s="63"/>
      <c r="F3624" s="64"/>
    </row>
    <row r="3625" spans="1:6" x14ac:dyDescent="0.3">
      <c r="A3625" s="2"/>
      <c r="B3625" s="65"/>
      <c r="C3625" s="65"/>
      <c r="D3625" s="2"/>
      <c r="E3625" s="2"/>
      <c r="F3625" s="2"/>
    </row>
    <row r="3626" spans="1:6" x14ac:dyDescent="0.3">
      <c r="A3626" s="63"/>
      <c r="B3626" s="64"/>
      <c r="C3626" s="64"/>
      <c r="D3626" s="64"/>
      <c r="E3626" s="63"/>
      <c r="F3626" s="64"/>
    </row>
    <row r="3627" spans="1:6" x14ac:dyDescent="0.3">
      <c r="A3627" s="2"/>
      <c r="B3627" s="65"/>
      <c r="C3627" s="65"/>
      <c r="D3627" s="2"/>
      <c r="E3627" s="2"/>
      <c r="F3627" s="2"/>
    </row>
    <row r="3628" spans="1:6" x14ac:dyDescent="0.3">
      <c r="A3628" s="63"/>
      <c r="B3628" s="64"/>
      <c r="C3628" s="64"/>
      <c r="D3628" s="64"/>
      <c r="E3628" s="63"/>
      <c r="F3628" s="64"/>
    </row>
    <row r="3629" spans="1:6" x14ac:dyDescent="0.3">
      <c r="A3629" s="2"/>
      <c r="B3629" s="65"/>
      <c r="C3629" s="65"/>
      <c r="D3629" s="2"/>
      <c r="E3629" s="2"/>
      <c r="F3629" s="2"/>
    </row>
    <row r="3630" spans="1:6" x14ac:dyDescent="0.3">
      <c r="A3630" s="63"/>
      <c r="B3630" s="64"/>
      <c r="C3630" s="64"/>
      <c r="D3630" s="64"/>
      <c r="E3630" s="63"/>
      <c r="F3630" s="64"/>
    </row>
    <row r="3631" spans="1:6" x14ac:dyDescent="0.3">
      <c r="A3631" s="2"/>
      <c r="B3631" s="65"/>
      <c r="C3631" s="65"/>
      <c r="D3631" s="2"/>
      <c r="E3631" s="2"/>
      <c r="F3631" s="2"/>
    </row>
    <row r="3632" spans="1:6" x14ac:dyDescent="0.3">
      <c r="A3632" s="63"/>
      <c r="B3632" s="64"/>
      <c r="C3632" s="64"/>
      <c r="D3632" s="64"/>
      <c r="E3632" s="63"/>
      <c r="F3632" s="64"/>
    </row>
    <row r="3633" spans="1:6" x14ac:dyDescent="0.3">
      <c r="A3633" s="2"/>
      <c r="B3633" s="65"/>
      <c r="C3633" s="65"/>
      <c r="D3633" s="2"/>
      <c r="E3633" s="2"/>
      <c r="F3633" s="2"/>
    </row>
    <row r="3634" spans="1:6" x14ac:dyDescent="0.3">
      <c r="A3634" s="63"/>
      <c r="B3634" s="64"/>
      <c r="C3634" s="64"/>
      <c r="D3634" s="64"/>
      <c r="E3634" s="63"/>
      <c r="F3634" s="64"/>
    </row>
    <row r="3635" spans="1:6" x14ac:dyDescent="0.3">
      <c r="A3635" s="2"/>
      <c r="B3635" s="65"/>
      <c r="C3635" s="65"/>
      <c r="D3635" s="2"/>
      <c r="E3635" s="2"/>
      <c r="F3635" s="2"/>
    </row>
    <row r="3636" spans="1:6" x14ac:dyDescent="0.3">
      <c r="A3636" s="63"/>
      <c r="B3636" s="64"/>
      <c r="C3636" s="64"/>
      <c r="D3636" s="64"/>
      <c r="E3636" s="63"/>
      <c r="F3636" s="64"/>
    </row>
    <row r="3637" spans="1:6" x14ac:dyDescent="0.3">
      <c r="A3637" s="2"/>
      <c r="B3637" s="65"/>
      <c r="C3637" s="65"/>
      <c r="D3637" s="2"/>
      <c r="E3637" s="2"/>
      <c r="F3637" s="2"/>
    </row>
    <row r="3638" spans="1:6" x14ac:dyDescent="0.3">
      <c r="A3638" s="63"/>
      <c r="B3638" s="64"/>
      <c r="C3638" s="64"/>
      <c r="D3638" s="64"/>
      <c r="E3638" s="63"/>
      <c r="F3638" s="64"/>
    </row>
    <row r="3639" spans="1:6" x14ac:dyDescent="0.3">
      <c r="A3639" s="2"/>
      <c r="B3639" s="65"/>
      <c r="C3639" s="65"/>
      <c r="D3639" s="2"/>
      <c r="E3639" s="2"/>
      <c r="F3639" s="2"/>
    </row>
    <row r="3640" spans="1:6" x14ac:dyDescent="0.3">
      <c r="A3640" s="63"/>
      <c r="B3640" s="64"/>
      <c r="C3640" s="64"/>
      <c r="D3640" s="64"/>
      <c r="E3640" s="63"/>
      <c r="F3640" s="64"/>
    </row>
    <row r="3641" spans="1:6" x14ac:dyDescent="0.3">
      <c r="A3641" s="2"/>
      <c r="B3641" s="65"/>
      <c r="C3641" s="65"/>
      <c r="D3641" s="2"/>
      <c r="E3641" s="2"/>
      <c r="F3641" s="2"/>
    </row>
    <row r="3642" spans="1:6" x14ac:dyDescent="0.3">
      <c r="A3642" s="63"/>
      <c r="B3642" s="64"/>
      <c r="C3642" s="64"/>
      <c r="D3642" s="64"/>
      <c r="E3642" s="63"/>
      <c r="F3642" s="64"/>
    </row>
    <row r="3643" spans="1:6" x14ac:dyDescent="0.3">
      <c r="A3643" s="2"/>
      <c r="B3643" s="65"/>
      <c r="C3643" s="65"/>
      <c r="D3643" s="2"/>
      <c r="E3643" s="2"/>
      <c r="F3643" s="2"/>
    </row>
    <row r="3644" spans="1:6" x14ac:dyDescent="0.3">
      <c r="A3644" s="63"/>
      <c r="B3644" s="64"/>
      <c r="C3644" s="64"/>
      <c r="D3644" s="64"/>
      <c r="E3644" s="63"/>
      <c r="F3644" s="64"/>
    </row>
    <row r="3645" spans="1:6" x14ac:dyDescent="0.3">
      <c r="A3645" s="2"/>
      <c r="B3645" s="65"/>
      <c r="C3645" s="65"/>
      <c r="D3645" s="2"/>
      <c r="E3645" s="2"/>
      <c r="F3645" s="2"/>
    </row>
    <row r="3646" spans="1:6" x14ac:dyDescent="0.3">
      <c r="A3646" s="63"/>
      <c r="B3646" s="64"/>
      <c r="C3646" s="64"/>
      <c r="D3646" s="64"/>
      <c r="E3646" s="63"/>
      <c r="F3646" s="64"/>
    </row>
    <row r="3647" spans="1:6" x14ac:dyDescent="0.3">
      <c r="A3647" s="2"/>
      <c r="B3647" s="65"/>
      <c r="C3647" s="65"/>
      <c r="D3647" s="2"/>
      <c r="E3647" s="2"/>
      <c r="F3647" s="2"/>
    </row>
    <row r="3648" spans="1:6" x14ac:dyDescent="0.3">
      <c r="A3648" s="63"/>
      <c r="B3648" s="64"/>
      <c r="C3648" s="64"/>
      <c r="D3648" s="64"/>
      <c r="E3648" s="63"/>
      <c r="F3648" s="64"/>
    </row>
    <row r="3649" spans="1:6" x14ac:dyDescent="0.3">
      <c r="A3649" s="2"/>
      <c r="B3649" s="65"/>
      <c r="C3649" s="65"/>
      <c r="D3649" s="2"/>
      <c r="E3649" s="2"/>
      <c r="F3649" s="2"/>
    </row>
    <row r="3650" spans="1:6" x14ac:dyDescent="0.3">
      <c r="A3650" s="63"/>
      <c r="B3650" s="64"/>
      <c r="C3650" s="64"/>
      <c r="D3650" s="64"/>
      <c r="E3650" s="63"/>
      <c r="F3650" s="64"/>
    </row>
    <row r="3651" spans="1:6" x14ac:dyDescent="0.3">
      <c r="A3651" s="2"/>
      <c r="B3651" s="65"/>
      <c r="C3651" s="65"/>
      <c r="D3651" s="2"/>
      <c r="E3651" s="2"/>
      <c r="F3651" s="2"/>
    </row>
    <row r="3652" spans="1:6" x14ac:dyDescent="0.3">
      <c r="A3652" s="63"/>
      <c r="B3652" s="64"/>
      <c r="C3652" s="64"/>
      <c r="D3652" s="64"/>
      <c r="E3652" s="63"/>
      <c r="F3652" s="64"/>
    </row>
    <row r="3653" spans="1:6" x14ac:dyDescent="0.3">
      <c r="A3653" s="2"/>
      <c r="B3653" s="65"/>
      <c r="C3653" s="65"/>
      <c r="D3653" s="2"/>
      <c r="E3653" s="2"/>
      <c r="F3653" s="2"/>
    </row>
    <row r="3654" spans="1:6" x14ac:dyDescent="0.3">
      <c r="A3654" s="63"/>
      <c r="B3654" s="64"/>
      <c r="C3654" s="64"/>
      <c r="D3654" s="64"/>
      <c r="E3654" s="63"/>
      <c r="F3654" s="64"/>
    </row>
    <row r="3655" spans="1:6" x14ac:dyDescent="0.3">
      <c r="A3655" s="2"/>
      <c r="B3655" s="65"/>
      <c r="C3655" s="65"/>
      <c r="D3655" s="2"/>
      <c r="E3655" s="2"/>
      <c r="F3655" s="2"/>
    </row>
    <row r="3656" spans="1:6" x14ac:dyDescent="0.3">
      <c r="A3656" s="63"/>
      <c r="B3656" s="64"/>
      <c r="C3656" s="64"/>
      <c r="D3656" s="64"/>
      <c r="E3656" s="63"/>
      <c r="F3656" s="64"/>
    </row>
    <row r="3657" spans="1:6" x14ac:dyDescent="0.3">
      <c r="A3657" s="2"/>
      <c r="B3657" s="65"/>
      <c r="C3657" s="65"/>
      <c r="D3657" s="2"/>
      <c r="E3657" s="2"/>
      <c r="F3657" s="2"/>
    </row>
    <row r="3658" spans="1:6" x14ac:dyDescent="0.3">
      <c r="A3658" s="63"/>
      <c r="B3658" s="64"/>
      <c r="C3658" s="64"/>
      <c r="D3658" s="64"/>
      <c r="E3658" s="63"/>
      <c r="F3658" s="64"/>
    </row>
    <row r="3659" spans="1:6" x14ac:dyDescent="0.3">
      <c r="A3659" s="2"/>
      <c r="B3659" s="65"/>
      <c r="C3659" s="65"/>
      <c r="D3659" s="2"/>
      <c r="E3659" s="2"/>
      <c r="F3659" s="2"/>
    </row>
    <row r="3660" spans="1:6" x14ac:dyDescent="0.3">
      <c r="A3660" s="63"/>
      <c r="B3660" s="64"/>
      <c r="C3660" s="64"/>
      <c r="D3660" s="64"/>
      <c r="E3660" s="63"/>
      <c r="F3660" s="64"/>
    </row>
    <row r="3661" spans="1:6" x14ac:dyDescent="0.3">
      <c r="A3661" s="2"/>
      <c r="B3661" s="65"/>
      <c r="C3661" s="65"/>
      <c r="D3661" s="2"/>
      <c r="E3661" s="2"/>
      <c r="F3661" s="2"/>
    </row>
    <row r="3662" spans="1:6" x14ac:dyDescent="0.3">
      <c r="A3662" s="63"/>
      <c r="B3662" s="64"/>
      <c r="C3662" s="64"/>
      <c r="D3662" s="64"/>
      <c r="E3662" s="63"/>
      <c r="F3662" s="64"/>
    </row>
    <row r="3663" spans="1:6" x14ac:dyDescent="0.3">
      <c r="A3663" s="2"/>
      <c r="B3663" s="65"/>
      <c r="C3663" s="65"/>
      <c r="D3663" s="2"/>
      <c r="E3663" s="2"/>
      <c r="F3663" s="2"/>
    </row>
    <row r="3664" spans="1:6" x14ac:dyDescent="0.3">
      <c r="A3664" s="63"/>
      <c r="B3664" s="64"/>
      <c r="C3664" s="64"/>
      <c r="D3664" s="64"/>
      <c r="E3664" s="63"/>
      <c r="F3664" s="64"/>
    </row>
    <row r="3665" spans="1:6" x14ac:dyDescent="0.3">
      <c r="A3665" s="2"/>
      <c r="B3665" s="65"/>
      <c r="C3665" s="65"/>
      <c r="D3665" s="2"/>
      <c r="E3665" s="2"/>
      <c r="F3665" s="2"/>
    </row>
    <row r="3666" spans="1:6" x14ac:dyDescent="0.3">
      <c r="A3666" s="63"/>
      <c r="B3666" s="64"/>
      <c r="C3666" s="64"/>
      <c r="D3666" s="64"/>
      <c r="E3666" s="63"/>
      <c r="F3666" s="64"/>
    </row>
    <row r="3667" spans="1:6" x14ac:dyDescent="0.3">
      <c r="A3667" s="2"/>
      <c r="B3667" s="65"/>
      <c r="C3667" s="65"/>
      <c r="D3667" s="2"/>
      <c r="E3667" s="2"/>
      <c r="F3667" s="2"/>
    </row>
    <row r="3668" spans="1:6" x14ac:dyDescent="0.3">
      <c r="A3668" s="63"/>
      <c r="B3668" s="64"/>
      <c r="C3668" s="64"/>
      <c r="D3668" s="64"/>
      <c r="E3668" s="63"/>
      <c r="F3668" s="64"/>
    </row>
    <row r="3669" spans="1:6" x14ac:dyDescent="0.3">
      <c r="A3669" s="2"/>
      <c r="B3669" s="65"/>
      <c r="C3669" s="65"/>
      <c r="D3669" s="2"/>
      <c r="E3669" s="2"/>
      <c r="F3669" s="2"/>
    </row>
    <row r="3670" spans="1:6" x14ac:dyDescent="0.3">
      <c r="A3670" s="63"/>
      <c r="B3670" s="64"/>
      <c r="C3670" s="64"/>
      <c r="D3670" s="64"/>
      <c r="E3670" s="63"/>
      <c r="F3670" s="64"/>
    </row>
    <row r="3671" spans="1:6" x14ac:dyDescent="0.3">
      <c r="A3671" s="2"/>
      <c r="B3671" s="65"/>
      <c r="C3671" s="65"/>
      <c r="D3671" s="2"/>
      <c r="E3671" s="2"/>
      <c r="F3671" s="2"/>
    </row>
    <row r="3672" spans="1:6" x14ac:dyDescent="0.3">
      <c r="A3672" s="63"/>
      <c r="B3672" s="64"/>
      <c r="C3672" s="64"/>
      <c r="D3672" s="64"/>
      <c r="E3672" s="63"/>
      <c r="F3672" s="64"/>
    </row>
    <row r="3673" spans="1:6" x14ac:dyDescent="0.3">
      <c r="A3673" s="2"/>
      <c r="B3673" s="65"/>
      <c r="C3673" s="65"/>
      <c r="D3673" s="2"/>
      <c r="E3673" s="2"/>
      <c r="F3673" s="2"/>
    </row>
    <row r="3674" spans="1:6" x14ac:dyDescent="0.3">
      <c r="A3674" s="63"/>
      <c r="B3674" s="64"/>
      <c r="C3674" s="64"/>
      <c r="D3674" s="64"/>
      <c r="E3674" s="63"/>
      <c r="F3674" s="64"/>
    </row>
    <row r="3675" spans="1:6" x14ac:dyDescent="0.3">
      <c r="A3675" s="2"/>
      <c r="B3675" s="65"/>
      <c r="C3675" s="65"/>
      <c r="D3675" s="2"/>
      <c r="E3675" s="2"/>
      <c r="F3675" s="2"/>
    </row>
    <row r="3676" spans="1:6" x14ac:dyDescent="0.3">
      <c r="A3676" s="63"/>
      <c r="B3676" s="64"/>
      <c r="C3676" s="64"/>
      <c r="D3676" s="64"/>
      <c r="E3676" s="63"/>
      <c r="F3676" s="64"/>
    </row>
    <row r="3677" spans="1:6" x14ac:dyDescent="0.3">
      <c r="A3677" s="2"/>
      <c r="B3677" s="65"/>
      <c r="C3677" s="65"/>
      <c r="D3677" s="2"/>
      <c r="E3677" s="2"/>
      <c r="F3677" s="2"/>
    </row>
    <row r="3678" spans="1:6" x14ac:dyDescent="0.3">
      <c r="A3678" s="63"/>
      <c r="B3678" s="64"/>
      <c r="C3678" s="64"/>
      <c r="D3678" s="64"/>
      <c r="E3678" s="63"/>
      <c r="F3678" s="64"/>
    </row>
    <row r="3679" spans="1:6" x14ac:dyDescent="0.3">
      <c r="A3679" s="2"/>
      <c r="B3679" s="65"/>
      <c r="C3679" s="65"/>
      <c r="D3679" s="2"/>
      <c r="E3679" s="2"/>
      <c r="F3679" s="2"/>
    </row>
    <row r="3680" spans="1:6" x14ac:dyDescent="0.3">
      <c r="A3680" s="63"/>
      <c r="B3680" s="64"/>
      <c r="C3680" s="64"/>
      <c r="D3680" s="64"/>
      <c r="E3680" s="63"/>
      <c r="F3680" s="64"/>
    </row>
    <row r="3681" spans="1:6" x14ac:dyDescent="0.3">
      <c r="A3681" s="2"/>
      <c r="B3681" s="65"/>
      <c r="C3681" s="65"/>
      <c r="D3681" s="2"/>
      <c r="E3681" s="2"/>
      <c r="F3681" s="2"/>
    </row>
    <row r="3682" spans="1:6" x14ac:dyDescent="0.3">
      <c r="A3682" s="63"/>
      <c r="B3682" s="64"/>
      <c r="C3682" s="64"/>
      <c r="D3682" s="64"/>
      <c r="E3682" s="63"/>
      <c r="F3682" s="64"/>
    </row>
    <row r="3683" spans="1:6" x14ac:dyDescent="0.3">
      <c r="A3683" s="2"/>
      <c r="B3683" s="65"/>
      <c r="C3683" s="65"/>
      <c r="D3683" s="2"/>
      <c r="E3683" s="2"/>
      <c r="F3683" s="2"/>
    </row>
    <row r="3684" spans="1:6" x14ac:dyDescent="0.3">
      <c r="A3684" s="63"/>
      <c r="B3684" s="64"/>
      <c r="C3684" s="64"/>
      <c r="D3684" s="64"/>
      <c r="E3684" s="63"/>
      <c r="F3684" s="64"/>
    </row>
    <row r="3685" spans="1:6" x14ac:dyDescent="0.3">
      <c r="A3685" s="2"/>
      <c r="B3685" s="65"/>
      <c r="C3685" s="65"/>
      <c r="D3685" s="2"/>
      <c r="E3685" s="2"/>
      <c r="F3685" s="2"/>
    </row>
    <row r="3686" spans="1:6" x14ac:dyDescent="0.3">
      <c r="A3686" s="63"/>
      <c r="B3686" s="64"/>
      <c r="C3686" s="64"/>
      <c r="D3686" s="64"/>
      <c r="E3686" s="63"/>
      <c r="F3686" s="64"/>
    </row>
    <row r="3687" spans="1:6" x14ac:dyDescent="0.3">
      <c r="A3687" s="2"/>
      <c r="B3687" s="65"/>
      <c r="C3687" s="65"/>
      <c r="D3687" s="2"/>
      <c r="E3687" s="2"/>
      <c r="F3687" s="2"/>
    </row>
    <row r="3688" spans="1:6" x14ac:dyDescent="0.3">
      <c r="A3688" s="63"/>
      <c r="B3688" s="64"/>
      <c r="C3688" s="64"/>
      <c r="D3688" s="64"/>
      <c r="E3688" s="63"/>
      <c r="F3688" s="64"/>
    </row>
    <row r="3689" spans="1:6" x14ac:dyDescent="0.3">
      <c r="A3689" s="2"/>
      <c r="B3689" s="65"/>
      <c r="C3689" s="65"/>
      <c r="D3689" s="2"/>
      <c r="E3689" s="2"/>
      <c r="F3689" s="2"/>
    </row>
    <row r="3690" spans="1:6" x14ac:dyDescent="0.3">
      <c r="A3690" s="63"/>
      <c r="B3690" s="64"/>
      <c r="C3690" s="64"/>
      <c r="D3690" s="64"/>
      <c r="E3690" s="63"/>
      <c r="F3690" s="64"/>
    </row>
    <row r="3691" spans="1:6" x14ac:dyDescent="0.3">
      <c r="A3691" s="2"/>
      <c r="B3691" s="65"/>
      <c r="C3691" s="65"/>
      <c r="D3691" s="2"/>
      <c r="E3691" s="2"/>
      <c r="F3691" s="2"/>
    </row>
    <row r="3692" spans="1:6" x14ac:dyDescent="0.3">
      <c r="A3692" s="63"/>
      <c r="B3692" s="64"/>
      <c r="C3692" s="64"/>
      <c r="D3692" s="64"/>
      <c r="E3692" s="63"/>
      <c r="F3692" s="64"/>
    </row>
    <row r="3693" spans="1:6" x14ac:dyDescent="0.3">
      <c r="A3693" s="2"/>
      <c r="B3693" s="65"/>
      <c r="C3693" s="65"/>
      <c r="D3693" s="2"/>
      <c r="E3693" s="2"/>
      <c r="F3693" s="2"/>
    </row>
    <row r="3694" spans="1:6" x14ac:dyDescent="0.3">
      <c r="A3694" s="63"/>
      <c r="B3694" s="64"/>
      <c r="C3694" s="64"/>
      <c r="D3694" s="64"/>
      <c r="E3694" s="63"/>
      <c r="F3694" s="64"/>
    </row>
    <row r="3695" spans="1:6" x14ac:dyDescent="0.3">
      <c r="A3695" s="2"/>
      <c r="B3695" s="65"/>
      <c r="C3695" s="65"/>
      <c r="D3695" s="2"/>
      <c r="E3695" s="2"/>
      <c r="F3695" s="2"/>
    </row>
    <row r="3696" spans="1:6" x14ac:dyDescent="0.3">
      <c r="A3696" s="63"/>
      <c r="B3696" s="64"/>
      <c r="C3696" s="64"/>
      <c r="D3696" s="64"/>
      <c r="E3696" s="63"/>
      <c r="F3696" s="64"/>
    </row>
    <row r="3697" spans="1:6" x14ac:dyDescent="0.3">
      <c r="A3697" s="2"/>
      <c r="B3697" s="65"/>
      <c r="C3697" s="65"/>
      <c r="D3697" s="2"/>
      <c r="E3697" s="2"/>
      <c r="F3697" s="2"/>
    </row>
    <row r="3698" spans="1:6" x14ac:dyDescent="0.3">
      <c r="A3698" s="63"/>
      <c r="B3698" s="64"/>
      <c r="C3698" s="64"/>
      <c r="D3698" s="64"/>
      <c r="E3698" s="63"/>
      <c r="F3698" s="64"/>
    </row>
    <row r="3699" spans="1:6" x14ac:dyDescent="0.3">
      <c r="A3699" s="2"/>
      <c r="B3699" s="65"/>
      <c r="C3699" s="65"/>
      <c r="D3699" s="2"/>
      <c r="E3699" s="2"/>
      <c r="F3699" s="2"/>
    </row>
    <row r="3700" spans="1:6" x14ac:dyDescent="0.3">
      <c r="A3700" s="63"/>
      <c r="B3700" s="64"/>
      <c r="C3700" s="64"/>
      <c r="D3700" s="64"/>
      <c r="E3700" s="63"/>
      <c r="F3700" s="64"/>
    </row>
    <row r="3701" spans="1:6" x14ac:dyDescent="0.3">
      <c r="A3701" s="2"/>
      <c r="B3701" s="65"/>
      <c r="C3701" s="65"/>
      <c r="D3701" s="2"/>
      <c r="E3701" s="2"/>
      <c r="F3701" s="2"/>
    </row>
    <row r="3702" spans="1:6" x14ac:dyDescent="0.3">
      <c r="A3702" s="63"/>
      <c r="B3702" s="64"/>
      <c r="C3702" s="64"/>
      <c r="D3702" s="64"/>
      <c r="E3702" s="63"/>
      <c r="F3702" s="64"/>
    </row>
    <row r="3703" spans="1:6" x14ac:dyDescent="0.3">
      <c r="A3703" s="2"/>
      <c r="B3703" s="65"/>
      <c r="C3703" s="65"/>
      <c r="D3703" s="2"/>
      <c r="E3703" s="2"/>
      <c r="F3703" s="2"/>
    </row>
    <row r="3704" spans="1:6" x14ac:dyDescent="0.3">
      <c r="A3704" s="63"/>
      <c r="B3704" s="64"/>
      <c r="C3704" s="64"/>
      <c r="D3704" s="64"/>
      <c r="E3704" s="63"/>
      <c r="F3704" s="64"/>
    </row>
    <row r="3705" spans="1:6" x14ac:dyDescent="0.3">
      <c r="A3705" s="2"/>
      <c r="B3705" s="65"/>
      <c r="C3705" s="65"/>
      <c r="D3705" s="2"/>
      <c r="E3705" s="2"/>
      <c r="F3705" s="2"/>
    </row>
    <row r="3706" spans="1:6" x14ac:dyDescent="0.3">
      <c r="A3706" s="63"/>
      <c r="B3706" s="64"/>
      <c r="C3706" s="64"/>
      <c r="D3706" s="64"/>
      <c r="E3706" s="63"/>
      <c r="F3706" s="64"/>
    </row>
    <row r="3707" spans="1:6" x14ac:dyDescent="0.3">
      <c r="A3707" s="2"/>
      <c r="B3707" s="65"/>
      <c r="C3707" s="65"/>
      <c r="D3707" s="2"/>
      <c r="E3707" s="2"/>
      <c r="F3707" s="2"/>
    </row>
    <row r="3708" spans="1:6" x14ac:dyDescent="0.3">
      <c r="A3708" s="63"/>
      <c r="B3708" s="64"/>
      <c r="C3708" s="64"/>
      <c r="D3708" s="64"/>
      <c r="E3708" s="63"/>
      <c r="F3708" s="64"/>
    </row>
    <row r="3709" spans="1:6" x14ac:dyDescent="0.3">
      <c r="A3709" s="2"/>
      <c r="B3709" s="65"/>
      <c r="C3709" s="65"/>
      <c r="D3709" s="2"/>
      <c r="E3709" s="2"/>
      <c r="F3709" s="2"/>
    </row>
    <row r="3710" spans="1:6" x14ac:dyDescent="0.3">
      <c r="A3710" s="63"/>
      <c r="B3710" s="64"/>
      <c r="C3710" s="64"/>
      <c r="D3710" s="64"/>
      <c r="E3710" s="63"/>
      <c r="F3710" s="64"/>
    </row>
    <row r="3711" spans="1:6" x14ac:dyDescent="0.3">
      <c r="A3711" s="2"/>
      <c r="B3711" s="65"/>
      <c r="C3711" s="65"/>
      <c r="D3711" s="2"/>
      <c r="E3711" s="2"/>
      <c r="F3711" s="2"/>
    </row>
    <row r="3712" spans="1:6" x14ac:dyDescent="0.3">
      <c r="A3712" s="63"/>
      <c r="B3712" s="64"/>
      <c r="C3712" s="64"/>
      <c r="D3712" s="64"/>
      <c r="E3712" s="63"/>
      <c r="F3712" s="64"/>
    </row>
    <row r="3713" spans="1:6" x14ac:dyDescent="0.3">
      <c r="A3713" s="2"/>
      <c r="B3713" s="65"/>
      <c r="C3713" s="65"/>
      <c r="D3713" s="2"/>
      <c r="E3713" s="2"/>
      <c r="F3713" s="2"/>
    </row>
    <row r="3714" spans="1:6" x14ac:dyDescent="0.3">
      <c r="A3714" s="63"/>
      <c r="B3714" s="64"/>
      <c r="C3714" s="64"/>
      <c r="D3714" s="64"/>
      <c r="E3714" s="63"/>
      <c r="F3714" s="64"/>
    </row>
    <row r="3715" spans="1:6" x14ac:dyDescent="0.3">
      <c r="A3715" s="2"/>
      <c r="B3715" s="65"/>
      <c r="C3715" s="65"/>
      <c r="D3715" s="2"/>
      <c r="E3715" s="2"/>
      <c r="F3715" s="2"/>
    </row>
    <row r="3716" spans="1:6" x14ac:dyDescent="0.3">
      <c r="A3716" s="63"/>
      <c r="B3716" s="64"/>
      <c r="C3716" s="64"/>
      <c r="D3716" s="64"/>
      <c r="E3716" s="63"/>
      <c r="F3716" s="64"/>
    </row>
    <row r="3717" spans="1:6" x14ac:dyDescent="0.3">
      <c r="A3717" s="2"/>
      <c r="B3717" s="65"/>
      <c r="C3717" s="65"/>
      <c r="D3717" s="2"/>
      <c r="E3717" s="2"/>
      <c r="F3717" s="2"/>
    </row>
    <row r="3718" spans="1:6" x14ac:dyDescent="0.3">
      <c r="A3718" s="63"/>
      <c r="B3718" s="64"/>
      <c r="C3718" s="64"/>
      <c r="D3718" s="64"/>
      <c r="E3718" s="63"/>
      <c r="F3718" s="64"/>
    </row>
    <row r="3719" spans="1:6" x14ac:dyDescent="0.3">
      <c r="A3719" s="2"/>
      <c r="B3719" s="65"/>
      <c r="C3719" s="65"/>
      <c r="D3719" s="2"/>
      <c r="E3719" s="2"/>
      <c r="F3719" s="2"/>
    </row>
    <row r="3720" spans="1:6" x14ac:dyDescent="0.3">
      <c r="A3720" s="63"/>
      <c r="B3720" s="64"/>
      <c r="C3720" s="64"/>
      <c r="D3720" s="64"/>
      <c r="E3720" s="63"/>
      <c r="F3720" s="64"/>
    </row>
    <row r="3721" spans="1:6" x14ac:dyDescent="0.3">
      <c r="A3721" s="2"/>
      <c r="B3721" s="65"/>
      <c r="C3721" s="65"/>
      <c r="D3721" s="2"/>
      <c r="E3721" s="2"/>
      <c r="F3721" s="2"/>
    </row>
    <row r="3722" spans="1:6" x14ac:dyDescent="0.3">
      <c r="A3722" s="63"/>
      <c r="B3722" s="64"/>
      <c r="C3722" s="64"/>
      <c r="D3722" s="64"/>
      <c r="E3722" s="63"/>
      <c r="F3722" s="64"/>
    </row>
    <row r="3723" spans="1:6" x14ac:dyDescent="0.3">
      <c r="A3723" s="2"/>
      <c r="B3723" s="65"/>
      <c r="C3723" s="65"/>
      <c r="D3723" s="2"/>
      <c r="E3723" s="2"/>
      <c r="F3723" s="2"/>
    </row>
    <row r="3724" spans="1:6" x14ac:dyDescent="0.3">
      <c r="A3724" s="63"/>
      <c r="B3724" s="64"/>
      <c r="C3724" s="64"/>
      <c r="D3724" s="64"/>
      <c r="E3724" s="63"/>
      <c r="F3724" s="64"/>
    </row>
    <row r="3725" spans="1:6" x14ac:dyDescent="0.3">
      <c r="A3725" s="2"/>
      <c r="B3725" s="65"/>
      <c r="C3725" s="65"/>
      <c r="D3725" s="2"/>
      <c r="E3725" s="2"/>
      <c r="F3725" s="2"/>
    </row>
    <row r="3726" spans="1:6" x14ac:dyDescent="0.3">
      <c r="A3726" s="63"/>
      <c r="B3726" s="64"/>
      <c r="C3726" s="64"/>
      <c r="D3726" s="64"/>
      <c r="E3726" s="63"/>
      <c r="F3726" s="64"/>
    </row>
    <row r="3727" spans="1:6" x14ac:dyDescent="0.3">
      <c r="A3727" s="2"/>
      <c r="B3727" s="65"/>
      <c r="C3727" s="65"/>
      <c r="D3727" s="2"/>
      <c r="E3727" s="2"/>
      <c r="F3727" s="2"/>
    </row>
    <row r="3728" spans="1:6" x14ac:dyDescent="0.3">
      <c r="A3728" s="63"/>
      <c r="B3728" s="64"/>
      <c r="C3728" s="64"/>
      <c r="D3728" s="64"/>
      <c r="E3728" s="63"/>
      <c r="F3728" s="64"/>
    </row>
    <row r="3729" spans="1:6" x14ac:dyDescent="0.3">
      <c r="A3729" s="2"/>
      <c r="B3729" s="65"/>
      <c r="C3729" s="65"/>
      <c r="D3729" s="2"/>
      <c r="E3729" s="2"/>
      <c r="F3729" s="2"/>
    </row>
    <row r="3730" spans="1:6" x14ac:dyDescent="0.3">
      <c r="A3730" s="63"/>
      <c r="B3730" s="64"/>
      <c r="C3730" s="64"/>
      <c r="D3730" s="64"/>
      <c r="E3730" s="63"/>
      <c r="F3730" s="64"/>
    </row>
    <row r="3731" spans="1:6" x14ac:dyDescent="0.3">
      <c r="A3731" s="2"/>
      <c r="B3731" s="65"/>
      <c r="C3731" s="65"/>
      <c r="D3731" s="2"/>
      <c r="E3731" s="2"/>
      <c r="F3731" s="2"/>
    </row>
    <row r="3732" spans="1:6" x14ac:dyDescent="0.3">
      <c r="A3732" s="63"/>
      <c r="B3732" s="64"/>
      <c r="C3732" s="64"/>
      <c r="D3732" s="64"/>
      <c r="E3732" s="63"/>
      <c r="F3732" s="64"/>
    </row>
    <row r="3733" spans="1:6" x14ac:dyDescent="0.3">
      <c r="A3733" s="2"/>
      <c r="B3733" s="65"/>
      <c r="C3733" s="65"/>
      <c r="D3733" s="2"/>
      <c r="E3733" s="2"/>
      <c r="F3733" s="2"/>
    </row>
    <row r="3734" spans="1:6" x14ac:dyDescent="0.3">
      <c r="A3734" s="63"/>
      <c r="B3734" s="64"/>
      <c r="C3734" s="64"/>
      <c r="D3734" s="64"/>
      <c r="E3734" s="63"/>
      <c r="F3734" s="64"/>
    </row>
    <row r="3735" spans="1:6" x14ac:dyDescent="0.3">
      <c r="A3735" s="2"/>
      <c r="B3735" s="65"/>
      <c r="C3735" s="65"/>
      <c r="D3735" s="2"/>
      <c r="E3735" s="2"/>
      <c r="F3735" s="2"/>
    </row>
    <row r="3736" spans="1:6" x14ac:dyDescent="0.3">
      <c r="A3736" s="63"/>
      <c r="B3736" s="64"/>
      <c r="C3736" s="64"/>
      <c r="D3736" s="64"/>
      <c r="E3736" s="63"/>
      <c r="F3736" s="64"/>
    </row>
    <row r="3737" spans="1:6" x14ac:dyDescent="0.3">
      <c r="A3737" s="2"/>
      <c r="B3737" s="65"/>
      <c r="C3737" s="65"/>
      <c r="D3737" s="2"/>
      <c r="E3737" s="2"/>
      <c r="F3737" s="2"/>
    </row>
    <row r="3738" spans="1:6" x14ac:dyDescent="0.3">
      <c r="A3738" s="63"/>
      <c r="B3738" s="64"/>
      <c r="C3738" s="64"/>
      <c r="D3738" s="64"/>
      <c r="E3738" s="63"/>
      <c r="F3738" s="64"/>
    </row>
    <row r="3739" spans="1:6" x14ac:dyDescent="0.3">
      <c r="A3739" s="2"/>
      <c r="B3739" s="65"/>
      <c r="C3739" s="65"/>
      <c r="D3739" s="2"/>
      <c r="E3739" s="2"/>
      <c r="F3739" s="2"/>
    </row>
    <row r="3740" spans="1:6" x14ac:dyDescent="0.3">
      <c r="A3740" s="63"/>
      <c r="B3740" s="64"/>
      <c r="C3740" s="64"/>
      <c r="D3740" s="64"/>
      <c r="E3740" s="63"/>
      <c r="F3740" s="64"/>
    </row>
    <row r="3741" spans="1:6" x14ac:dyDescent="0.3">
      <c r="A3741" s="2"/>
      <c r="B3741" s="65"/>
      <c r="C3741" s="65"/>
      <c r="D3741" s="2"/>
      <c r="E3741" s="2"/>
      <c r="F3741" s="2"/>
    </row>
    <row r="3742" spans="1:6" x14ac:dyDescent="0.3">
      <c r="A3742" s="63"/>
      <c r="B3742" s="64"/>
      <c r="C3742" s="64"/>
      <c r="D3742" s="64"/>
      <c r="E3742" s="63"/>
      <c r="F3742" s="64"/>
    </row>
    <row r="3743" spans="1:6" x14ac:dyDescent="0.3">
      <c r="A3743" s="2"/>
      <c r="B3743" s="65"/>
      <c r="C3743" s="65"/>
      <c r="D3743" s="2"/>
      <c r="E3743" s="2"/>
      <c r="F3743" s="2"/>
    </row>
    <row r="3744" spans="1:6" x14ac:dyDescent="0.3">
      <c r="A3744" s="63"/>
      <c r="B3744" s="64"/>
      <c r="C3744" s="64"/>
      <c r="D3744" s="64"/>
      <c r="E3744" s="63"/>
      <c r="F3744" s="64"/>
    </row>
    <row r="3745" spans="1:6" x14ac:dyDescent="0.3">
      <c r="A3745" s="2"/>
      <c r="B3745" s="65"/>
      <c r="C3745" s="65"/>
      <c r="D3745" s="2"/>
      <c r="E3745" s="2"/>
      <c r="F3745" s="2"/>
    </row>
    <row r="3746" spans="1:6" x14ac:dyDescent="0.3">
      <c r="A3746" s="63"/>
      <c r="B3746" s="64"/>
      <c r="C3746" s="64"/>
      <c r="D3746" s="64"/>
      <c r="E3746" s="63"/>
      <c r="F3746" s="64"/>
    </row>
    <row r="3747" spans="1:6" x14ac:dyDescent="0.3">
      <c r="A3747" s="2"/>
      <c r="B3747" s="65"/>
      <c r="C3747" s="65"/>
      <c r="D3747" s="2"/>
      <c r="E3747" s="2"/>
      <c r="F3747" s="2"/>
    </row>
    <row r="3748" spans="1:6" x14ac:dyDescent="0.3">
      <c r="A3748" s="63"/>
      <c r="B3748" s="64"/>
      <c r="C3748" s="64"/>
      <c r="D3748" s="64"/>
      <c r="E3748" s="63"/>
      <c r="F3748" s="64"/>
    </row>
    <row r="3749" spans="1:6" x14ac:dyDescent="0.3">
      <c r="A3749" s="2"/>
      <c r="B3749" s="65"/>
      <c r="C3749" s="65"/>
      <c r="D3749" s="2"/>
      <c r="E3749" s="2"/>
      <c r="F3749" s="2"/>
    </row>
    <row r="3750" spans="1:6" x14ac:dyDescent="0.3">
      <c r="A3750" s="63"/>
      <c r="B3750" s="64"/>
      <c r="C3750" s="64"/>
      <c r="D3750" s="64"/>
      <c r="E3750" s="63"/>
      <c r="F3750" s="64"/>
    </row>
    <row r="3751" spans="1:6" x14ac:dyDescent="0.3">
      <c r="A3751" s="2"/>
      <c r="B3751" s="65"/>
      <c r="C3751" s="65"/>
      <c r="D3751" s="2"/>
      <c r="E3751" s="2"/>
      <c r="F3751" s="2"/>
    </row>
    <row r="3752" spans="1:6" x14ac:dyDescent="0.3">
      <c r="A3752" s="63"/>
      <c r="B3752" s="64"/>
      <c r="C3752" s="64"/>
      <c r="D3752" s="64"/>
      <c r="E3752" s="63"/>
      <c r="F3752" s="64"/>
    </row>
    <row r="3753" spans="1:6" x14ac:dyDescent="0.3">
      <c r="A3753" s="2"/>
      <c r="B3753" s="65"/>
      <c r="C3753" s="65"/>
      <c r="D3753" s="2"/>
      <c r="E3753" s="2"/>
      <c r="F3753" s="2"/>
    </row>
    <row r="3754" spans="1:6" x14ac:dyDescent="0.3">
      <c r="A3754" s="63"/>
      <c r="B3754" s="64"/>
      <c r="C3754" s="64"/>
      <c r="D3754" s="64"/>
      <c r="E3754" s="63"/>
      <c r="F3754" s="64"/>
    </row>
    <row r="3755" spans="1:6" x14ac:dyDescent="0.3">
      <c r="A3755" s="2"/>
      <c r="B3755" s="65"/>
      <c r="C3755" s="65"/>
      <c r="D3755" s="2"/>
      <c r="E3755" s="2"/>
      <c r="F3755" s="2"/>
    </row>
    <row r="3756" spans="1:6" x14ac:dyDescent="0.3">
      <c r="A3756" s="63"/>
      <c r="B3756" s="64"/>
      <c r="C3756" s="64"/>
      <c r="D3756" s="64"/>
      <c r="E3756" s="63"/>
      <c r="F3756" s="64"/>
    </row>
    <row r="3757" spans="1:6" x14ac:dyDescent="0.3">
      <c r="A3757" s="2"/>
      <c r="B3757" s="65"/>
      <c r="C3757" s="65"/>
      <c r="D3757" s="2"/>
      <c r="E3757" s="2"/>
      <c r="F3757" s="2"/>
    </row>
    <row r="3758" spans="1:6" x14ac:dyDescent="0.3">
      <c r="A3758" s="63"/>
      <c r="B3758" s="64"/>
      <c r="C3758" s="64"/>
      <c r="D3758" s="64"/>
      <c r="E3758" s="63"/>
      <c r="F3758" s="64"/>
    </row>
    <row r="3759" spans="1:6" x14ac:dyDescent="0.3">
      <c r="A3759" s="2"/>
      <c r="B3759" s="65"/>
      <c r="C3759" s="65"/>
      <c r="D3759" s="2"/>
      <c r="E3759" s="2"/>
      <c r="F3759" s="2"/>
    </row>
    <row r="3760" spans="1:6" x14ac:dyDescent="0.3">
      <c r="A3760" s="63"/>
      <c r="B3760" s="64"/>
      <c r="C3760" s="64"/>
      <c r="D3760" s="64"/>
      <c r="E3760" s="63"/>
      <c r="F3760" s="64"/>
    </row>
    <row r="3761" spans="1:6" x14ac:dyDescent="0.3">
      <c r="A3761" s="2"/>
      <c r="B3761" s="65"/>
      <c r="C3761" s="65"/>
      <c r="D3761" s="2"/>
      <c r="E3761" s="2"/>
      <c r="F3761" s="2"/>
    </row>
    <row r="3762" spans="1:6" x14ac:dyDescent="0.3">
      <c r="A3762" s="63"/>
      <c r="B3762" s="64"/>
      <c r="C3762" s="64"/>
      <c r="D3762" s="64"/>
      <c r="E3762" s="63"/>
      <c r="F3762" s="64"/>
    </row>
    <row r="3763" spans="1:6" x14ac:dyDescent="0.3">
      <c r="A3763" s="2"/>
      <c r="B3763" s="65"/>
      <c r="C3763" s="65"/>
      <c r="D3763" s="2"/>
      <c r="E3763" s="2"/>
      <c r="F3763" s="2"/>
    </row>
    <row r="3764" spans="1:6" x14ac:dyDescent="0.3">
      <c r="A3764" s="63"/>
      <c r="B3764" s="64"/>
      <c r="C3764" s="64"/>
      <c r="D3764" s="64"/>
      <c r="E3764" s="63"/>
      <c r="F3764" s="64"/>
    </row>
    <row r="3765" spans="1:6" x14ac:dyDescent="0.3">
      <c r="A3765" s="2"/>
      <c r="B3765" s="65"/>
      <c r="C3765" s="65"/>
      <c r="D3765" s="2"/>
      <c r="E3765" s="2"/>
      <c r="F3765" s="2"/>
    </row>
    <row r="3766" spans="1:6" x14ac:dyDescent="0.3">
      <c r="A3766" s="63"/>
      <c r="B3766" s="64"/>
      <c r="C3766" s="64"/>
      <c r="D3766" s="64"/>
      <c r="E3766" s="63"/>
      <c r="F3766" s="64"/>
    </row>
    <row r="3767" spans="1:6" x14ac:dyDescent="0.3">
      <c r="A3767" s="2"/>
      <c r="B3767" s="65"/>
      <c r="C3767" s="65"/>
      <c r="D3767" s="2"/>
      <c r="E3767" s="2"/>
      <c r="F3767" s="2"/>
    </row>
    <row r="3768" spans="1:6" x14ac:dyDescent="0.3">
      <c r="A3768" s="63"/>
      <c r="B3768" s="64"/>
      <c r="C3768" s="64"/>
      <c r="D3768" s="64"/>
      <c r="E3768" s="63"/>
      <c r="F3768" s="64"/>
    </row>
    <row r="3769" spans="1:6" x14ac:dyDescent="0.3">
      <c r="A3769" s="2"/>
      <c r="B3769" s="65"/>
      <c r="C3769" s="65"/>
      <c r="D3769" s="2"/>
      <c r="E3769" s="2"/>
      <c r="F3769" s="2"/>
    </row>
    <row r="3770" spans="1:6" x14ac:dyDescent="0.3">
      <c r="A3770" s="63"/>
      <c r="B3770" s="64"/>
      <c r="C3770" s="64"/>
      <c r="D3770" s="64"/>
      <c r="E3770" s="63"/>
      <c r="F3770" s="64"/>
    </row>
    <row r="3771" spans="1:6" x14ac:dyDescent="0.3">
      <c r="A3771" s="2"/>
      <c r="B3771" s="65"/>
      <c r="C3771" s="65"/>
      <c r="D3771" s="2"/>
      <c r="E3771" s="2"/>
      <c r="F3771" s="2"/>
    </row>
    <row r="3772" spans="1:6" x14ac:dyDescent="0.3">
      <c r="A3772" s="63"/>
      <c r="B3772" s="64"/>
      <c r="C3772" s="64"/>
      <c r="D3772" s="64"/>
      <c r="E3772" s="63"/>
      <c r="F3772" s="64"/>
    </row>
    <row r="3773" spans="1:6" x14ac:dyDescent="0.3">
      <c r="A3773" s="2"/>
      <c r="B3773" s="65"/>
      <c r="C3773" s="65"/>
      <c r="D3773" s="2"/>
      <c r="E3773" s="2"/>
      <c r="F3773" s="2"/>
    </row>
    <row r="3774" spans="1:6" x14ac:dyDescent="0.3">
      <c r="A3774" s="63"/>
      <c r="B3774" s="64"/>
      <c r="C3774" s="64"/>
      <c r="D3774" s="64"/>
      <c r="E3774" s="63"/>
      <c r="F3774" s="64"/>
    </row>
    <row r="3775" spans="1:6" x14ac:dyDescent="0.3">
      <c r="A3775" s="2"/>
      <c r="B3775" s="65"/>
      <c r="C3775" s="65"/>
      <c r="D3775" s="2"/>
      <c r="E3775" s="2"/>
      <c r="F3775" s="2"/>
    </row>
    <row r="3776" spans="1:6" x14ac:dyDescent="0.3">
      <c r="A3776" s="63"/>
      <c r="B3776" s="64"/>
      <c r="C3776" s="64"/>
      <c r="D3776" s="64"/>
      <c r="E3776" s="63"/>
      <c r="F3776" s="64"/>
    </row>
    <row r="3777" spans="1:6" x14ac:dyDescent="0.3">
      <c r="A3777" s="2"/>
      <c r="B3777" s="65"/>
      <c r="C3777" s="65"/>
      <c r="D3777" s="2"/>
      <c r="E3777" s="2"/>
      <c r="F3777" s="2"/>
    </row>
    <row r="3778" spans="1:6" x14ac:dyDescent="0.3">
      <c r="A3778" s="63"/>
      <c r="B3778" s="64"/>
      <c r="C3778" s="64"/>
      <c r="D3778" s="64"/>
      <c r="E3778" s="63"/>
      <c r="F3778" s="64"/>
    </row>
    <row r="3779" spans="1:6" x14ac:dyDescent="0.3">
      <c r="A3779" s="2"/>
      <c r="B3779" s="65"/>
      <c r="C3779" s="65"/>
      <c r="D3779" s="2"/>
      <c r="E3779" s="2"/>
      <c r="F3779" s="2"/>
    </row>
    <row r="3780" spans="1:6" x14ac:dyDescent="0.3">
      <c r="A3780" s="63"/>
      <c r="B3780" s="64"/>
      <c r="C3780" s="64"/>
      <c r="D3780" s="64"/>
      <c r="E3780" s="63"/>
      <c r="F3780" s="64"/>
    </row>
    <row r="3781" spans="1:6" x14ac:dyDescent="0.3">
      <c r="A3781" s="2"/>
      <c r="B3781" s="65"/>
      <c r="C3781" s="65"/>
      <c r="D3781" s="2"/>
      <c r="E3781" s="2"/>
      <c r="F3781" s="2"/>
    </row>
    <row r="3782" spans="1:6" x14ac:dyDescent="0.3">
      <c r="A3782" s="63"/>
      <c r="B3782" s="64"/>
      <c r="C3782" s="64"/>
      <c r="D3782" s="64"/>
      <c r="E3782" s="63"/>
      <c r="F3782" s="64"/>
    </row>
    <row r="3783" spans="1:6" x14ac:dyDescent="0.3">
      <c r="A3783" s="2"/>
      <c r="B3783" s="65"/>
      <c r="C3783" s="65"/>
      <c r="D3783" s="2"/>
      <c r="E3783" s="2"/>
      <c r="F3783" s="2"/>
    </row>
    <row r="3784" spans="1:6" x14ac:dyDescent="0.3">
      <c r="A3784" s="63"/>
      <c r="B3784" s="64"/>
      <c r="C3784" s="64"/>
      <c r="D3784" s="64"/>
      <c r="E3784" s="63"/>
      <c r="F3784" s="64"/>
    </row>
    <row r="3785" spans="1:6" x14ac:dyDescent="0.3">
      <c r="A3785" s="2"/>
      <c r="B3785" s="65"/>
      <c r="C3785" s="65"/>
      <c r="D3785" s="2"/>
      <c r="E3785" s="2"/>
      <c r="F3785" s="2"/>
    </row>
    <row r="3786" spans="1:6" x14ac:dyDescent="0.3">
      <c r="A3786" s="63"/>
      <c r="B3786" s="64"/>
      <c r="C3786" s="64"/>
      <c r="D3786" s="64"/>
      <c r="E3786" s="63"/>
      <c r="F3786" s="64"/>
    </row>
    <row r="3787" spans="1:6" x14ac:dyDescent="0.3">
      <c r="A3787" s="2"/>
      <c r="B3787" s="65"/>
      <c r="C3787" s="65"/>
      <c r="D3787" s="2"/>
      <c r="E3787" s="2"/>
      <c r="F3787" s="2"/>
    </row>
    <row r="3788" spans="1:6" x14ac:dyDescent="0.3">
      <c r="A3788" s="63"/>
      <c r="B3788" s="64"/>
      <c r="C3788" s="64"/>
      <c r="D3788" s="64"/>
      <c r="E3788" s="63"/>
      <c r="F3788" s="64"/>
    </row>
    <row r="3789" spans="1:6" x14ac:dyDescent="0.3">
      <c r="A3789" s="2"/>
      <c r="B3789" s="65"/>
      <c r="C3789" s="65"/>
      <c r="D3789" s="2"/>
      <c r="E3789" s="2"/>
      <c r="F3789" s="2"/>
    </row>
    <row r="3790" spans="1:6" x14ac:dyDescent="0.3">
      <c r="A3790" s="63"/>
      <c r="B3790" s="64"/>
      <c r="C3790" s="64"/>
      <c r="D3790" s="64"/>
      <c r="E3790" s="63"/>
      <c r="F3790" s="64"/>
    </row>
    <row r="3791" spans="1:6" x14ac:dyDescent="0.3">
      <c r="A3791" s="2"/>
      <c r="B3791" s="65"/>
      <c r="C3791" s="65"/>
      <c r="D3791" s="2"/>
      <c r="E3791" s="2"/>
      <c r="F3791" s="2"/>
    </row>
    <row r="3792" spans="1:6" x14ac:dyDescent="0.3">
      <c r="A3792" s="63"/>
      <c r="B3792" s="64"/>
      <c r="C3792" s="64"/>
      <c r="D3792" s="64"/>
      <c r="E3792" s="63"/>
      <c r="F3792" s="64"/>
    </row>
    <row r="3793" spans="1:6" x14ac:dyDescent="0.3">
      <c r="A3793" s="2"/>
      <c r="B3793" s="65"/>
      <c r="C3793" s="65"/>
      <c r="D3793" s="2"/>
      <c r="E3793" s="2"/>
      <c r="F3793" s="2"/>
    </row>
    <row r="3794" spans="1:6" x14ac:dyDescent="0.3">
      <c r="A3794" s="63"/>
      <c r="B3794" s="64"/>
      <c r="C3794" s="64"/>
      <c r="D3794" s="64"/>
      <c r="E3794" s="63"/>
      <c r="F3794" s="64"/>
    </row>
    <row r="3795" spans="1:6" x14ac:dyDescent="0.3">
      <c r="A3795" s="2"/>
      <c r="B3795" s="65"/>
      <c r="C3795" s="65"/>
      <c r="D3795" s="2"/>
      <c r="E3795" s="2"/>
      <c r="F3795" s="2"/>
    </row>
    <row r="3796" spans="1:6" x14ac:dyDescent="0.3">
      <c r="A3796" s="63"/>
      <c r="B3796" s="64"/>
      <c r="C3796" s="64"/>
      <c r="D3796" s="64"/>
      <c r="E3796" s="63"/>
      <c r="F3796" s="64"/>
    </row>
    <row r="3797" spans="1:6" x14ac:dyDescent="0.3">
      <c r="A3797" s="2"/>
      <c r="B3797" s="65"/>
      <c r="C3797" s="65"/>
      <c r="D3797" s="2"/>
      <c r="E3797" s="2"/>
      <c r="F3797" s="2"/>
    </row>
    <row r="3798" spans="1:6" x14ac:dyDescent="0.3">
      <c r="A3798" s="63"/>
      <c r="B3798" s="64"/>
      <c r="C3798" s="64"/>
      <c r="D3798" s="64"/>
      <c r="E3798" s="63"/>
      <c r="F3798" s="64"/>
    </row>
    <row r="3799" spans="1:6" x14ac:dyDescent="0.3">
      <c r="A3799" s="2"/>
      <c r="B3799" s="65"/>
      <c r="C3799" s="65"/>
      <c r="D3799" s="2"/>
      <c r="E3799" s="2"/>
      <c r="F3799" s="2"/>
    </row>
    <row r="3800" spans="1:6" x14ac:dyDescent="0.3">
      <c r="A3800" s="63"/>
      <c r="B3800" s="64"/>
      <c r="C3800" s="64"/>
      <c r="D3800" s="64"/>
      <c r="E3800" s="63"/>
      <c r="F3800" s="64"/>
    </row>
    <row r="3801" spans="1:6" x14ac:dyDescent="0.3">
      <c r="A3801" s="2"/>
      <c r="B3801" s="65"/>
      <c r="C3801" s="65"/>
      <c r="D3801" s="2"/>
      <c r="E3801" s="2"/>
      <c r="F3801" s="2"/>
    </row>
    <row r="3802" spans="1:6" x14ac:dyDescent="0.3">
      <c r="A3802" s="63"/>
      <c r="B3802" s="64"/>
      <c r="C3802" s="64"/>
      <c r="D3802" s="64"/>
      <c r="E3802" s="63"/>
      <c r="F3802" s="64"/>
    </row>
    <row r="3803" spans="1:6" x14ac:dyDescent="0.3">
      <c r="A3803" s="2"/>
      <c r="B3803" s="65"/>
      <c r="C3803" s="65"/>
      <c r="D3803" s="2"/>
      <c r="E3803" s="2"/>
      <c r="F3803" s="2"/>
    </row>
    <row r="3804" spans="1:6" x14ac:dyDescent="0.3">
      <c r="A3804" s="63"/>
      <c r="B3804" s="64"/>
      <c r="C3804" s="64"/>
      <c r="D3804" s="64"/>
      <c r="E3804" s="63"/>
      <c r="F3804" s="64"/>
    </row>
    <row r="3805" spans="1:6" x14ac:dyDescent="0.3">
      <c r="A3805" s="2"/>
      <c r="B3805" s="65"/>
      <c r="C3805" s="65"/>
      <c r="D3805" s="2"/>
      <c r="E3805" s="2"/>
      <c r="F3805" s="2"/>
    </row>
    <row r="3806" spans="1:6" x14ac:dyDescent="0.3">
      <c r="A3806" s="63"/>
      <c r="B3806" s="64"/>
      <c r="C3806" s="64"/>
      <c r="D3806" s="64"/>
      <c r="E3806" s="63"/>
      <c r="F3806" s="64"/>
    </row>
    <row r="3807" spans="1:6" x14ac:dyDescent="0.3">
      <c r="A3807" s="2"/>
      <c r="B3807" s="65"/>
      <c r="C3807" s="65"/>
      <c r="D3807" s="2"/>
      <c r="E3807" s="2"/>
      <c r="F3807" s="2"/>
    </row>
    <row r="3808" spans="1:6" x14ac:dyDescent="0.3">
      <c r="A3808" s="63"/>
      <c r="B3808" s="64"/>
      <c r="C3808" s="64"/>
      <c r="D3808" s="64"/>
      <c r="E3808" s="63"/>
      <c r="F3808" s="64"/>
    </row>
    <row r="3809" spans="1:6" x14ac:dyDescent="0.3">
      <c r="A3809" s="2"/>
      <c r="B3809" s="65"/>
      <c r="C3809" s="65"/>
      <c r="D3809" s="2"/>
      <c r="E3809" s="2"/>
      <c r="F3809" s="2"/>
    </row>
    <row r="3810" spans="1:6" x14ac:dyDescent="0.3">
      <c r="A3810" s="63"/>
      <c r="B3810" s="64"/>
      <c r="C3810" s="64"/>
      <c r="D3810" s="64"/>
      <c r="E3810" s="63"/>
      <c r="F3810" s="64"/>
    </row>
    <row r="3811" spans="1:6" x14ac:dyDescent="0.3">
      <c r="A3811" s="2"/>
      <c r="B3811" s="65"/>
      <c r="C3811" s="65"/>
      <c r="D3811" s="2"/>
      <c r="E3811" s="2"/>
      <c r="F3811" s="2"/>
    </row>
    <row r="3812" spans="1:6" x14ac:dyDescent="0.3">
      <c r="A3812" s="63"/>
      <c r="B3812" s="64"/>
      <c r="C3812" s="64"/>
      <c r="D3812" s="64"/>
      <c r="E3812" s="63"/>
      <c r="F3812" s="64"/>
    </row>
    <row r="3813" spans="1:6" x14ac:dyDescent="0.3">
      <c r="A3813" s="2"/>
      <c r="B3813" s="65"/>
      <c r="C3813" s="65"/>
      <c r="D3813" s="2"/>
      <c r="E3813" s="2"/>
      <c r="F3813" s="2"/>
    </row>
    <row r="3814" spans="1:6" x14ac:dyDescent="0.3">
      <c r="A3814" s="63"/>
      <c r="B3814" s="64"/>
      <c r="C3814" s="64"/>
      <c r="D3814" s="64"/>
      <c r="E3814" s="63"/>
      <c r="F3814" s="64"/>
    </row>
    <row r="3815" spans="1:6" x14ac:dyDescent="0.3">
      <c r="A3815" s="2"/>
      <c r="B3815" s="65"/>
      <c r="C3815" s="65"/>
      <c r="D3815" s="2"/>
      <c r="E3815" s="2"/>
      <c r="F3815" s="2"/>
    </row>
    <row r="3816" spans="1:6" x14ac:dyDescent="0.3">
      <c r="A3816" s="63"/>
      <c r="B3816" s="64"/>
      <c r="C3816" s="64"/>
      <c r="D3816" s="64"/>
      <c r="E3816" s="63"/>
      <c r="F3816" s="64"/>
    </row>
    <row r="3817" spans="1:6" x14ac:dyDescent="0.3">
      <c r="A3817" s="2"/>
      <c r="B3817" s="65"/>
      <c r="C3817" s="65"/>
      <c r="D3817" s="2"/>
      <c r="E3817" s="2"/>
      <c r="F3817" s="2"/>
    </row>
    <row r="3818" spans="1:6" x14ac:dyDescent="0.3">
      <c r="A3818" s="63"/>
      <c r="B3818" s="64"/>
      <c r="C3818" s="64"/>
      <c r="D3818" s="64"/>
      <c r="E3818" s="63"/>
      <c r="F3818" s="64"/>
    </row>
    <row r="3819" spans="1:6" x14ac:dyDescent="0.3">
      <c r="A3819" s="2"/>
      <c r="B3819" s="65"/>
      <c r="C3819" s="65"/>
      <c r="D3819" s="2"/>
      <c r="E3819" s="2"/>
      <c r="F3819" s="2"/>
    </row>
    <row r="3820" spans="1:6" x14ac:dyDescent="0.3">
      <c r="A3820" s="63"/>
      <c r="B3820" s="64"/>
      <c r="C3820" s="64"/>
      <c r="D3820" s="64"/>
      <c r="E3820" s="63"/>
      <c r="F3820" s="64"/>
    </row>
    <row r="3821" spans="1:6" x14ac:dyDescent="0.3">
      <c r="A3821" s="2"/>
      <c r="B3821" s="65"/>
      <c r="C3821" s="65"/>
      <c r="D3821" s="2"/>
      <c r="E3821" s="2"/>
      <c r="F3821" s="2"/>
    </row>
    <row r="3822" spans="1:6" x14ac:dyDescent="0.3">
      <c r="A3822" s="63"/>
      <c r="B3822" s="64"/>
      <c r="C3822" s="64"/>
      <c r="D3822" s="64"/>
      <c r="E3822" s="63"/>
      <c r="F3822" s="64"/>
    </row>
    <row r="3823" spans="1:6" x14ac:dyDescent="0.3">
      <c r="A3823" s="2"/>
      <c r="B3823" s="65"/>
      <c r="C3823" s="65"/>
      <c r="D3823" s="2"/>
      <c r="E3823" s="2"/>
      <c r="F3823" s="2"/>
    </row>
    <row r="3824" spans="1:6" x14ac:dyDescent="0.3">
      <c r="A3824" s="63"/>
      <c r="B3824" s="64"/>
      <c r="C3824" s="64"/>
      <c r="D3824" s="64"/>
      <c r="E3824" s="63"/>
      <c r="F3824" s="64"/>
    </row>
    <row r="3825" spans="1:6" x14ac:dyDescent="0.3">
      <c r="A3825" s="2"/>
      <c r="B3825" s="65"/>
      <c r="C3825" s="65"/>
      <c r="D3825" s="2"/>
      <c r="E3825" s="2"/>
      <c r="F3825" s="2"/>
    </row>
    <row r="3826" spans="1:6" x14ac:dyDescent="0.3">
      <c r="A3826" s="63"/>
      <c r="B3826" s="64"/>
      <c r="C3826" s="64"/>
      <c r="D3826" s="64"/>
      <c r="E3826" s="63"/>
      <c r="F3826" s="64"/>
    </row>
    <row r="3827" spans="1:6" x14ac:dyDescent="0.3">
      <c r="A3827" s="2"/>
      <c r="B3827" s="65"/>
      <c r="C3827" s="65"/>
      <c r="D3827" s="2"/>
      <c r="E3827" s="2"/>
      <c r="F3827" s="2"/>
    </row>
    <row r="3828" spans="1:6" x14ac:dyDescent="0.3">
      <c r="A3828" s="63"/>
      <c r="B3828" s="64"/>
      <c r="C3828" s="64"/>
      <c r="D3828" s="64"/>
      <c r="E3828" s="63"/>
      <c r="F3828" s="64"/>
    </row>
    <row r="3829" spans="1:6" x14ac:dyDescent="0.3">
      <c r="A3829" s="2"/>
      <c r="B3829" s="65"/>
      <c r="C3829" s="65"/>
      <c r="D3829" s="2"/>
      <c r="E3829" s="2"/>
      <c r="F3829" s="2"/>
    </row>
    <row r="3830" spans="1:6" x14ac:dyDescent="0.3">
      <c r="A3830" s="63"/>
      <c r="B3830" s="64"/>
      <c r="C3830" s="64"/>
      <c r="D3830" s="64"/>
      <c r="E3830" s="63"/>
      <c r="F3830" s="64"/>
    </row>
    <row r="3831" spans="1:6" x14ac:dyDescent="0.3">
      <c r="A3831" s="2"/>
      <c r="B3831" s="65"/>
      <c r="C3831" s="65"/>
      <c r="D3831" s="2"/>
      <c r="E3831" s="2"/>
      <c r="F3831" s="2"/>
    </row>
    <row r="3832" spans="1:6" x14ac:dyDescent="0.3">
      <c r="A3832" s="63"/>
      <c r="B3832" s="64"/>
      <c r="C3832" s="64"/>
      <c r="D3832" s="64"/>
      <c r="E3832" s="63"/>
      <c r="F3832" s="64"/>
    </row>
    <row r="3833" spans="1:6" x14ac:dyDescent="0.3">
      <c r="A3833" s="2"/>
      <c r="B3833" s="65"/>
      <c r="C3833" s="65"/>
      <c r="D3833" s="2"/>
      <c r="E3833" s="2"/>
      <c r="F3833" s="2"/>
    </row>
    <row r="3834" spans="1:6" x14ac:dyDescent="0.3">
      <c r="A3834" s="63"/>
      <c r="B3834" s="64"/>
      <c r="C3834" s="64"/>
      <c r="D3834" s="64"/>
      <c r="E3834" s="63"/>
      <c r="F3834" s="64"/>
    </row>
    <row r="3835" spans="1:6" x14ac:dyDescent="0.3">
      <c r="A3835" s="2"/>
      <c r="B3835" s="65"/>
      <c r="C3835" s="65"/>
      <c r="D3835" s="2"/>
      <c r="E3835" s="2"/>
      <c r="F3835" s="2"/>
    </row>
    <row r="3836" spans="1:6" x14ac:dyDescent="0.3">
      <c r="A3836" s="63"/>
      <c r="B3836" s="64"/>
      <c r="C3836" s="64"/>
      <c r="D3836" s="64"/>
      <c r="E3836" s="63"/>
      <c r="F3836" s="64"/>
    </row>
    <row r="3837" spans="1:6" x14ac:dyDescent="0.3">
      <c r="A3837" s="2"/>
      <c r="B3837" s="65"/>
      <c r="C3837" s="65"/>
      <c r="D3837" s="2"/>
      <c r="E3837" s="2"/>
      <c r="F3837" s="2"/>
    </row>
    <row r="3838" spans="1:6" x14ac:dyDescent="0.3">
      <c r="A3838" s="63"/>
      <c r="B3838" s="64"/>
      <c r="C3838" s="64"/>
      <c r="D3838" s="64"/>
      <c r="E3838" s="63"/>
      <c r="F3838" s="64"/>
    </row>
    <row r="3839" spans="1:6" x14ac:dyDescent="0.3">
      <c r="A3839" s="2"/>
      <c r="B3839" s="65"/>
      <c r="C3839" s="65"/>
      <c r="D3839" s="2"/>
      <c r="E3839" s="2"/>
      <c r="F3839" s="2"/>
    </row>
    <row r="3840" spans="1:6" x14ac:dyDescent="0.3">
      <c r="A3840" s="63"/>
      <c r="B3840" s="64"/>
      <c r="C3840" s="64"/>
      <c r="D3840" s="64"/>
      <c r="E3840" s="63"/>
      <c r="F3840" s="64"/>
    </row>
    <row r="3841" spans="1:6" x14ac:dyDescent="0.3">
      <c r="A3841" s="2"/>
      <c r="B3841" s="65"/>
      <c r="C3841" s="65"/>
      <c r="D3841" s="2"/>
      <c r="E3841" s="2"/>
      <c r="F3841" s="2"/>
    </row>
    <row r="3842" spans="1:6" x14ac:dyDescent="0.3">
      <c r="A3842" s="63"/>
      <c r="B3842" s="64"/>
      <c r="C3842" s="64"/>
      <c r="D3842" s="64"/>
      <c r="E3842" s="63"/>
      <c r="F3842" s="64"/>
    </row>
    <row r="3843" spans="1:6" x14ac:dyDescent="0.3">
      <c r="A3843" s="2"/>
      <c r="B3843" s="65"/>
      <c r="C3843" s="65"/>
      <c r="D3843" s="2"/>
      <c r="E3843" s="2"/>
      <c r="F3843" s="2"/>
    </row>
    <row r="3844" spans="1:6" x14ac:dyDescent="0.3">
      <c r="A3844" s="63"/>
      <c r="B3844" s="64"/>
      <c r="C3844" s="64"/>
      <c r="D3844" s="64"/>
      <c r="E3844" s="63"/>
      <c r="F3844" s="64"/>
    </row>
    <row r="3845" spans="1:6" x14ac:dyDescent="0.3">
      <c r="A3845" s="2"/>
      <c r="B3845" s="65"/>
      <c r="C3845" s="65"/>
      <c r="D3845" s="2"/>
      <c r="E3845" s="2"/>
      <c r="F3845" s="2"/>
    </row>
    <row r="3846" spans="1:6" x14ac:dyDescent="0.3">
      <c r="A3846" s="63"/>
      <c r="B3846" s="64"/>
      <c r="C3846" s="64"/>
      <c r="D3846" s="64"/>
      <c r="E3846" s="63"/>
      <c r="F3846" s="64"/>
    </row>
    <row r="3847" spans="1:6" x14ac:dyDescent="0.3">
      <c r="A3847" s="2"/>
      <c r="B3847" s="65"/>
      <c r="C3847" s="65"/>
      <c r="D3847" s="2"/>
      <c r="E3847" s="2"/>
      <c r="F3847" s="2"/>
    </row>
    <row r="3848" spans="1:6" x14ac:dyDescent="0.3">
      <c r="A3848" s="63"/>
      <c r="B3848" s="64"/>
      <c r="C3848" s="64"/>
      <c r="D3848" s="64"/>
      <c r="E3848" s="63"/>
      <c r="F3848" s="64"/>
    </row>
    <row r="3849" spans="1:6" x14ac:dyDescent="0.3">
      <c r="A3849" s="2"/>
      <c r="B3849" s="65"/>
      <c r="C3849" s="65"/>
      <c r="D3849" s="2"/>
      <c r="E3849" s="2"/>
      <c r="F3849" s="2"/>
    </row>
    <row r="3850" spans="1:6" x14ac:dyDescent="0.3">
      <c r="A3850" s="63"/>
      <c r="B3850" s="64"/>
      <c r="C3850" s="64"/>
      <c r="D3850" s="64"/>
      <c r="E3850" s="63"/>
      <c r="F3850" s="64"/>
    </row>
    <row r="3851" spans="1:6" x14ac:dyDescent="0.3">
      <c r="A3851" s="2"/>
      <c r="B3851" s="65"/>
      <c r="C3851" s="65"/>
      <c r="D3851" s="2"/>
      <c r="E3851" s="2"/>
      <c r="F3851" s="2"/>
    </row>
    <row r="3852" spans="1:6" x14ac:dyDescent="0.3">
      <c r="A3852" s="63"/>
      <c r="B3852" s="64"/>
      <c r="C3852" s="64"/>
      <c r="D3852" s="64"/>
      <c r="E3852" s="63"/>
      <c r="F3852" s="64"/>
    </row>
    <row r="3853" spans="1:6" x14ac:dyDescent="0.3">
      <c r="A3853" s="2"/>
      <c r="B3853" s="65"/>
      <c r="C3853" s="65"/>
      <c r="D3853" s="2"/>
      <c r="E3853" s="2"/>
      <c r="F3853" s="2"/>
    </row>
    <row r="3854" spans="1:6" x14ac:dyDescent="0.3">
      <c r="A3854" s="63"/>
      <c r="B3854" s="64"/>
      <c r="C3854" s="64"/>
      <c r="D3854" s="64"/>
      <c r="E3854" s="63"/>
      <c r="F3854" s="64"/>
    </row>
    <row r="3855" spans="1:6" x14ac:dyDescent="0.3">
      <c r="A3855" s="2"/>
      <c r="B3855" s="65"/>
      <c r="C3855" s="65"/>
      <c r="D3855" s="2"/>
      <c r="E3855" s="2"/>
      <c r="F3855" s="2"/>
    </row>
    <row r="3856" spans="1:6" x14ac:dyDescent="0.3">
      <c r="A3856" s="63"/>
      <c r="B3856" s="64"/>
      <c r="C3856" s="64"/>
      <c r="D3856" s="64"/>
      <c r="E3856" s="63"/>
      <c r="F3856" s="64"/>
    </row>
    <row r="3857" spans="1:6" x14ac:dyDescent="0.3">
      <c r="A3857" s="2"/>
      <c r="B3857" s="65"/>
      <c r="C3857" s="65"/>
      <c r="D3857" s="2"/>
      <c r="E3857" s="2"/>
      <c r="F3857" s="2"/>
    </row>
    <row r="3858" spans="1:6" x14ac:dyDescent="0.3">
      <c r="A3858" s="63"/>
      <c r="B3858" s="64"/>
      <c r="C3858" s="64"/>
      <c r="D3858" s="64"/>
      <c r="E3858" s="63"/>
      <c r="F3858" s="64"/>
    </row>
    <row r="3859" spans="1:6" x14ac:dyDescent="0.3">
      <c r="A3859" s="2"/>
      <c r="B3859" s="65"/>
      <c r="C3859" s="65"/>
      <c r="D3859" s="2"/>
      <c r="E3859" s="2"/>
      <c r="F3859" s="2"/>
    </row>
    <row r="3860" spans="1:6" x14ac:dyDescent="0.3">
      <c r="A3860" s="63"/>
      <c r="B3860" s="64"/>
      <c r="C3860" s="64"/>
      <c r="D3860" s="64"/>
      <c r="E3860" s="63"/>
      <c r="F3860" s="64"/>
    </row>
    <row r="3861" spans="1:6" x14ac:dyDescent="0.3">
      <c r="A3861" s="2"/>
      <c r="B3861" s="65"/>
      <c r="C3861" s="65"/>
      <c r="D3861" s="2"/>
      <c r="E3861" s="2"/>
      <c r="F3861" s="2"/>
    </row>
    <row r="3862" spans="1:6" x14ac:dyDescent="0.3">
      <c r="A3862" s="63"/>
      <c r="B3862" s="64"/>
      <c r="C3862" s="64"/>
      <c r="D3862" s="64"/>
      <c r="E3862" s="63"/>
      <c r="F3862" s="64"/>
    </row>
    <row r="3863" spans="1:6" x14ac:dyDescent="0.3">
      <c r="A3863" s="2"/>
      <c r="B3863" s="65"/>
      <c r="C3863" s="65"/>
      <c r="D3863" s="2"/>
      <c r="E3863" s="2"/>
      <c r="F3863" s="2"/>
    </row>
    <row r="3864" spans="1:6" x14ac:dyDescent="0.3">
      <c r="A3864" s="63"/>
      <c r="B3864" s="64"/>
      <c r="C3864" s="64"/>
      <c r="D3864" s="64"/>
      <c r="E3864" s="63"/>
      <c r="F3864" s="64"/>
    </row>
    <row r="3865" spans="1:6" x14ac:dyDescent="0.3">
      <c r="A3865" s="2"/>
      <c r="B3865" s="65"/>
      <c r="C3865" s="65"/>
      <c r="D3865" s="2"/>
      <c r="E3865" s="2"/>
      <c r="F3865" s="2"/>
    </row>
    <row r="3866" spans="1:6" x14ac:dyDescent="0.3">
      <c r="A3866" s="63"/>
      <c r="B3866" s="64"/>
      <c r="C3866" s="64"/>
      <c r="D3866" s="64"/>
      <c r="E3866" s="63"/>
      <c r="F3866" s="64"/>
    </row>
    <row r="3867" spans="1:6" x14ac:dyDescent="0.3">
      <c r="A3867" s="2"/>
      <c r="B3867" s="65"/>
      <c r="C3867" s="65"/>
      <c r="D3867" s="2"/>
      <c r="E3867" s="2"/>
      <c r="F3867" s="2"/>
    </row>
    <row r="3868" spans="1:6" x14ac:dyDescent="0.3">
      <c r="A3868" s="63"/>
      <c r="B3868" s="64"/>
      <c r="C3868" s="64"/>
      <c r="D3868" s="64"/>
      <c r="E3868" s="63"/>
      <c r="F3868" s="64"/>
    </row>
    <row r="3869" spans="1:6" x14ac:dyDescent="0.3">
      <c r="A3869" s="2"/>
      <c r="B3869" s="65"/>
      <c r="C3869" s="65"/>
      <c r="D3869" s="2"/>
      <c r="E3869" s="2"/>
      <c r="F3869" s="2"/>
    </row>
    <row r="3870" spans="1:6" x14ac:dyDescent="0.3">
      <c r="A3870" s="63"/>
      <c r="B3870" s="64"/>
      <c r="C3870" s="64"/>
      <c r="D3870" s="64"/>
      <c r="E3870" s="63"/>
      <c r="F3870" s="64"/>
    </row>
    <row r="3871" spans="1:6" x14ac:dyDescent="0.3">
      <c r="A3871" s="2"/>
      <c r="B3871" s="65"/>
      <c r="C3871" s="65"/>
      <c r="D3871" s="2"/>
      <c r="E3871" s="2"/>
      <c r="F3871" s="2"/>
    </row>
    <row r="3872" spans="1:6" x14ac:dyDescent="0.3">
      <c r="A3872" s="63"/>
      <c r="B3872" s="64"/>
      <c r="C3872" s="64"/>
      <c r="D3872" s="64"/>
      <c r="E3872" s="63"/>
      <c r="F3872" s="64"/>
    </row>
    <row r="3873" spans="1:6" x14ac:dyDescent="0.3">
      <c r="A3873" s="2"/>
      <c r="B3873" s="65"/>
      <c r="C3873" s="65"/>
      <c r="D3873" s="2"/>
      <c r="E3873" s="2"/>
      <c r="F3873" s="2"/>
    </row>
    <row r="3874" spans="1:6" x14ac:dyDescent="0.3">
      <c r="A3874" s="63"/>
      <c r="B3874" s="64"/>
      <c r="C3874" s="64"/>
      <c r="D3874" s="64"/>
      <c r="E3874" s="63"/>
      <c r="F3874" s="64"/>
    </row>
    <row r="3875" spans="1:6" x14ac:dyDescent="0.3">
      <c r="A3875" s="2"/>
      <c r="B3875" s="65"/>
      <c r="C3875" s="65"/>
      <c r="D3875" s="2"/>
      <c r="E3875" s="2"/>
      <c r="F3875" s="2"/>
    </row>
    <row r="3876" spans="1:6" x14ac:dyDescent="0.3">
      <c r="A3876" s="63"/>
      <c r="B3876" s="64"/>
      <c r="C3876" s="64"/>
      <c r="D3876" s="64"/>
      <c r="E3876" s="63"/>
      <c r="F3876" s="64"/>
    </row>
    <row r="3877" spans="1:6" x14ac:dyDescent="0.3">
      <c r="A3877" s="2"/>
      <c r="B3877" s="65"/>
      <c r="C3877" s="65"/>
      <c r="D3877" s="2"/>
      <c r="E3877" s="2"/>
      <c r="F3877" s="2"/>
    </row>
    <row r="3878" spans="1:6" x14ac:dyDescent="0.3">
      <c r="A3878" s="63"/>
      <c r="B3878" s="64"/>
      <c r="C3878" s="64"/>
      <c r="D3878" s="64"/>
      <c r="E3878" s="63"/>
      <c r="F3878" s="64"/>
    </row>
    <row r="3879" spans="1:6" x14ac:dyDescent="0.3">
      <c r="A3879" s="2"/>
      <c r="B3879" s="65"/>
      <c r="C3879" s="65"/>
      <c r="D3879" s="2"/>
      <c r="E3879" s="2"/>
      <c r="F3879" s="2"/>
    </row>
    <row r="3880" spans="1:6" x14ac:dyDescent="0.3">
      <c r="A3880" s="63"/>
      <c r="B3880" s="64"/>
      <c r="C3880" s="64"/>
      <c r="D3880" s="64"/>
      <c r="E3880" s="63"/>
      <c r="F3880" s="64"/>
    </row>
    <row r="3881" spans="1:6" x14ac:dyDescent="0.3">
      <c r="A3881" s="2"/>
      <c r="B3881" s="65"/>
      <c r="C3881" s="65"/>
      <c r="D3881" s="2"/>
      <c r="E3881" s="2"/>
      <c r="F3881" s="2"/>
    </row>
    <row r="3882" spans="1:6" x14ac:dyDescent="0.3">
      <c r="A3882" s="63"/>
      <c r="B3882" s="64"/>
      <c r="C3882" s="64"/>
      <c r="D3882" s="64"/>
      <c r="E3882" s="63"/>
      <c r="F3882" s="64"/>
    </row>
    <row r="3883" spans="1:6" x14ac:dyDescent="0.3">
      <c r="A3883" s="2"/>
      <c r="B3883" s="65"/>
      <c r="C3883" s="65"/>
      <c r="D3883" s="2"/>
      <c r="E3883" s="2"/>
      <c r="F3883" s="2"/>
    </row>
    <row r="3884" spans="1:6" x14ac:dyDescent="0.3">
      <c r="A3884" s="63"/>
      <c r="B3884" s="64"/>
      <c r="C3884" s="64"/>
      <c r="D3884" s="64"/>
      <c r="E3884" s="63"/>
      <c r="F3884" s="64"/>
    </row>
    <row r="3885" spans="1:6" x14ac:dyDescent="0.3">
      <c r="A3885" s="2"/>
      <c r="B3885" s="65"/>
      <c r="C3885" s="65"/>
      <c r="D3885" s="2"/>
      <c r="E3885" s="2"/>
      <c r="F3885" s="2"/>
    </row>
    <row r="3886" spans="1:6" x14ac:dyDescent="0.3">
      <c r="A3886" s="63"/>
      <c r="B3886" s="64"/>
      <c r="C3886" s="64"/>
      <c r="D3886" s="64"/>
      <c r="E3886" s="63"/>
      <c r="F3886" s="64"/>
    </row>
    <row r="3887" spans="1:6" x14ac:dyDescent="0.3">
      <c r="A3887" s="2"/>
      <c r="B3887" s="65"/>
      <c r="C3887" s="65"/>
      <c r="D3887" s="2"/>
      <c r="E3887" s="2"/>
      <c r="F3887" s="2"/>
    </row>
    <row r="3888" spans="1:6" x14ac:dyDescent="0.3">
      <c r="A3888" s="63"/>
      <c r="B3888" s="64"/>
      <c r="C3888" s="64"/>
      <c r="D3888" s="64"/>
      <c r="E3888" s="63"/>
      <c r="F3888" s="64"/>
    </row>
    <row r="3889" spans="1:6" x14ac:dyDescent="0.3">
      <c r="A3889" s="2"/>
      <c r="B3889" s="65"/>
      <c r="C3889" s="65"/>
      <c r="D3889" s="2"/>
      <c r="E3889" s="2"/>
      <c r="F3889" s="2"/>
    </row>
    <row r="3890" spans="1:6" x14ac:dyDescent="0.3">
      <c r="A3890" s="63"/>
      <c r="B3890" s="64"/>
      <c r="C3890" s="64"/>
      <c r="D3890" s="64"/>
      <c r="E3890" s="63"/>
      <c r="F3890" s="64"/>
    </row>
    <row r="3891" spans="1:6" x14ac:dyDescent="0.3">
      <c r="A3891" s="2"/>
      <c r="B3891" s="65"/>
      <c r="C3891" s="65"/>
      <c r="D3891" s="2"/>
      <c r="E3891" s="2"/>
      <c r="F3891" s="2"/>
    </row>
    <row r="3892" spans="1:6" x14ac:dyDescent="0.3">
      <c r="A3892" s="63"/>
      <c r="B3892" s="64"/>
      <c r="C3892" s="64"/>
      <c r="D3892" s="64"/>
      <c r="E3892" s="63"/>
      <c r="F3892" s="64"/>
    </row>
    <row r="3893" spans="1:6" x14ac:dyDescent="0.3">
      <c r="A3893" s="2"/>
      <c r="B3893" s="65"/>
      <c r="C3893" s="65"/>
      <c r="D3893" s="2"/>
      <c r="E3893" s="2"/>
      <c r="F3893" s="2"/>
    </row>
    <row r="3894" spans="1:6" x14ac:dyDescent="0.3">
      <c r="A3894" s="63"/>
      <c r="B3894" s="64"/>
      <c r="C3894" s="64"/>
      <c r="D3894" s="64"/>
      <c r="E3894" s="63"/>
      <c r="F3894" s="64"/>
    </row>
    <row r="3895" spans="1:6" x14ac:dyDescent="0.3">
      <c r="A3895" s="2"/>
      <c r="B3895" s="65"/>
      <c r="C3895" s="65"/>
      <c r="D3895" s="2"/>
      <c r="E3895" s="2"/>
      <c r="F3895" s="2"/>
    </row>
    <row r="3896" spans="1:6" x14ac:dyDescent="0.3">
      <c r="A3896" s="63"/>
      <c r="B3896" s="64"/>
      <c r="C3896" s="64"/>
      <c r="D3896" s="64"/>
      <c r="E3896" s="63"/>
      <c r="F3896" s="64"/>
    </row>
    <row r="3897" spans="1:6" x14ac:dyDescent="0.3">
      <c r="A3897" s="2"/>
      <c r="B3897" s="65"/>
      <c r="C3897" s="65"/>
      <c r="D3897" s="2"/>
      <c r="E3897" s="2"/>
      <c r="F3897" s="2"/>
    </row>
    <row r="3898" spans="1:6" x14ac:dyDescent="0.3">
      <c r="A3898" s="63"/>
      <c r="B3898" s="64"/>
      <c r="C3898" s="64"/>
      <c r="D3898" s="64"/>
      <c r="E3898" s="63"/>
      <c r="F3898" s="64"/>
    </row>
    <row r="3899" spans="1:6" x14ac:dyDescent="0.3">
      <c r="A3899" s="2"/>
      <c r="B3899" s="65"/>
      <c r="C3899" s="65"/>
      <c r="D3899" s="2"/>
      <c r="E3899" s="2"/>
      <c r="F3899" s="2"/>
    </row>
    <row r="3900" spans="1:6" x14ac:dyDescent="0.3">
      <c r="A3900" s="63"/>
      <c r="B3900" s="64"/>
      <c r="C3900" s="64"/>
      <c r="D3900" s="64"/>
      <c r="E3900" s="63"/>
      <c r="F3900" s="64"/>
    </row>
    <row r="3901" spans="1:6" x14ac:dyDescent="0.3">
      <c r="A3901" s="2"/>
      <c r="B3901" s="65"/>
      <c r="C3901" s="65"/>
      <c r="D3901" s="2"/>
      <c r="E3901" s="2"/>
      <c r="F3901" s="2"/>
    </row>
    <row r="3902" spans="1:6" x14ac:dyDescent="0.3">
      <c r="A3902" s="63"/>
      <c r="B3902" s="64"/>
      <c r="C3902" s="64"/>
      <c r="D3902" s="64"/>
      <c r="E3902" s="63"/>
      <c r="F3902" s="64"/>
    </row>
    <row r="3903" spans="1:6" x14ac:dyDescent="0.3">
      <c r="A3903" s="2"/>
      <c r="B3903" s="65"/>
      <c r="C3903" s="65"/>
      <c r="D3903" s="2"/>
      <c r="E3903" s="2"/>
      <c r="F3903" s="2"/>
    </row>
    <row r="3904" spans="1:6" x14ac:dyDescent="0.3">
      <c r="A3904" s="63"/>
      <c r="B3904" s="64"/>
      <c r="C3904" s="64"/>
      <c r="D3904" s="64"/>
      <c r="E3904" s="63"/>
      <c r="F3904" s="64"/>
    </row>
    <row r="3905" spans="1:6" x14ac:dyDescent="0.3">
      <c r="A3905" s="2"/>
      <c r="B3905" s="65"/>
      <c r="C3905" s="65"/>
      <c r="D3905" s="2"/>
      <c r="E3905" s="2"/>
      <c r="F3905" s="2"/>
    </row>
    <row r="3906" spans="1:6" x14ac:dyDescent="0.3">
      <c r="A3906" s="63"/>
      <c r="B3906" s="64"/>
      <c r="C3906" s="64"/>
      <c r="D3906" s="64"/>
      <c r="E3906" s="63"/>
      <c r="F3906" s="64"/>
    </row>
    <row r="3907" spans="1:6" x14ac:dyDescent="0.3">
      <c r="A3907" s="2"/>
      <c r="B3907" s="65"/>
      <c r="C3907" s="65"/>
      <c r="D3907" s="2"/>
      <c r="E3907" s="2"/>
      <c r="F3907" s="2"/>
    </row>
    <row r="3908" spans="1:6" x14ac:dyDescent="0.3">
      <c r="A3908" s="63"/>
      <c r="B3908" s="64"/>
      <c r="C3908" s="64"/>
      <c r="D3908" s="64"/>
      <c r="E3908" s="63"/>
      <c r="F3908" s="64"/>
    </row>
    <row r="3909" spans="1:6" x14ac:dyDescent="0.3">
      <c r="A3909" s="2"/>
      <c r="B3909" s="65"/>
      <c r="C3909" s="65"/>
      <c r="D3909" s="2"/>
      <c r="E3909" s="2"/>
      <c r="F3909" s="2"/>
    </row>
    <row r="3910" spans="1:6" x14ac:dyDescent="0.3">
      <c r="A3910" s="63"/>
      <c r="B3910" s="64"/>
      <c r="C3910" s="64"/>
      <c r="D3910" s="64"/>
      <c r="E3910" s="63"/>
      <c r="F3910" s="64"/>
    </row>
    <row r="3911" spans="1:6" x14ac:dyDescent="0.3">
      <c r="A3911" s="2"/>
      <c r="B3911" s="65"/>
      <c r="C3911" s="65"/>
      <c r="D3911" s="2"/>
      <c r="E3911" s="2"/>
      <c r="F3911" s="2"/>
    </row>
    <row r="3912" spans="1:6" x14ac:dyDescent="0.3">
      <c r="A3912" s="63"/>
      <c r="B3912" s="64"/>
      <c r="C3912" s="64"/>
      <c r="D3912" s="64"/>
      <c r="E3912" s="63"/>
      <c r="F3912" s="64"/>
    </row>
    <row r="3913" spans="1:6" x14ac:dyDescent="0.3">
      <c r="A3913" s="2"/>
      <c r="B3913" s="65"/>
      <c r="C3913" s="65"/>
      <c r="D3913" s="2"/>
      <c r="E3913" s="2"/>
      <c r="F3913" s="2"/>
    </row>
    <row r="3914" spans="1:6" x14ac:dyDescent="0.3">
      <c r="A3914" s="63"/>
      <c r="B3914" s="64"/>
      <c r="C3914" s="64"/>
      <c r="D3914" s="64"/>
      <c r="E3914" s="63"/>
      <c r="F3914" s="64"/>
    </row>
    <row r="3915" spans="1:6" x14ac:dyDescent="0.3">
      <c r="A3915" s="2"/>
      <c r="B3915" s="65"/>
      <c r="C3915" s="65"/>
      <c r="D3915" s="2"/>
      <c r="E3915" s="2"/>
      <c r="F3915" s="2"/>
    </row>
    <row r="3916" spans="1:6" x14ac:dyDescent="0.3">
      <c r="A3916" s="63"/>
      <c r="B3916" s="64"/>
      <c r="C3916" s="64"/>
      <c r="D3916" s="64"/>
      <c r="E3916" s="63"/>
      <c r="F3916" s="64"/>
    </row>
    <row r="3917" spans="1:6" x14ac:dyDescent="0.3">
      <c r="A3917" s="2"/>
      <c r="B3917" s="65"/>
      <c r="C3917" s="65"/>
      <c r="D3917" s="2"/>
      <c r="E3917" s="2"/>
      <c r="F3917" s="2"/>
    </row>
    <row r="3918" spans="1:6" x14ac:dyDescent="0.3">
      <c r="A3918" s="63"/>
      <c r="B3918" s="64"/>
      <c r="C3918" s="64"/>
      <c r="D3918" s="64"/>
      <c r="E3918" s="63"/>
      <c r="F3918" s="64"/>
    </row>
    <row r="3919" spans="1:6" x14ac:dyDescent="0.3">
      <c r="A3919" s="2"/>
      <c r="B3919" s="65"/>
      <c r="C3919" s="65"/>
      <c r="D3919" s="2"/>
      <c r="E3919" s="2"/>
      <c r="F3919" s="2"/>
    </row>
    <row r="3920" spans="1:6" x14ac:dyDescent="0.3">
      <c r="A3920" s="63"/>
      <c r="B3920" s="64"/>
      <c r="C3920" s="64"/>
      <c r="D3920" s="64"/>
      <c r="E3920" s="63"/>
      <c r="F3920" s="64"/>
    </row>
    <row r="3921" spans="1:6" x14ac:dyDescent="0.3">
      <c r="A3921" s="2"/>
      <c r="B3921" s="65"/>
      <c r="C3921" s="65"/>
      <c r="D3921" s="2"/>
      <c r="E3921" s="2"/>
      <c r="F3921" s="2"/>
    </row>
    <row r="3922" spans="1:6" x14ac:dyDescent="0.3">
      <c r="A3922" s="63"/>
      <c r="B3922" s="64"/>
      <c r="C3922" s="64"/>
      <c r="D3922" s="64"/>
      <c r="E3922" s="63"/>
      <c r="F3922" s="64"/>
    </row>
    <row r="3923" spans="1:6" x14ac:dyDescent="0.3">
      <c r="A3923" s="2"/>
      <c r="B3923" s="65"/>
      <c r="C3923" s="65"/>
      <c r="D3923" s="2"/>
      <c r="E3923" s="2"/>
      <c r="F3923" s="2"/>
    </row>
    <row r="3924" spans="1:6" x14ac:dyDescent="0.3">
      <c r="A3924" s="63"/>
      <c r="B3924" s="64"/>
      <c r="C3924" s="64"/>
      <c r="D3924" s="64"/>
      <c r="E3924" s="63"/>
      <c r="F3924" s="64"/>
    </row>
    <row r="3925" spans="1:6" x14ac:dyDescent="0.3">
      <c r="A3925" s="2"/>
      <c r="B3925" s="65"/>
      <c r="C3925" s="65"/>
      <c r="D3925" s="2"/>
      <c r="E3925" s="2"/>
      <c r="F3925" s="2"/>
    </row>
    <row r="3926" spans="1:6" x14ac:dyDescent="0.3">
      <c r="A3926" s="63"/>
      <c r="B3926" s="64"/>
      <c r="C3926" s="64"/>
      <c r="D3926" s="64"/>
      <c r="E3926" s="63"/>
      <c r="F3926" s="64"/>
    </row>
    <row r="3927" spans="1:6" x14ac:dyDescent="0.3">
      <c r="A3927" s="2"/>
      <c r="B3927" s="65"/>
      <c r="C3927" s="65"/>
      <c r="D3927" s="2"/>
      <c r="E3927" s="2"/>
      <c r="F3927" s="2"/>
    </row>
    <row r="3928" spans="1:6" x14ac:dyDescent="0.3">
      <c r="A3928" s="63"/>
      <c r="B3928" s="64"/>
      <c r="C3928" s="64"/>
      <c r="D3928" s="64"/>
      <c r="E3928" s="63"/>
      <c r="F3928" s="64"/>
    </row>
    <row r="3929" spans="1:6" x14ac:dyDescent="0.3">
      <c r="A3929" s="2"/>
      <c r="B3929" s="65"/>
      <c r="C3929" s="65"/>
      <c r="D3929" s="2"/>
      <c r="E3929" s="2"/>
      <c r="F3929" s="2"/>
    </row>
    <row r="3930" spans="1:6" x14ac:dyDescent="0.3">
      <c r="A3930" s="63"/>
      <c r="B3930" s="64"/>
      <c r="C3930" s="64"/>
      <c r="D3930" s="64"/>
      <c r="E3930" s="63"/>
      <c r="F3930" s="64"/>
    </row>
    <row r="3931" spans="1:6" x14ac:dyDescent="0.3">
      <c r="A3931" s="2"/>
      <c r="B3931" s="65"/>
      <c r="C3931" s="65"/>
      <c r="D3931" s="2"/>
      <c r="E3931" s="2"/>
      <c r="F3931" s="2"/>
    </row>
    <row r="3932" spans="1:6" x14ac:dyDescent="0.3">
      <c r="A3932" s="63"/>
      <c r="B3932" s="64"/>
      <c r="C3932" s="64"/>
      <c r="D3932" s="64"/>
      <c r="E3932" s="63"/>
      <c r="F3932" s="64"/>
    </row>
    <row r="3933" spans="1:6" x14ac:dyDescent="0.3">
      <c r="A3933" s="2"/>
      <c r="B3933" s="65"/>
      <c r="C3933" s="65"/>
      <c r="D3933" s="2"/>
      <c r="E3933" s="2"/>
      <c r="F3933" s="2"/>
    </row>
    <row r="3934" spans="1:6" x14ac:dyDescent="0.3">
      <c r="A3934" s="63"/>
      <c r="B3934" s="64"/>
      <c r="C3934" s="64"/>
      <c r="D3934" s="64"/>
      <c r="E3934" s="63"/>
      <c r="F3934" s="64"/>
    </row>
    <row r="3935" spans="1:6" x14ac:dyDescent="0.3">
      <c r="A3935" s="2"/>
      <c r="B3935" s="65"/>
      <c r="C3935" s="65"/>
      <c r="D3935" s="2"/>
      <c r="E3935" s="2"/>
      <c r="F3935" s="2"/>
    </row>
    <row r="3936" spans="1:6" x14ac:dyDescent="0.3">
      <c r="A3936" s="63"/>
      <c r="B3936" s="64"/>
      <c r="C3936" s="64"/>
      <c r="D3936" s="64"/>
      <c r="E3936" s="63"/>
      <c r="F3936" s="64"/>
    </row>
    <row r="3937" spans="1:6" x14ac:dyDescent="0.3">
      <c r="A3937" s="2"/>
      <c r="B3937" s="65"/>
      <c r="C3937" s="65"/>
      <c r="D3937" s="2"/>
      <c r="E3937" s="2"/>
      <c r="F3937" s="2"/>
    </row>
    <row r="3938" spans="1:6" x14ac:dyDescent="0.3">
      <c r="A3938" s="63"/>
      <c r="B3938" s="64"/>
      <c r="C3938" s="64"/>
      <c r="D3938" s="64"/>
      <c r="E3938" s="63"/>
      <c r="F3938" s="64"/>
    </row>
    <row r="3939" spans="1:6" x14ac:dyDescent="0.3">
      <c r="A3939" s="2"/>
      <c r="B3939" s="65"/>
      <c r="C3939" s="65"/>
      <c r="D3939" s="2"/>
      <c r="E3939" s="2"/>
      <c r="F3939" s="2"/>
    </row>
    <row r="3940" spans="1:6" x14ac:dyDescent="0.3">
      <c r="A3940" s="63"/>
      <c r="B3940" s="64"/>
      <c r="C3940" s="64"/>
      <c r="D3940" s="64"/>
      <c r="E3940" s="63"/>
      <c r="F3940" s="64"/>
    </row>
    <row r="3941" spans="1:6" x14ac:dyDescent="0.3">
      <c r="A3941" s="2"/>
      <c r="B3941" s="65"/>
      <c r="C3941" s="65"/>
      <c r="D3941" s="2"/>
      <c r="E3941" s="2"/>
      <c r="F3941" s="2"/>
    </row>
    <row r="3942" spans="1:6" x14ac:dyDescent="0.3">
      <c r="A3942" s="63"/>
      <c r="B3942" s="64"/>
      <c r="C3942" s="64"/>
      <c r="D3942" s="64"/>
      <c r="E3942" s="63"/>
      <c r="F3942" s="64"/>
    </row>
    <row r="3943" spans="1:6" x14ac:dyDescent="0.3">
      <c r="A3943" s="2"/>
      <c r="B3943" s="65"/>
      <c r="C3943" s="65"/>
      <c r="D3943" s="2"/>
      <c r="E3943" s="2"/>
      <c r="F3943" s="2"/>
    </row>
    <row r="3944" spans="1:6" x14ac:dyDescent="0.3">
      <c r="A3944" s="63"/>
      <c r="B3944" s="64"/>
      <c r="C3944" s="64"/>
      <c r="D3944" s="64"/>
      <c r="E3944" s="63"/>
      <c r="F3944" s="64"/>
    </row>
    <row r="3945" spans="1:6" x14ac:dyDescent="0.3">
      <c r="A3945" s="2"/>
      <c r="B3945" s="65"/>
      <c r="C3945" s="65"/>
      <c r="D3945" s="2"/>
      <c r="E3945" s="2"/>
      <c r="F3945" s="2"/>
    </row>
    <row r="3946" spans="1:6" x14ac:dyDescent="0.3">
      <c r="A3946" s="63"/>
      <c r="B3946" s="64"/>
      <c r="C3946" s="64"/>
      <c r="D3946" s="64"/>
      <c r="E3946" s="63"/>
      <c r="F3946" s="64"/>
    </row>
    <row r="3947" spans="1:6" x14ac:dyDescent="0.3">
      <c r="A3947" s="2"/>
      <c r="B3947" s="65"/>
      <c r="C3947" s="65"/>
      <c r="D3947" s="2"/>
      <c r="E3947" s="2"/>
      <c r="F3947" s="2"/>
    </row>
    <row r="3948" spans="1:6" x14ac:dyDescent="0.3">
      <c r="A3948" s="63"/>
      <c r="B3948" s="64"/>
      <c r="C3948" s="64"/>
      <c r="D3948" s="64"/>
      <c r="E3948" s="63"/>
      <c r="F3948" s="64"/>
    </row>
    <row r="3949" spans="1:6" x14ac:dyDescent="0.3">
      <c r="A3949" s="2"/>
      <c r="B3949" s="65"/>
      <c r="C3949" s="65"/>
      <c r="D3949" s="2"/>
      <c r="E3949" s="2"/>
      <c r="F3949" s="2"/>
    </row>
    <row r="3950" spans="1:6" x14ac:dyDescent="0.3">
      <c r="A3950" s="63"/>
      <c r="B3950" s="64"/>
      <c r="C3950" s="64"/>
      <c r="D3950" s="64"/>
      <c r="E3950" s="63"/>
      <c r="F3950" s="64"/>
    </row>
    <row r="3951" spans="1:6" x14ac:dyDescent="0.3">
      <c r="A3951" s="2"/>
      <c r="B3951" s="65"/>
      <c r="C3951" s="65"/>
      <c r="D3951" s="2"/>
      <c r="E3951" s="2"/>
      <c r="F3951" s="2"/>
    </row>
    <row r="3952" spans="1:6" x14ac:dyDescent="0.3">
      <c r="A3952" s="63"/>
      <c r="B3952" s="64"/>
      <c r="C3952" s="64"/>
      <c r="D3952" s="64"/>
      <c r="E3952" s="63"/>
      <c r="F3952" s="64"/>
    </row>
    <row r="3953" spans="1:6" x14ac:dyDescent="0.3">
      <c r="A3953" s="2"/>
      <c r="B3953" s="65"/>
      <c r="C3953" s="65"/>
      <c r="D3953" s="2"/>
      <c r="E3953" s="2"/>
      <c r="F3953" s="2"/>
    </row>
    <row r="3954" spans="1:6" x14ac:dyDescent="0.3">
      <c r="A3954" s="63"/>
      <c r="B3954" s="64"/>
      <c r="C3954" s="64"/>
      <c r="D3954" s="64"/>
      <c r="E3954" s="63"/>
      <c r="F3954" s="64"/>
    </row>
    <row r="3955" spans="1:6" x14ac:dyDescent="0.3">
      <c r="A3955" s="2"/>
      <c r="B3955" s="65"/>
      <c r="C3955" s="65"/>
      <c r="D3955" s="2"/>
      <c r="E3955" s="2"/>
      <c r="F3955" s="2"/>
    </row>
    <row r="3956" spans="1:6" x14ac:dyDescent="0.3">
      <c r="A3956" s="63"/>
      <c r="B3956" s="64"/>
      <c r="C3956" s="64"/>
      <c r="D3956" s="64"/>
      <c r="E3956" s="63"/>
      <c r="F3956" s="64"/>
    </row>
    <row r="3957" spans="1:6" x14ac:dyDescent="0.3">
      <c r="A3957" s="2"/>
      <c r="B3957" s="65"/>
      <c r="C3957" s="65"/>
      <c r="D3957" s="2"/>
      <c r="E3957" s="2"/>
      <c r="F3957" s="2"/>
    </row>
    <row r="3958" spans="1:6" x14ac:dyDescent="0.3">
      <c r="A3958" s="63"/>
      <c r="B3958" s="64"/>
      <c r="C3958" s="64"/>
      <c r="D3958" s="64"/>
      <c r="E3958" s="63"/>
      <c r="F3958" s="64"/>
    </row>
    <row r="3959" spans="1:6" x14ac:dyDescent="0.3">
      <c r="A3959" s="2"/>
      <c r="B3959" s="65"/>
      <c r="C3959" s="65"/>
      <c r="D3959" s="2"/>
      <c r="E3959" s="2"/>
      <c r="F3959" s="2"/>
    </row>
    <row r="3960" spans="1:6" x14ac:dyDescent="0.3">
      <c r="A3960" s="63"/>
      <c r="B3960" s="64"/>
      <c r="C3960" s="64"/>
      <c r="D3960" s="64"/>
      <c r="E3960" s="63"/>
      <c r="F3960" s="64"/>
    </row>
    <row r="3961" spans="1:6" x14ac:dyDescent="0.3">
      <c r="A3961" s="2"/>
      <c r="B3961" s="65"/>
      <c r="C3961" s="65"/>
      <c r="D3961" s="2"/>
      <c r="E3961" s="2"/>
      <c r="F3961" s="2"/>
    </row>
    <row r="3962" spans="1:6" x14ac:dyDescent="0.3">
      <c r="A3962" s="63"/>
      <c r="B3962" s="64"/>
      <c r="C3962" s="64"/>
      <c r="D3962" s="64"/>
      <c r="E3962" s="63"/>
      <c r="F3962" s="64"/>
    </row>
    <row r="3963" spans="1:6" x14ac:dyDescent="0.3">
      <c r="A3963" s="2"/>
      <c r="B3963" s="65"/>
      <c r="C3963" s="65"/>
      <c r="D3963" s="2"/>
      <c r="E3963" s="2"/>
      <c r="F3963" s="2"/>
    </row>
    <row r="3964" spans="1:6" x14ac:dyDescent="0.3">
      <c r="A3964" s="63"/>
      <c r="B3964" s="64"/>
      <c r="C3964" s="64"/>
      <c r="D3964" s="64"/>
      <c r="E3964" s="63"/>
      <c r="F3964" s="64"/>
    </row>
    <row r="3965" spans="1:6" x14ac:dyDescent="0.3">
      <c r="A3965" s="2"/>
      <c r="B3965" s="65"/>
      <c r="C3965" s="65"/>
      <c r="D3965" s="2"/>
      <c r="E3965" s="2"/>
      <c r="F3965" s="2"/>
    </row>
    <row r="3966" spans="1:6" x14ac:dyDescent="0.3">
      <c r="A3966" s="63"/>
      <c r="B3966" s="64"/>
      <c r="C3966" s="64"/>
      <c r="D3966" s="64"/>
      <c r="E3966" s="63"/>
      <c r="F3966" s="64"/>
    </row>
    <row r="3967" spans="1:6" x14ac:dyDescent="0.3">
      <c r="A3967" s="2"/>
      <c r="B3967" s="65"/>
      <c r="C3967" s="65"/>
      <c r="D3967" s="2"/>
      <c r="E3967" s="2"/>
      <c r="F3967" s="2"/>
    </row>
    <row r="3968" spans="1:6" x14ac:dyDescent="0.3">
      <c r="A3968" s="63"/>
      <c r="B3968" s="64"/>
      <c r="C3968" s="64"/>
      <c r="D3968" s="64"/>
      <c r="E3968" s="63"/>
      <c r="F3968" s="64"/>
    </row>
    <row r="3969" spans="1:6" x14ac:dyDescent="0.3">
      <c r="A3969" s="2"/>
      <c r="B3969" s="65"/>
      <c r="C3969" s="65"/>
      <c r="D3969" s="2"/>
      <c r="E3969" s="2"/>
      <c r="F3969" s="2"/>
    </row>
    <row r="3970" spans="1:6" x14ac:dyDescent="0.3">
      <c r="A3970" s="63"/>
      <c r="B3970" s="64"/>
      <c r="C3970" s="64"/>
      <c r="D3970" s="64"/>
      <c r="E3970" s="63"/>
      <c r="F3970" s="64"/>
    </row>
    <row r="3971" spans="1:6" x14ac:dyDescent="0.3">
      <c r="A3971" s="2"/>
      <c r="B3971" s="65"/>
      <c r="C3971" s="65"/>
      <c r="D3971" s="2"/>
      <c r="E3971" s="2"/>
      <c r="F3971" s="2"/>
    </row>
    <row r="3972" spans="1:6" x14ac:dyDescent="0.3">
      <c r="A3972" s="63"/>
      <c r="B3972" s="64"/>
      <c r="C3972" s="64"/>
      <c r="D3972" s="64"/>
      <c r="E3972" s="63"/>
      <c r="F3972" s="64"/>
    </row>
    <row r="3973" spans="1:6" x14ac:dyDescent="0.3">
      <c r="A3973" s="2"/>
      <c r="B3973" s="65"/>
      <c r="C3973" s="65"/>
      <c r="D3973" s="2"/>
      <c r="E3973" s="2"/>
      <c r="F3973" s="2"/>
    </row>
    <row r="3974" spans="1:6" x14ac:dyDescent="0.3">
      <c r="A3974" s="63"/>
      <c r="B3974" s="64"/>
      <c r="C3974" s="64"/>
      <c r="D3974" s="64"/>
      <c r="E3974" s="63"/>
      <c r="F3974" s="64"/>
    </row>
    <row r="3975" spans="1:6" x14ac:dyDescent="0.3">
      <c r="A3975" s="2"/>
      <c r="B3975" s="65"/>
      <c r="C3975" s="65"/>
      <c r="D3975" s="2"/>
      <c r="E3975" s="2"/>
      <c r="F3975" s="2"/>
    </row>
    <row r="3976" spans="1:6" x14ac:dyDescent="0.3">
      <c r="A3976" s="63"/>
      <c r="B3976" s="64"/>
      <c r="C3976" s="64"/>
      <c r="D3976" s="64"/>
      <c r="E3976" s="63"/>
      <c r="F3976" s="64"/>
    </row>
    <row r="3977" spans="1:6" x14ac:dyDescent="0.3">
      <c r="A3977" s="2"/>
      <c r="B3977" s="65"/>
      <c r="C3977" s="65"/>
      <c r="D3977" s="2"/>
      <c r="E3977" s="2"/>
      <c r="F3977" s="2"/>
    </row>
    <row r="3978" spans="1:6" x14ac:dyDescent="0.3">
      <c r="A3978" s="63"/>
      <c r="B3978" s="64"/>
      <c r="C3978" s="64"/>
      <c r="D3978" s="64"/>
      <c r="E3978" s="63"/>
      <c r="F3978" s="64"/>
    </row>
    <row r="3979" spans="1:6" x14ac:dyDescent="0.3">
      <c r="A3979" s="2"/>
      <c r="B3979" s="65"/>
      <c r="C3979" s="65"/>
      <c r="D3979" s="2"/>
      <c r="E3979" s="2"/>
      <c r="F3979" s="2"/>
    </row>
    <row r="3980" spans="1:6" x14ac:dyDescent="0.3">
      <c r="A3980" s="63"/>
      <c r="B3980" s="64"/>
      <c r="C3980" s="64"/>
      <c r="D3980" s="64"/>
      <c r="E3980" s="63"/>
      <c r="F3980" s="64"/>
    </row>
    <row r="3981" spans="1:6" x14ac:dyDescent="0.3">
      <c r="A3981" s="2"/>
      <c r="B3981" s="65"/>
      <c r="C3981" s="65"/>
      <c r="D3981" s="2"/>
      <c r="E3981" s="2"/>
      <c r="F3981" s="2"/>
    </row>
    <row r="3982" spans="1:6" x14ac:dyDescent="0.3">
      <c r="A3982" s="63"/>
      <c r="B3982" s="64"/>
      <c r="C3982" s="64"/>
      <c r="D3982" s="64"/>
      <c r="E3982" s="63"/>
      <c r="F3982" s="64"/>
    </row>
    <row r="3983" spans="1:6" x14ac:dyDescent="0.3">
      <c r="A3983" s="2"/>
      <c r="B3983" s="65"/>
      <c r="C3983" s="65"/>
      <c r="D3983" s="2"/>
      <c r="E3983" s="2"/>
      <c r="F3983" s="2"/>
    </row>
    <row r="3984" spans="1:6" x14ac:dyDescent="0.3">
      <c r="A3984" s="63"/>
      <c r="B3984" s="64"/>
      <c r="C3984" s="64"/>
      <c r="D3984" s="64"/>
      <c r="E3984" s="63"/>
      <c r="F3984" s="64"/>
    </row>
    <row r="3985" spans="1:6" x14ac:dyDescent="0.3">
      <c r="A3985" s="2"/>
      <c r="B3985" s="65"/>
      <c r="C3985" s="65"/>
      <c r="D3985" s="2"/>
      <c r="E3985" s="2"/>
      <c r="F3985" s="2"/>
    </row>
    <row r="3986" spans="1:6" x14ac:dyDescent="0.3">
      <c r="A3986" s="63"/>
      <c r="B3986" s="64"/>
      <c r="C3986" s="64"/>
      <c r="D3986" s="64"/>
      <c r="E3986" s="63"/>
      <c r="F3986" s="64"/>
    </row>
    <row r="3987" spans="1:6" x14ac:dyDescent="0.3">
      <c r="A3987" s="2"/>
      <c r="B3987" s="65"/>
      <c r="C3987" s="65"/>
      <c r="D3987" s="2"/>
      <c r="E3987" s="2"/>
      <c r="F3987" s="2"/>
    </row>
    <row r="3988" spans="1:6" x14ac:dyDescent="0.3">
      <c r="A3988" s="63"/>
      <c r="B3988" s="64"/>
      <c r="C3988" s="64"/>
      <c r="D3988" s="64"/>
      <c r="E3988" s="63"/>
      <c r="F3988" s="64"/>
    </row>
    <row r="3989" spans="1:6" x14ac:dyDescent="0.3">
      <c r="A3989" s="2"/>
      <c r="B3989" s="65"/>
      <c r="C3989" s="65"/>
      <c r="D3989" s="2"/>
      <c r="E3989" s="2"/>
      <c r="F3989" s="2"/>
    </row>
    <row r="3990" spans="1:6" x14ac:dyDescent="0.3">
      <c r="A3990" s="63"/>
      <c r="B3990" s="64"/>
      <c r="C3990" s="64"/>
      <c r="D3990" s="64"/>
      <c r="E3990" s="63"/>
      <c r="F3990" s="64"/>
    </row>
    <row r="3991" spans="1:6" x14ac:dyDescent="0.3">
      <c r="A3991" s="2"/>
      <c r="B3991" s="65"/>
      <c r="C3991" s="65"/>
      <c r="D3991" s="2"/>
      <c r="E3991" s="2"/>
      <c r="F3991" s="2"/>
    </row>
    <row r="3992" spans="1:6" x14ac:dyDescent="0.3">
      <c r="A3992" s="63"/>
      <c r="B3992" s="64"/>
      <c r="C3992" s="64"/>
      <c r="D3992" s="64"/>
      <c r="E3992" s="63"/>
      <c r="F3992" s="64"/>
    </row>
    <row r="3993" spans="1:6" x14ac:dyDescent="0.3">
      <c r="A3993" s="2"/>
      <c r="B3993" s="65"/>
      <c r="C3993" s="65"/>
      <c r="D3993" s="2"/>
      <c r="E3993" s="2"/>
      <c r="F3993" s="2"/>
    </row>
    <row r="3994" spans="1:6" x14ac:dyDescent="0.3">
      <c r="A3994" s="63"/>
      <c r="B3994" s="64"/>
      <c r="C3994" s="64"/>
      <c r="D3994" s="64"/>
      <c r="E3994" s="63"/>
      <c r="F3994" s="64"/>
    </row>
    <row r="3995" spans="1:6" x14ac:dyDescent="0.3">
      <c r="A3995" s="2"/>
      <c r="B3995" s="65"/>
      <c r="C3995" s="65"/>
      <c r="D3995" s="2"/>
      <c r="E3995" s="2"/>
      <c r="F3995" s="2"/>
    </row>
    <row r="3996" spans="1:6" x14ac:dyDescent="0.3">
      <c r="A3996" s="63"/>
      <c r="B3996" s="64"/>
      <c r="C3996" s="64"/>
      <c r="D3996" s="64"/>
      <c r="E3996" s="63"/>
      <c r="F3996" s="64"/>
    </row>
    <row r="3997" spans="1:6" x14ac:dyDescent="0.3">
      <c r="A3997" s="2"/>
      <c r="B3997" s="65"/>
      <c r="C3997" s="65"/>
      <c r="D3997" s="2"/>
      <c r="E3997" s="2"/>
      <c r="F3997" s="2"/>
    </row>
    <row r="3998" spans="1:6" x14ac:dyDescent="0.3">
      <c r="A3998" s="63"/>
      <c r="B3998" s="64"/>
      <c r="C3998" s="64"/>
      <c r="D3998" s="64"/>
      <c r="E3998" s="63"/>
      <c r="F3998" s="64"/>
    </row>
    <row r="3999" spans="1:6" x14ac:dyDescent="0.3">
      <c r="A3999" s="2"/>
      <c r="B3999" s="65"/>
      <c r="C3999" s="65"/>
      <c r="D3999" s="2"/>
      <c r="E3999" s="2"/>
      <c r="F3999" s="2"/>
    </row>
    <row r="4000" spans="1:6" x14ac:dyDescent="0.3">
      <c r="A4000" s="63"/>
      <c r="B4000" s="64"/>
      <c r="C4000" s="64"/>
      <c r="D4000" s="64"/>
      <c r="E4000" s="63"/>
      <c r="F4000" s="64"/>
    </row>
    <row r="4001" spans="1:6" x14ac:dyDescent="0.3">
      <c r="A4001" s="2"/>
      <c r="B4001" s="65"/>
      <c r="C4001" s="65"/>
      <c r="D4001" s="2"/>
      <c r="E4001" s="2"/>
      <c r="F4001" s="2"/>
    </row>
    <row r="4002" spans="1:6" x14ac:dyDescent="0.3">
      <c r="A4002" s="63"/>
      <c r="B4002" s="64"/>
      <c r="C4002" s="64"/>
      <c r="D4002" s="64"/>
      <c r="E4002" s="63"/>
      <c r="F4002" s="64"/>
    </row>
    <row r="4003" spans="1:6" x14ac:dyDescent="0.3">
      <c r="A4003" s="2"/>
      <c r="B4003" s="65"/>
      <c r="C4003" s="65"/>
      <c r="D4003" s="2"/>
      <c r="E4003" s="2"/>
      <c r="F4003" s="2"/>
    </row>
    <row r="4004" spans="1:6" x14ac:dyDescent="0.3">
      <c r="A4004" s="63"/>
      <c r="B4004" s="64"/>
      <c r="C4004" s="64"/>
      <c r="D4004" s="64"/>
      <c r="E4004" s="63"/>
      <c r="F4004" s="64"/>
    </row>
    <row r="4005" spans="1:6" x14ac:dyDescent="0.3">
      <c r="A4005" s="2"/>
      <c r="B4005" s="65"/>
      <c r="C4005" s="65"/>
      <c r="D4005" s="2"/>
      <c r="E4005" s="2"/>
      <c r="F4005" s="2"/>
    </row>
    <row r="4006" spans="1:6" x14ac:dyDescent="0.3">
      <c r="A4006" s="63"/>
      <c r="B4006" s="64"/>
      <c r="C4006" s="64"/>
      <c r="D4006" s="64"/>
      <c r="E4006" s="63"/>
      <c r="F4006" s="64"/>
    </row>
    <row r="4007" spans="1:6" x14ac:dyDescent="0.3">
      <c r="A4007" s="2"/>
      <c r="B4007" s="65"/>
      <c r="C4007" s="65"/>
      <c r="D4007" s="2"/>
      <c r="E4007" s="2"/>
      <c r="F4007" s="2"/>
    </row>
    <row r="4008" spans="1:6" x14ac:dyDescent="0.3">
      <c r="A4008" s="63"/>
      <c r="B4008" s="64"/>
      <c r="C4008" s="64"/>
      <c r="D4008" s="64"/>
      <c r="E4008" s="63"/>
      <c r="F4008" s="64"/>
    </row>
    <row r="4009" spans="1:6" x14ac:dyDescent="0.3">
      <c r="A4009" s="2"/>
      <c r="B4009" s="65"/>
      <c r="C4009" s="65"/>
      <c r="D4009" s="2"/>
      <c r="E4009" s="2"/>
      <c r="F4009" s="2"/>
    </row>
    <row r="4010" spans="1:6" x14ac:dyDescent="0.3">
      <c r="A4010" s="63"/>
      <c r="B4010" s="64"/>
      <c r="C4010" s="64"/>
      <c r="D4010" s="64"/>
      <c r="E4010" s="63"/>
      <c r="F4010" s="64"/>
    </row>
    <row r="4011" spans="1:6" x14ac:dyDescent="0.3">
      <c r="A4011" s="2"/>
      <c r="B4011" s="65"/>
      <c r="C4011" s="65"/>
      <c r="D4011" s="2"/>
      <c r="E4011" s="2"/>
      <c r="F4011" s="2"/>
    </row>
    <row r="4012" spans="1:6" x14ac:dyDescent="0.3">
      <c r="A4012" s="63"/>
      <c r="B4012" s="64"/>
      <c r="C4012" s="64"/>
      <c r="D4012" s="64"/>
      <c r="E4012" s="63"/>
      <c r="F4012" s="64"/>
    </row>
    <row r="4013" spans="1:6" x14ac:dyDescent="0.3">
      <c r="A4013" s="2"/>
      <c r="B4013" s="65"/>
      <c r="C4013" s="65"/>
      <c r="D4013" s="2"/>
      <c r="E4013" s="2"/>
      <c r="F4013" s="2"/>
    </row>
    <row r="4014" spans="1:6" x14ac:dyDescent="0.3">
      <c r="A4014" s="63"/>
      <c r="B4014" s="64"/>
      <c r="C4014" s="64"/>
      <c r="D4014" s="64"/>
      <c r="E4014" s="63"/>
      <c r="F4014" s="64"/>
    </row>
    <row r="4015" spans="1:6" x14ac:dyDescent="0.3">
      <c r="A4015" s="2"/>
      <c r="B4015" s="65"/>
      <c r="C4015" s="65"/>
      <c r="D4015" s="2"/>
      <c r="E4015" s="2"/>
      <c r="F4015" s="2"/>
    </row>
    <row r="4016" spans="1:6" x14ac:dyDescent="0.3">
      <c r="A4016" s="63"/>
      <c r="B4016" s="64"/>
      <c r="C4016" s="64"/>
      <c r="D4016" s="64"/>
      <c r="E4016" s="63"/>
      <c r="F4016" s="64"/>
    </row>
    <row r="4017" spans="1:6" x14ac:dyDescent="0.3">
      <c r="A4017" s="2"/>
      <c r="B4017" s="65"/>
      <c r="C4017" s="65"/>
      <c r="D4017" s="2"/>
      <c r="E4017" s="2"/>
      <c r="F4017" s="2"/>
    </row>
    <row r="4018" spans="1:6" x14ac:dyDescent="0.3">
      <c r="A4018" s="63"/>
      <c r="B4018" s="64"/>
      <c r="C4018" s="64"/>
      <c r="D4018" s="64"/>
      <c r="E4018" s="63"/>
      <c r="F4018" s="64"/>
    </row>
    <row r="4019" spans="1:6" x14ac:dyDescent="0.3">
      <c r="A4019" s="2"/>
      <c r="B4019" s="65"/>
      <c r="C4019" s="65"/>
      <c r="D4019" s="2"/>
      <c r="E4019" s="2"/>
      <c r="F4019" s="2"/>
    </row>
    <row r="4020" spans="1:6" x14ac:dyDescent="0.3">
      <c r="A4020" s="63"/>
      <c r="B4020" s="64"/>
      <c r="C4020" s="64"/>
      <c r="D4020" s="64"/>
      <c r="E4020" s="63"/>
      <c r="F4020" s="64"/>
    </row>
    <row r="4021" spans="1:6" x14ac:dyDescent="0.3">
      <c r="A4021" s="2"/>
      <c r="B4021" s="65"/>
      <c r="C4021" s="65"/>
      <c r="D4021" s="2"/>
      <c r="E4021" s="2"/>
      <c r="F4021" s="2"/>
    </row>
    <row r="4022" spans="1:6" x14ac:dyDescent="0.3">
      <c r="A4022" s="63"/>
      <c r="B4022" s="64"/>
      <c r="C4022" s="64"/>
      <c r="D4022" s="64"/>
      <c r="E4022" s="63"/>
      <c r="F4022" s="64"/>
    </row>
    <row r="4023" spans="1:6" x14ac:dyDescent="0.3">
      <c r="A4023" s="2"/>
      <c r="B4023" s="65"/>
      <c r="C4023" s="65"/>
      <c r="D4023" s="2"/>
      <c r="E4023" s="2"/>
      <c r="F4023" s="2"/>
    </row>
    <row r="4024" spans="1:6" x14ac:dyDescent="0.3">
      <c r="A4024" s="63"/>
      <c r="B4024" s="64"/>
      <c r="C4024" s="64"/>
      <c r="D4024" s="64"/>
      <c r="E4024" s="63"/>
      <c r="F4024" s="64"/>
    </row>
    <row r="4025" spans="1:6" x14ac:dyDescent="0.3">
      <c r="A4025" s="2"/>
      <c r="B4025" s="65"/>
      <c r="C4025" s="65"/>
      <c r="D4025" s="2"/>
      <c r="E4025" s="2"/>
      <c r="F4025" s="2"/>
    </row>
    <row r="4026" spans="1:6" x14ac:dyDescent="0.3">
      <c r="A4026" s="63"/>
      <c r="B4026" s="64"/>
      <c r="C4026" s="64"/>
      <c r="D4026" s="64"/>
      <c r="E4026" s="63"/>
      <c r="F4026" s="64"/>
    </row>
    <row r="4027" spans="1:6" x14ac:dyDescent="0.3">
      <c r="A4027" s="2"/>
      <c r="B4027" s="65"/>
      <c r="C4027" s="65"/>
      <c r="D4027" s="2"/>
      <c r="E4027" s="2"/>
      <c r="F4027" s="2"/>
    </row>
    <row r="4028" spans="1:6" x14ac:dyDescent="0.3">
      <c r="A4028" s="63"/>
      <c r="B4028" s="64"/>
      <c r="C4028" s="64"/>
      <c r="D4028" s="64"/>
      <c r="E4028" s="63"/>
      <c r="F4028" s="64"/>
    </row>
    <row r="4029" spans="1:6" x14ac:dyDescent="0.3">
      <c r="A4029" s="2"/>
      <c r="B4029" s="65"/>
      <c r="C4029" s="65"/>
      <c r="D4029" s="2"/>
      <c r="E4029" s="2"/>
      <c r="F4029" s="2"/>
    </row>
    <row r="4030" spans="1:6" x14ac:dyDescent="0.3">
      <c r="A4030" s="63"/>
      <c r="B4030" s="64"/>
      <c r="C4030" s="64"/>
      <c r="D4030" s="64"/>
      <c r="E4030" s="63"/>
      <c r="F4030" s="64"/>
    </row>
    <row r="4031" spans="1:6" x14ac:dyDescent="0.3">
      <c r="A4031" s="2"/>
      <c r="B4031" s="65"/>
      <c r="C4031" s="65"/>
      <c r="D4031" s="2"/>
      <c r="E4031" s="2"/>
      <c r="F4031" s="2"/>
    </row>
    <row r="4032" spans="1:6" x14ac:dyDescent="0.3">
      <c r="A4032" s="63"/>
      <c r="B4032" s="64"/>
      <c r="C4032" s="64"/>
      <c r="D4032" s="64"/>
      <c r="E4032" s="63"/>
      <c r="F4032" s="64"/>
    </row>
    <row r="4033" spans="1:6" x14ac:dyDescent="0.3">
      <c r="A4033" s="2"/>
      <c r="B4033" s="65"/>
      <c r="C4033" s="65"/>
      <c r="D4033" s="2"/>
      <c r="E4033" s="2"/>
      <c r="F4033" s="2"/>
    </row>
    <row r="4034" spans="1:6" x14ac:dyDescent="0.3">
      <c r="A4034" s="63"/>
      <c r="B4034" s="64"/>
      <c r="C4034" s="64"/>
      <c r="D4034" s="64"/>
      <c r="E4034" s="63"/>
      <c r="F4034" s="64"/>
    </row>
    <row r="4035" spans="1:6" x14ac:dyDescent="0.3">
      <c r="A4035" s="2"/>
      <c r="B4035" s="65"/>
      <c r="C4035" s="65"/>
      <c r="D4035" s="2"/>
      <c r="E4035" s="2"/>
      <c r="F4035" s="2"/>
    </row>
    <row r="4036" spans="1:6" x14ac:dyDescent="0.3">
      <c r="A4036" s="63"/>
      <c r="B4036" s="64"/>
      <c r="C4036" s="64"/>
      <c r="D4036" s="64"/>
      <c r="E4036" s="63"/>
      <c r="F4036" s="64"/>
    </row>
    <row r="4037" spans="1:6" x14ac:dyDescent="0.3">
      <c r="A4037" s="2"/>
      <c r="B4037" s="65"/>
      <c r="C4037" s="65"/>
      <c r="D4037" s="2"/>
      <c r="E4037" s="2"/>
      <c r="F4037" s="2"/>
    </row>
    <row r="4038" spans="1:6" x14ac:dyDescent="0.3">
      <c r="A4038" s="63"/>
      <c r="B4038" s="64"/>
      <c r="C4038" s="64"/>
      <c r="D4038" s="64"/>
      <c r="E4038" s="63"/>
      <c r="F4038" s="64"/>
    </row>
    <row r="4039" spans="1:6" x14ac:dyDescent="0.3">
      <c r="A4039" s="2"/>
      <c r="B4039" s="65"/>
      <c r="C4039" s="65"/>
      <c r="D4039" s="2"/>
      <c r="E4039" s="2"/>
      <c r="F4039" s="2"/>
    </row>
    <row r="4040" spans="1:6" x14ac:dyDescent="0.3">
      <c r="A4040" s="63"/>
      <c r="B4040" s="64"/>
      <c r="C4040" s="64"/>
      <c r="D4040" s="64"/>
      <c r="E4040" s="63"/>
      <c r="F4040" s="64"/>
    </row>
    <row r="4041" spans="1:6" x14ac:dyDescent="0.3">
      <c r="A4041" s="2"/>
      <c r="B4041" s="65"/>
      <c r="C4041" s="65"/>
      <c r="D4041" s="2"/>
      <c r="E4041" s="2"/>
      <c r="F4041" s="2"/>
    </row>
    <row r="4042" spans="1:6" x14ac:dyDescent="0.3">
      <c r="A4042" s="63"/>
      <c r="B4042" s="64"/>
      <c r="C4042" s="64"/>
      <c r="D4042" s="64"/>
      <c r="E4042" s="63"/>
      <c r="F4042" s="64"/>
    </row>
    <row r="4043" spans="1:6" x14ac:dyDescent="0.3">
      <c r="A4043" s="2"/>
      <c r="B4043" s="65"/>
      <c r="C4043" s="65"/>
      <c r="D4043" s="2"/>
      <c r="E4043" s="2"/>
      <c r="F4043" s="2"/>
    </row>
    <row r="4044" spans="1:6" x14ac:dyDescent="0.3">
      <c r="A4044" s="63"/>
      <c r="B4044" s="64"/>
      <c r="C4044" s="64"/>
      <c r="D4044" s="64"/>
      <c r="E4044" s="63"/>
      <c r="F4044" s="64"/>
    </row>
    <row r="4045" spans="1:6" x14ac:dyDescent="0.3">
      <c r="A4045" s="2"/>
      <c r="B4045" s="65"/>
      <c r="C4045" s="65"/>
      <c r="D4045" s="2"/>
      <c r="E4045" s="2"/>
      <c r="F4045" s="2"/>
    </row>
    <row r="4046" spans="1:6" x14ac:dyDescent="0.3">
      <c r="A4046" s="63"/>
      <c r="B4046" s="64"/>
      <c r="C4046" s="64"/>
      <c r="D4046" s="64"/>
      <c r="E4046" s="63"/>
      <c r="F4046" s="64"/>
    </row>
    <row r="4047" spans="1:6" x14ac:dyDescent="0.3">
      <c r="A4047" s="2"/>
      <c r="B4047" s="65"/>
      <c r="C4047" s="65"/>
      <c r="D4047" s="2"/>
      <c r="E4047" s="2"/>
      <c r="F4047" s="2"/>
    </row>
    <row r="4048" spans="1:6" x14ac:dyDescent="0.3">
      <c r="A4048" s="63"/>
      <c r="B4048" s="64"/>
      <c r="C4048" s="64"/>
      <c r="D4048" s="64"/>
      <c r="E4048" s="63"/>
      <c r="F4048" s="64"/>
    </row>
    <row r="4049" spans="1:6" x14ac:dyDescent="0.3">
      <c r="A4049" s="2"/>
      <c r="B4049" s="65"/>
      <c r="C4049" s="65"/>
      <c r="D4049" s="2"/>
      <c r="E4049" s="2"/>
      <c r="F4049" s="2"/>
    </row>
    <row r="4050" spans="1:6" x14ac:dyDescent="0.3">
      <c r="A4050" s="63"/>
      <c r="B4050" s="64"/>
      <c r="C4050" s="64"/>
      <c r="D4050" s="64"/>
      <c r="E4050" s="63"/>
      <c r="F4050" s="64"/>
    </row>
    <row r="4051" spans="1:6" x14ac:dyDescent="0.3">
      <c r="A4051" s="2"/>
      <c r="B4051" s="65"/>
      <c r="C4051" s="65"/>
      <c r="D4051" s="2"/>
      <c r="E4051" s="2"/>
      <c r="F4051" s="2"/>
    </row>
    <row r="4052" spans="1:6" x14ac:dyDescent="0.3">
      <c r="A4052" s="63"/>
      <c r="B4052" s="64"/>
      <c r="C4052" s="64"/>
      <c r="D4052" s="64"/>
      <c r="E4052" s="63"/>
      <c r="F4052" s="64"/>
    </row>
    <row r="4053" spans="1:6" x14ac:dyDescent="0.3">
      <c r="A4053" s="2"/>
      <c r="B4053" s="65"/>
      <c r="C4053" s="65"/>
      <c r="D4053" s="2"/>
      <c r="E4053" s="2"/>
      <c r="F4053" s="2"/>
    </row>
    <row r="4054" spans="1:6" x14ac:dyDescent="0.3">
      <c r="A4054" s="63"/>
      <c r="B4054" s="64"/>
      <c r="C4054" s="64"/>
      <c r="D4054" s="64"/>
      <c r="E4054" s="63"/>
      <c r="F4054" s="64"/>
    </row>
    <row r="4055" spans="1:6" x14ac:dyDescent="0.3">
      <c r="A4055" s="2"/>
      <c r="B4055" s="65"/>
      <c r="C4055" s="65"/>
      <c r="D4055" s="2"/>
      <c r="E4055" s="2"/>
      <c r="F4055" s="2"/>
    </row>
    <row r="4056" spans="1:6" x14ac:dyDescent="0.3">
      <c r="A4056" s="63"/>
      <c r="B4056" s="64"/>
      <c r="C4056" s="64"/>
      <c r="D4056" s="64"/>
      <c r="E4056" s="63"/>
      <c r="F4056" s="64"/>
    </row>
    <row r="4057" spans="1:6" x14ac:dyDescent="0.3">
      <c r="A4057" s="2"/>
      <c r="B4057" s="65"/>
      <c r="C4057" s="65"/>
      <c r="D4057" s="2"/>
      <c r="E4057" s="2"/>
      <c r="F4057" s="2"/>
    </row>
    <row r="4058" spans="1:6" x14ac:dyDescent="0.3">
      <c r="A4058" s="63"/>
      <c r="B4058" s="64"/>
      <c r="C4058" s="64"/>
      <c r="D4058" s="64"/>
      <c r="E4058" s="63"/>
      <c r="F4058" s="64"/>
    </row>
    <row r="4059" spans="1:6" x14ac:dyDescent="0.3">
      <c r="A4059" s="2"/>
      <c r="B4059" s="65"/>
      <c r="C4059" s="65"/>
      <c r="D4059" s="2"/>
      <c r="E4059" s="2"/>
      <c r="F4059" s="2"/>
    </row>
    <row r="4060" spans="1:6" x14ac:dyDescent="0.3">
      <c r="A4060" s="63"/>
      <c r="B4060" s="64"/>
      <c r="C4060" s="64"/>
      <c r="D4060" s="64"/>
      <c r="E4060" s="63"/>
      <c r="F4060" s="64"/>
    </row>
    <row r="4061" spans="1:6" x14ac:dyDescent="0.3">
      <c r="A4061" s="2"/>
      <c r="B4061" s="65"/>
      <c r="C4061" s="65"/>
      <c r="D4061" s="2"/>
      <c r="E4061" s="2"/>
      <c r="F4061" s="2"/>
    </row>
    <row r="4062" spans="1:6" x14ac:dyDescent="0.3">
      <c r="A4062" s="63"/>
      <c r="B4062" s="64"/>
      <c r="C4062" s="64"/>
      <c r="D4062" s="64"/>
      <c r="E4062" s="63"/>
      <c r="F4062" s="64"/>
    </row>
    <row r="4063" spans="1:6" x14ac:dyDescent="0.3">
      <c r="A4063" s="2"/>
      <c r="B4063" s="65"/>
      <c r="C4063" s="65"/>
      <c r="D4063" s="2"/>
      <c r="E4063" s="2"/>
      <c r="F4063" s="2"/>
    </row>
    <row r="4064" spans="1:6" x14ac:dyDescent="0.3">
      <c r="A4064" s="63"/>
      <c r="B4064" s="64"/>
      <c r="C4064" s="64"/>
      <c r="D4064" s="64"/>
      <c r="E4064" s="63"/>
      <c r="F4064" s="64"/>
    </row>
    <row r="4065" spans="1:6" x14ac:dyDescent="0.3">
      <c r="A4065" s="2"/>
      <c r="B4065" s="65"/>
      <c r="C4065" s="65"/>
      <c r="D4065" s="2"/>
      <c r="E4065" s="2"/>
      <c r="F4065" s="2"/>
    </row>
    <row r="4066" spans="1:6" x14ac:dyDescent="0.3">
      <c r="A4066" s="63"/>
      <c r="B4066" s="64"/>
      <c r="C4066" s="64"/>
      <c r="D4066" s="64"/>
      <c r="E4066" s="63"/>
      <c r="F4066" s="64"/>
    </row>
    <row r="4067" spans="1:6" x14ac:dyDescent="0.3">
      <c r="A4067" s="2"/>
      <c r="B4067" s="65"/>
      <c r="C4067" s="65"/>
      <c r="D4067" s="2"/>
      <c r="E4067" s="2"/>
      <c r="F4067" s="2"/>
    </row>
    <row r="4068" spans="1:6" x14ac:dyDescent="0.3">
      <c r="A4068" s="63"/>
      <c r="B4068" s="64"/>
      <c r="C4068" s="64"/>
      <c r="D4068" s="64"/>
      <c r="E4068" s="63"/>
      <c r="F4068" s="64"/>
    </row>
    <row r="4069" spans="1:6" x14ac:dyDescent="0.3">
      <c r="A4069" s="2"/>
      <c r="B4069" s="65"/>
      <c r="C4069" s="65"/>
      <c r="D4069" s="2"/>
      <c r="E4069" s="2"/>
      <c r="F4069" s="2"/>
    </row>
    <row r="4070" spans="1:6" x14ac:dyDescent="0.3">
      <c r="A4070" s="63"/>
      <c r="B4070" s="64"/>
      <c r="C4070" s="64"/>
      <c r="D4070" s="64"/>
      <c r="E4070" s="63"/>
      <c r="F4070" s="64"/>
    </row>
    <row r="4071" spans="1:6" x14ac:dyDescent="0.3">
      <c r="A4071" s="2"/>
      <c r="B4071" s="65"/>
      <c r="C4071" s="65"/>
      <c r="D4071" s="2"/>
      <c r="E4071" s="2"/>
      <c r="F4071" s="2"/>
    </row>
    <row r="4072" spans="1:6" x14ac:dyDescent="0.3">
      <c r="A4072" s="63"/>
      <c r="B4072" s="64"/>
      <c r="C4072" s="64"/>
      <c r="D4072" s="64"/>
      <c r="E4072" s="63"/>
      <c r="F4072" s="64"/>
    </row>
    <row r="4073" spans="1:6" x14ac:dyDescent="0.3">
      <c r="A4073" s="2"/>
      <c r="B4073" s="65"/>
      <c r="C4073" s="65"/>
      <c r="D4073" s="2"/>
      <c r="E4073" s="2"/>
      <c r="F4073" s="2"/>
    </row>
    <row r="4074" spans="1:6" x14ac:dyDescent="0.3">
      <c r="A4074" s="63"/>
      <c r="B4074" s="64"/>
      <c r="C4074" s="64"/>
      <c r="D4074" s="64"/>
      <c r="E4074" s="63"/>
      <c r="F4074" s="64"/>
    </row>
    <row r="4075" spans="1:6" x14ac:dyDescent="0.3">
      <c r="A4075" s="2"/>
      <c r="B4075" s="65"/>
      <c r="C4075" s="65"/>
      <c r="D4075" s="2"/>
      <c r="E4075" s="2"/>
      <c r="F4075" s="2"/>
    </row>
    <row r="4076" spans="1:6" x14ac:dyDescent="0.3">
      <c r="A4076" s="63"/>
      <c r="B4076" s="64"/>
      <c r="C4076" s="64"/>
      <c r="D4076" s="64"/>
      <c r="E4076" s="63"/>
      <c r="F4076" s="64"/>
    </row>
    <row r="4077" spans="1:6" x14ac:dyDescent="0.3">
      <c r="A4077" s="2"/>
      <c r="B4077" s="65"/>
      <c r="C4077" s="65"/>
      <c r="D4077" s="2"/>
      <c r="E4077" s="2"/>
      <c r="F4077" s="2"/>
    </row>
    <row r="4078" spans="1:6" x14ac:dyDescent="0.3">
      <c r="A4078" s="63"/>
      <c r="B4078" s="64"/>
      <c r="C4078" s="64"/>
      <c r="D4078" s="64"/>
      <c r="E4078" s="63"/>
      <c r="F4078" s="64"/>
    </row>
    <row r="4079" spans="1:6" x14ac:dyDescent="0.3">
      <c r="A4079" s="2"/>
      <c r="B4079" s="65"/>
      <c r="C4079" s="65"/>
      <c r="D4079" s="2"/>
      <c r="E4079" s="2"/>
      <c r="F4079" s="2"/>
    </row>
    <row r="4080" spans="1:6" x14ac:dyDescent="0.3">
      <c r="A4080" s="63"/>
      <c r="B4080" s="64"/>
      <c r="C4080" s="64"/>
      <c r="D4080" s="64"/>
      <c r="E4080" s="63"/>
      <c r="F4080" s="64"/>
    </row>
    <row r="4081" spans="1:6" x14ac:dyDescent="0.3">
      <c r="A4081" s="2"/>
      <c r="B4081" s="65"/>
      <c r="C4081" s="65"/>
      <c r="D4081" s="2"/>
      <c r="E4081" s="2"/>
      <c r="F4081" s="2"/>
    </row>
    <row r="4082" spans="1:6" x14ac:dyDescent="0.3">
      <c r="A4082" s="63"/>
      <c r="B4082" s="64"/>
      <c r="C4082" s="64"/>
      <c r="D4082" s="64"/>
      <c r="E4082" s="63"/>
      <c r="F4082" s="64"/>
    </row>
    <row r="4083" spans="1:6" x14ac:dyDescent="0.3">
      <c r="A4083" s="2"/>
      <c r="B4083" s="65"/>
      <c r="C4083" s="65"/>
      <c r="D4083" s="2"/>
      <c r="E4083" s="2"/>
      <c r="F4083" s="2"/>
    </row>
    <row r="4084" spans="1:6" x14ac:dyDescent="0.3">
      <c r="A4084" s="63"/>
      <c r="B4084" s="64"/>
      <c r="C4084" s="64"/>
      <c r="D4084" s="64"/>
      <c r="E4084" s="63"/>
      <c r="F4084" s="64"/>
    </row>
    <row r="4085" spans="1:6" x14ac:dyDescent="0.3">
      <c r="A4085" s="2"/>
      <c r="B4085" s="65"/>
      <c r="C4085" s="65"/>
      <c r="D4085" s="2"/>
      <c r="E4085" s="2"/>
      <c r="F4085" s="2"/>
    </row>
    <row r="4086" spans="1:6" x14ac:dyDescent="0.3">
      <c r="A4086" s="63"/>
      <c r="B4086" s="64"/>
      <c r="C4086" s="64"/>
      <c r="D4086" s="64"/>
      <c r="E4086" s="63"/>
      <c r="F4086" s="64"/>
    </row>
    <row r="4087" spans="1:6" x14ac:dyDescent="0.3">
      <c r="A4087" s="2"/>
      <c r="B4087" s="65"/>
      <c r="C4087" s="65"/>
      <c r="D4087" s="2"/>
      <c r="E4087" s="2"/>
      <c r="F4087" s="2"/>
    </row>
    <row r="4088" spans="1:6" x14ac:dyDescent="0.3">
      <c r="A4088" s="63"/>
      <c r="B4088" s="64"/>
      <c r="C4088" s="64"/>
      <c r="D4088" s="64"/>
      <c r="E4088" s="63"/>
      <c r="F4088" s="64"/>
    </row>
    <row r="4089" spans="1:6" x14ac:dyDescent="0.3">
      <c r="A4089" s="2"/>
      <c r="B4089" s="65"/>
      <c r="C4089" s="65"/>
      <c r="D4089" s="2"/>
      <c r="E4089" s="2"/>
      <c r="F4089" s="2"/>
    </row>
    <row r="4090" spans="1:6" x14ac:dyDescent="0.3">
      <c r="A4090" s="63"/>
      <c r="B4090" s="64"/>
      <c r="C4090" s="64"/>
      <c r="D4090" s="64"/>
      <c r="E4090" s="63"/>
      <c r="F4090" s="64"/>
    </row>
    <row r="4091" spans="1:6" x14ac:dyDescent="0.3">
      <c r="A4091" s="2"/>
      <c r="B4091" s="65"/>
      <c r="C4091" s="65"/>
      <c r="D4091" s="2"/>
      <c r="E4091" s="2"/>
      <c r="F4091" s="2"/>
    </row>
    <row r="4092" spans="1:6" x14ac:dyDescent="0.3">
      <c r="A4092" s="63"/>
      <c r="B4092" s="64"/>
      <c r="C4092" s="64"/>
      <c r="D4092" s="64"/>
      <c r="E4092" s="63"/>
      <c r="F4092" s="64"/>
    </row>
    <row r="4093" spans="1:6" x14ac:dyDescent="0.3">
      <c r="A4093" s="2"/>
      <c r="B4093" s="65"/>
      <c r="C4093" s="65"/>
      <c r="D4093" s="2"/>
      <c r="E4093" s="2"/>
      <c r="F4093" s="2"/>
    </row>
    <row r="4094" spans="1:6" x14ac:dyDescent="0.3">
      <c r="A4094" s="63"/>
      <c r="B4094" s="64"/>
      <c r="C4094" s="64"/>
      <c r="D4094" s="64"/>
      <c r="E4094" s="63"/>
      <c r="F4094" s="64"/>
    </row>
    <row r="4095" spans="1:6" x14ac:dyDescent="0.3">
      <c r="A4095" s="2"/>
      <c r="B4095" s="65"/>
      <c r="C4095" s="65"/>
      <c r="D4095" s="2"/>
      <c r="E4095" s="2"/>
      <c r="F4095" s="2"/>
    </row>
    <row r="4096" spans="1:6" x14ac:dyDescent="0.3">
      <c r="A4096" s="63"/>
      <c r="B4096" s="64"/>
      <c r="C4096" s="64"/>
      <c r="D4096" s="64"/>
      <c r="E4096" s="63"/>
      <c r="F4096" s="64"/>
    </row>
    <row r="4097" spans="1:6" x14ac:dyDescent="0.3">
      <c r="A4097" s="2"/>
      <c r="B4097" s="65"/>
      <c r="C4097" s="65"/>
      <c r="D4097" s="2"/>
      <c r="E4097" s="2"/>
      <c r="F4097" s="2"/>
    </row>
    <row r="4098" spans="1:6" x14ac:dyDescent="0.3">
      <c r="A4098" s="63"/>
      <c r="B4098" s="64"/>
      <c r="C4098" s="64"/>
      <c r="D4098" s="64"/>
      <c r="E4098" s="63"/>
      <c r="F4098" s="64"/>
    </row>
    <row r="4099" spans="1:6" x14ac:dyDescent="0.3">
      <c r="A4099" s="2"/>
      <c r="B4099" s="65"/>
      <c r="C4099" s="65"/>
      <c r="D4099" s="2"/>
      <c r="E4099" s="2"/>
      <c r="F4099" s="2"/>
    </row>
    <row r="4100" spans="1:6" x14ac:dyDescent="0.3">
      <c r="A4100" s="63"/>
      <c r="B4100" s="64"/>
      <c r="C4100" s="64"/>
      <c r="D4100" s="64"/>
      <c r="E4100" s="63"/>
      <c r="F4100" s="64"/>
    </row>
    <row r="4101" spans="1:6" x14ac:dyDescent="0.3">
      <c r="A4101" s="2"/>
      <c r="B4101" s="65"/>
      <c r="C4101" s="65"/>
      <c r="D4101" s="2"/>
      <c r="E4101" s="2"/>
      <c r="F4101" s="2"/>
    </row>
    <row r="4102" spans="1:6" x14ac:dyDescent="0.3">
      <c r="A4102" s="63"/>
      <c r="B4102" s="64"/>
      <c r="C4102" s="64"/>
      <c r="D4102" s="64"/>
      <c r="E4102" s="63"/>
      <c r="F4102" s="64"/>
    </row>
    <row r="4103" spans="1:6" x14ac:dyDescent="0.3">
      <c r="A4103" s="2"/>
      <c r="B4103" s="65"/>
      <c r="C4103" s="65"/>
      <c r="D4103" s="2"/>
      <c r="E4103" s="2"/>
      <c r="F4103" s="2"/>
    </row>
    <row r="4104" spans="1:6" x14ac:dyDescent="0.3">
      <c r="A4104" s="63"/>
      <c r="B4104" s="64"/>
      <c r="C4104" s="64"/>
      <c r="D4104" s="64"/>
      <c r="E4104" s="63"/>
      <c r="F4104" s="64"/>
    </row>
    <row r="4105" spans="1:6" x14ac:dyDescent="0.3">
      <c r="A4105" s="2"/>
      <c r="B4105" s="65"/>
      <c r="C4105" s="65"/>
      <c r="D4105" s="2"/>
      <c r="E4105" s="2"/>
      <c r="F4105" s="2"/>
    </row>
    <row r="4106" spans="1:6" x14ac:dyDescent="0.3">
      <c r="A4106" s="63"/>
      <c r="B4106" s="64"/>
      <c r="C4106" s="64"/>
      <c r="D4106" s="64"/>
      <c r="E4106" s="63"/>
      <c r="F4106" s="64"/>
    </row>
    <row r="4107" spans="1:6" x14ac:dyDescent="0.3">
      <c r="A4107" s="2"/>
      <c r="B4107" s="65"/>
      <c r="C4107" s="65"/>
      <c r="D4107" s="2"/>
      <c r="E4107" s="2"/>
      <c r="F4107" s="2"/>
    </row>
    <row r="4108" spans="1:6" x14ac:dyDescent="0.3">
      <c r="A4108" s="63"/>
      <c r="B4108" s="64"/>
      <c r="C4108" s="64"/>
      <c r="D4108" s="64"/>
      <c r="E4108" s="63"/>
      <c r="F4108" s="64"/>
    </row>
    <row r="4109" spans="1:6" x14ac:dyDescent="0.3">
      <c r="A4109" s="2"/>
      <c r="B4109" s="65"/>
      <c r="C4109" s="65"/>
      <c r="D4109" s="2"/>
      <c r="E4109" s="2"/>
      <c r="F4109" s="2"/>
    </row>
    <row r="4110" spans="1:6" x14ac:dyDescent="0.3">
      <c r="A4110" s="63"/>
      <c r="B4110" s="64"/>
      <c r="C4110" s="64"/>
      <c r="D4110" s="64"/>
      <c r="E4110" s="63"/>
      <c r="F4110" s="64"/>
    </row>
    <row r="4111" spans="1:6" x14ac:dyDescent="0.3">
      <c r="A4111" s="2"/>
      <c r="B4111" s="65"/>
      <c r="C4111" s="65"/>
      <c r="D4111" s="2"/>
      <c r="E4111" s="2"/>
      <c r="F4111" s="2"/>
    </row>
    <row r="4112" spans="1:6" x14ac:dyDescent="0.3">
      <c r="A4112" s="63"/>
      <c r="B4112" s="64"/>
      <c r="C4112" s="64"/>
      <c r="D4112" s="64"/>
      <c r="E4112" s="63"/>
      <c r="F4112" s="64"/>
    </row>
    <row r="4113" spans="1:6" x14ac:dyDescent="0.3">
      <c r="A4113" s="2"/>
      <c r="B4113" s="65"/>
      <c r="C4113" s="65"/>
      <c r="D4113" s="2"/>
      <c r="E4113" s="2"/>
      <c r="F4113" s="2"/>
    </row>
    <row r="4114" spans="1:6" x14ac:dyDescent="0.3">
      <c r="A4114" s="63"/>
      <c r="B4114" s="64"/>
      <c r="C4114" s="64"/>
      <c r="D4114" s="64"/>
      <c r="E4114" s="63"/>
      <c r="F4114" s="64"/>
    </row>
    <row r="4115" spans="1:6" x14ac:dyDescent="0.3">
      <c r="A4115" s="2"/>
      <c r="B4115" s="65"/>
      <c r="C4115" s="65"/>
      <c r="D4115" s="2"/>
      <c r="E4115" s="2"/>
      <c r="F4115" s="2"/>
    </row>
    <row r="4116" spans="1:6" x14ac:dyDescent="0.3">
      <c r="A4116" s="63"/>
      <c r="B4116" s="64"/>
      <c r="C4116" s="64"/>
      <c r="D4116" s="64"/>
      <c r="E4116" s="63"/>
      <c r="F4116" s="64"/>
    </row>
    <row r="4117" spans="1:6" x14ac:dyDescent="0.3">
      <c r="A4117" s="2"/>
      <c r="B4117" s="65"/>
      <c r="C4117" s="65"/>
      <c r="D4117" s="2"/>
      <c r="E4117" s="2"/>
      <c r="F4117" s="2"/>
    </row>
    <row r="4118" spans="1:6" x14ac:dyDescent="0.3">
      <c r="A4118" s="63"/>
      <c r="B4118" s="64"/>
      <c r="C4118" s="64"/>
      <c r="D4118" s="64"/>
      <c r="E4118" s="63"/>
      <c r="F4118" s="64"/>
    </row>
    <row r="4119" spans="1:6" x14ac:dyDescent="0.3">
      <c r="A4119" s="2"/>
      <c r="B4119" s="65"/>
      <c r="C4119" s="65"/>
      <c r="D4119" s="2"/>
      <c r="E4119" s="2"/>
      <c r="F4119" s="2"/>
    </row>
    <row r="4120" spans="1:6" x14ac:dyDescent="0.3">
      <c r="A4120" s="63"/>
      <c r="B4120" s="64"/>
      <c r="C4120" s="64"/>
      <c r="D4120" s="64"/>
      <c r="E4120" s="63"/>
      <c r="F4120" s="64"/>
    </row>
    <row r="4121" spans="1:6" x14ac:dyDescent="0.3">
      <c r="A4121" s="2"/>
      <c r="B4121" s="65"/>
      <c r="C4121" s="65"/>
      <c r="D4121" s="2"/>
      <c r="E4121" s="2"/>
      <c r="F4121" s="2"/>
    </row>
    <row r="4122" spans="1:6" x14ac:dyDescent="0.3">
      <c r="A4122" s="63"/>
      <c r="B4122" s="64"/>
      <c r="C4122" s="64"/>
      <c r="D4122" s="64"/>
      <c r="E4122" s="63"/>
      <c r="F4122" s="64"/>
    </row>
    <row r="4123" spans="1:6" x14ac:dyDescent="0.3">
      <c r="A4123" s="2"/>
      <c r="B4123" s="65"/>
      <c r="C4123" s="65"/>
      <c r="D4123" s="2"/>
      <c r="E4123" s="2"/>
      <c r="F4123" s="2"/>
    </row>
    <row r="4124" spans="1:6" x14ac:dyDescent="0.3">
      <c r="A4124" s="63"/>
      <c r="B4124" s="64"/>
      <c r="C4124" s="64"/>
      <c r="D4124" s="64"/>
      <c r="E4124" s="63"/>
      <c r="F4124" s="64"/>
    </row>
    <row r="4125" spans="1:6" x14ac:dyDescent="0.3">
      <c r="A4125" s="2"/>
      <c r="B4125" s="65"/>
      <c r="C4125" s="65"/>
      <c r="D4125" s="2"/>
      <c r="E4125" s="2"/>
      <c r="F4125" s="2"/>
    </row>
    <row r="4126" spans="1:6" x14ac:dyDescent="0.3">
      <c r="A4126" s="63"/>
      <c r="B4126" s="64"/>
      <c r="C4126" s="64"/>
      <c r="D4126" s="64"/>
      <c r="E4126" s="63"/>
      <c r="F4126" s="64"/>
    </row>
    <row r="4127" spans="1:6" x14ac:dyDescent="0.3">
      <c r="A4127" s="2"/>
      <c r="B4127" s="65"/>
      <c r="C4127" s="65"/>
      <c r="D4127" s="2"/>
      <c r="E4127" s="2"/>
      <c r="F4127" s="2"/>
    </row>
    <row r="4128" spans="1:6" x14ac:dyDescent="0.3">
      <c r="A4128" s="63"/>
      <c r="B4128" s="64"/>
      <c r="C4128" s="64"/>
      <c r="D4128" s="64"/>
      <c r="E4128" s="63"/>
      <c r="F4128" s="64"/>
    </row>
    <row r="4129" spans="1:6" x14ac:dyDescent="0.3">
      <c r="A4129" s="2"/>
      <c r="B4129" s="65"/>
      <c r="C4129" s="65"/>
      <c r="D4129" s="2"/>
      <c r="E4129" s="2"/>
      <c r="F4129" s="2"/>
    </row>
    <row r="4130" spans="1:6" x14ac:dyDescent="0.3">
      <c r="A4130" s="63"/>
      <c r="B4130" s="64"/>
      <c r="C4130" s="64"/>
      <c r="D4130" s="64"/>
      <c r="E4130" s="63"/>
      <c r="F4130" s="64"/>
    </row>
    <row r="4131" spans="1:6" x14ac:dyDescent="0.3">
      <c r="A4131" s="2"/>
      <c r="B4131" s="65"/>
      <c r="C4131" s="65"/>
      <c r="D4131" s="2"/>
      <c r="E4131" s="2"/>
      <c r="F4131" s="2"/>
    </row>
    <row r="4132" spans="1:6" x14ac:dyDescent="0.3">
      <c r="A4132" s="63"/>
      <c r="B4132" s="64"/>
      <c r="C4132" s="64"/>
      <c r="D4132" s="64"/>
      <c r="E4132" s="63"/>
      <c r="F4132" s="64"/>
    </row>
    <row r="4133" spans="1:6" x14ac:dyDescent="0.3">
      <c r="A4133" s="2"/>
      <c r="B4133" s="65"/>
      <c r="C4133" s="65"/>
      <c r="D4133" s="2"/>
      <c r="E4133" s="2"/>
      <c r="F4133" s="2"/>
    </row>
    <row r="4134" spans="1:6" x14ac:dyDescent="0.3">
      <c r="A4134" s="63"/>
      <c r="B4134" s="64"/>
      <c r="C4134" s="64"/>
      <c r="D4134" s="64"/>
      <c r="E4134" s="63"/>
      <c r="F4134" s="64"/>
    </row>
    <row r="4135" spans="1:6" x14ac:dyDescent="0.3">
      <c r="A4135" s="2"/>
      <c r="B4135" s="65"/>
      <c r="C4135" s="65"/>
      <c r="D4135" s="2"/>
      <c r="E4135" s="2"/>
      <c r="F4135" s="2"/>
    </row>
    <row r="4136" spans="1:6" x14ac:dyDescent="0.3">
      <c r="A4136" s="63"/>
      <c r="B4136" s="64"/>
      <c r="C4136" s="64"/>
      <c r="D4136" s="64"/>
      <c r="E4136" s="63"/>
      <c r="F4136" s="64"/>
    </row>
    <row r="4137" spans="1:6" x14ac:dyDescent="0.3">
      <c r="A4137" s="2"/>
      <c r="B4137" s="65"/>
      <c r="C4137" s="65"/>
      <c r="D4137" s="2"/>
      <c r="E4137" s="2"/>
      <c r="F4137" s="2"/>
    </row>
    <row r="4138" spans="1:6" x14ac:dyDescent="0.3">
      <c r="A4138" s="63"/>
      <c r="B4138" s="64"/>
      <c r="C4138" s="64"/>
      <c r="D4138" s="64"/>
      <c r="E4138" s="63"/>
      <c r="F4138" s="64"/>
    </row>
    <row r="4139" spans="1:6" x14ac:dyDescent="0.3">
      <c r="A4139" s="2"/>
      <c r="B4139" s="65"/>
      <c r="C4139" s="65"/>
      <c r="D4139" s="2"/>
      <c r="E4139" s="2"/>
      <c r="F4139" s="2"/>
    </row>
    <row r="4140" spans="1:6" x14ac:dyDescent="0.3">
      <c r="A4140" s="63"/>
      <c r="B4140" s="64"/>
      <c r="C4140" s="64"/>
      <c r="D4140" s="64"/>
      <c r="E4140" s="63"/>
      <c r="F4140" s="64"/>
    </row>
    <row r="4141" spans="1:6" x14ac:dyDescent="0.3">
      <c r="A4141" s="2"/>
      <c r="B4141" s="65"/>
      <c r="C4141" s="65"/>
      <c r="D4141" s="2"/>
      <c r="E4141" s="2"/>
      <c r="F4141" s="2"/>
    </row>
    <row r="4142" spans="1:6" x14ac:dyDescent="0.3">
      <c r="A4142" s="63"/>
      <c r="B4142" s="64"/>
      <c r="C4142" s="64"/>
      <c r="D4142" s="64"/>
      <c r="E4142" s="63"/>
      <c r="F4142" s="64"/>
    </row>
    <row r="4143" spans="1:6" x14ac:dyDescent="0.3">
      <c r="A4143" s="2"/>
      <c r="B4143" s="65"/>
      <c r="C4143" s="65"/>
      <c r="D4143" s="2"/>
      <c r="E4143" s="2"/>
      <c r="F4143" s="2"/>
    </row>
    <row r="4144" spans="1:6" x14ac:dyDescent="0.3">
      <c r="A4144" s="63"/>
      <c r="B4144" s="64"/>
      <c r="C4144" s="64"/>
      <c r="D4144" s="64"/>
      <c r="E4144" s="63"/>
      <c r="F4144" s="64"/>
    </row>
    <row r="4145" spans="1:6" x14ac:dyDescent="0.3">
      <c r="A4145" s="2"/>
      <c r="B4145" s="65"/>
      <c r="C4145" s="65"/>
      <c r="D4145" s="2"/>
      <c r="E4145" s="2"/>
      <c r="F4145" s="2"/>
    </row>
    <row r="4146" spans="1:6" x14ac:dyDescent="0.3">
      <c r="A4146" s="63"/>
      <c r="B4146" s="64"/>
      <c r="C4146" s="64"/>
      <c r="D4146" s="64"/>
      <c r="E4146" s="63"/>
      <c r="F4146" s="64"/>
    </row>
    <row r="4147" spans="1:6" x14ac:dyDescent="0.3">
      <c r="A4147" s="2"/>
      <c r="B4147" s="65"/>
      <c r="C4147" s="65"/>
      <c r="D4147" s="2"/>
      <c r="E4147" s="2"/>
      <c r="F4147" s="2"/>
    </row>
    <row r="4148" spans="1:6" x14ac:dyDescent="0.3">
      <c r="A4148" s="63"/>
      <c r="B4148" s="64"/>
      <c r="C4148" s="64"/>
      <c r="D4148" s="64"/>
      <c r="E4148" s="63"/>
      <c r="F4148" s="64"/>
    </row>
    <row r="4149" spans="1:6" x14ac:dyDescent="0.3">
      <c r="A4149" s="2"/>
      <c r="B4149" s="65"/>
      <c r="C4149" s="65"/>
      <c r="D4149" s="2"/>
      <c r="E4149" s="2"/>
      <c r="F4149" s="2"/>
    </row>
    <row r="4150" spans="1:6" x14ac:dyDescent="0.3">
      <c r="A4150" s="63"/>
      <c r="B4150" s="64"/>
      <c r="C4150" s="64"/>
      <c r="D4150" s="64"/>
      <c r="E4150" s="63"/>
      <c r="F4150" s="64"/>
    </row>
    <row r="4151" spans="1:6" x14ac:dyDescent="0.3">
      <c r="A4151" s="2"/>
      <c r="B4151" s="65"/>
      <c r="C4151" s="65"/>
      <c r="D4151" s="2"/>
      <c r="E4151" s="2"/>
      <c r="F4151" s="2"/>
    </row>
    <row r="4152" spans="1:6" x14ac:dyDescent="0.3">
      <c r="A4152" s="63"/>
      <c r="B4152" s="64"/>
      <c r="C4152" s="64"/>
      <c r="D4152" s="64"/>
      <c r="E4152" s="63"/>
      <c r="F4152" s="64"/>
    </row>
    <row r="4153" spans="1:6" x14ac:dyDescent="0.3">
      <c r="A4153" s="2"/>
      <c r="B4153" s="65"/>
      <c r="C4153" s="65"/>
      <c r="D4153" s="2"/>
      <c r="E4153" s="2"/>
      <c r="F4153" s="2"/>
    </row>
    <row r="4154" spans="1:6" x14ac:dyDescent="0.3">
      <c r="A4154" s="63"/>
      <c r="B4154" s="64"/>
      <c r="C4154" s="64"/>
      <c r="D4154" s="64"/>
      <c r="E4154" s="63"/>
      <c r="F4154" s="64"/>
    </row>
    <row r="4155" spans="1:6" x14ac:dyDescent="0.3">
      <c r="A4155" s="2"/>
      <c r="B4155" s="65"/>
      <c r="C4155" s="65"/>
      <c r="D4155" s="2"/>
      <c r="E4155" s="2"/>
      <c r="F4155" s="2"/>
    </row>
    <row r="4156" spans="1:6" x14ac:dyDescent="0.3">
      <c r="A4156" s="63"/>
      <c r="B4156" s="64"/>
      <c r="C4156" s="64"/>
      <c r="D4156" s="64"/>
      <c r="E4156" s="63"/>
      <c r="F4156" s="64"/>
    </row>
    <row r="4157" spans="1:6" x14ac:dyDescent="0.3">
      <c r="A4157" s="2"/>
      <c r="B4157" s="65"/>
      <c r="C4157" s="65"/>
      <c r="D4157" s="2"/>
      <c r="E4157" s="2"/>
      <c r="F4157" s="2"/>
    </row>
    <row r="4158" spans="1:6" x14ac:dyDescent="0.3">
      <c r="A4158" s="63"/>
      <c r="B4158" s="64"/>
      <c r="C4158" s="64"/>
      <c r="D4158" s="64"/>
      <c r="E4158" s="63"/>
      <c r="F4158" s="64"/>
    </row>
    <row r="4159" spans="1:6" x14ac:dyDescent="0.3">
      <c r="A4159" s="2"/>
      <c r="B4159" s="65"/>
      <c r="C4159" s="65"/>
      <c r="D4159" s="2"/>
      <c r="E4159" s="2"/>
      <c r="F4159" s="2"/>
    </row>
    <row r="4160" spans="1:6" x14ac:dyDescent="0.3">
      <c r="A4160" s="63"/>
      <c r="B4160" s="64"/>
      <c r="C4160" s="64"/>
      <c r="D4160" s="64"/>
      <c r="E4160" s="63"/>
      <c r="F4160" s="64"/>
    </row>
    <row r="4161" spans="1:6" x14ac:dyDescent="0.3">
      <c r="A4161" s="2"/>
      <c r="B4161" s="65"/>
      <c r="C4161" s="65"/>
      <c r="D4161" s="2"/>
      <c r="E4161" s="2"/>
      <c r="F4161" s="2"/>
    </row>
    <row r="4162" spans="1:6" x14ac:dyDescent="0.3">
      <c r="A4162" s="63"/>
      <c r="B4162" s="64"/>
      <c r="C4162" s="64"/>
      <c r="D4162" s="64"/>
      <c r="E4162" s="63"/>
      <c r="F4162" s="64"/>
    </row>
    <row r="4163" spans="1:6" x14ac:dyDescent="0.3">
      <c r="A4163" s="2"/>
      <c r="B4163" s="65"/>
      <c r="C4163" s="65"/>
      <c r="D4163" s="2"/>
      <c r="E4163" s="2"/>
      <c r="F4163" s="2"/>
    </row>
    <row r="4164" spans="1:6" x14ac:dyDescent="0.3">
      <c r="A4164" s="63"/>
      <c r="B4164" s="64"/>
      <c r="C4164" s="64"/>
      <c r="D4164" s="64"/>
      <c r="E4164" s="63"/>
      <c r="F4164" s="64"/>
    </row>
    <row r="4165" spans="1:6" x14ac:dyDescent="0.3">
      <c r="A4165" s="2"/>
      <c r="B4165" s="65"/>
      <c r="C4165" s="65"/>
      <c r="D4165" s="2"/>
      <c r="E4165" s="2"/>
      <c r="F4165" s="2"/>
    </row>
    <row r="4166" spans="1:6" x14ac:dyDescent="0.3">
      <c r="A4166" s="63"/>
      <c r="B4166" s="64"/>
      <c r="C4166" s="64"/>
      <c r="D4166" s="64"/>
      <c r="E4166" s="63"/>
      <c r="F4166" s="64"/>
    </row>
    <row r="4167" spans="1:6" x14ac:dyDescent="0.3">
      <c r="A4167" s="2"/>
      <c r="B4167" s="65"/>
      <c r="C4167" s="65"/>
      <c r="D4167" s="2"/>
      <c r="E4167" s="2"/>
      <c r="F4167" s="2"/>
    </row>
    <row r="4168" spans="1:6" x14ac:dyDescent="0.3">
      <c r="A4168" s="63"/>
      <c r="B4168" s="64"/>
      <c r="C4168" s="64"/>
      <c r="D4168" s="64"/>
      <c r="E4168" s="63"/>
      <c r="F4168" s="64"/>
    </row>
    <row r="4169" spans="1:6" x14ac:dyDescent="0.3">
      <c r="A4169" s="2"/>
      <c r="B4169" s="65"/>
      <c r="C4169" s="65"/>
      <c r="D4169" s="2"/>
      <c r="E4169" s="2"/>
      <c r="F4169" s="2"/>
    </row>
    <row r="4170" spans="1:6" x14ac:dyDescent="0.3">
      <c r="A4170" s="63"/>
      <c r="B4170" s="64"/>
      <c r="C4170" s="64"/>
      <c r="D4170" s="64"/>
      <c r="E4170" s="63"/>
      <c r="F4170" s="64"/>
    </row>
    <row r="4171" spans="1:6" x14ac:dyDescent="0.3">
      <c r="A4171" s="2"/>
      <c r="B4171" s="65"/>
      <c r="C4171" s="65"/>
      <c r="D4171" s="2"/>
      <c r="E4171" s="2"/>
      <c r="F4171" s="2"/>
    </row>
    <row r="4172" spans="1:6" x14ac:dyDescent="0.3">
      <c r="A4172" s="63"/>
      <c r="B4172" s="64"/>
      <c r="C4172" s="64"/>
      <c r="D4172" s="64"/>
      <c r="E4172" s="63"/>
      <c r="F4172" s="64"/>
    </row>
    <row r="4173" spans="1:6" x14ac:dyDescent="0.3">
      <c r="A4173" s="2"/>
      <c r="B4173" s="65"/>
      <c r="C4173" s="65"/>
      <c r="D4173" s="2"/>
      <c r="E4173" s="2"/>
      <c r="F4173" s="2"/>
    </row>
    <row r="4174" spans="1:6" x14ac:dyDescent="0.3">
      <c r="A4174" s="63"/>
      <c r="B4174" s="64"/>
      <c r="C4174" s="64"/>
      <c r="D4174" s="64"/>
      <c r="E4174" s="63"/>
      <c r="F4174" s="64"/>
    </row>
    <row r="4175" spans="1:6" x14ac:dyDescent="0.3">
      <c r="A4175" s="2"/>
      <c r="B4175" s="65"/>
      <c r="C4175" s="65"/>
      <c r="D4175" s="2"/>
      <c r="E4175" s="2"/>
      <c r="F4175" s="2"/>
    </row>
    <row r="4176" spans="1:6" x14ac:dyDescent="0.3">
      <c r="A4176" s="63"/>
      <c r="B4176" s="64"/>
      <c r="C4176" s="64"/>
      <c r="D4176" s="64"/>
      <c r="E4176" s="63"/>
      <c r="F4176" s="64"/>
    </row>
    <row r="4177" spans="1:6" x14ac:dyDescent="0.3">
      <c r="A4177" s="2"/>
      <c r="B4177" s="65"/>
      <c r="C4177" s="65"/>
      <c r="D4177" s="2"/>
      <c r="E4177" s="2"/>
      <c r="F4177" s="2"/>
    </row>
    <row r="4178" spans="1:6" x14ac:dyDescent="0.3">
      <c r="A4178" s="63"/>
      <c r="B4178" s="64"/>
      <c r="C4178" s="64"/>
      <c r="D4178" s="64"/>
      <c r="E4178" s="63"/>
      <c r="F4178" s="64"/>
    </row>
    <row r="4179" spans="1:6" x14ac:dyDescent="0.3">
      <c r="A4179" s="2"/>
      <c r="B4179" s="65"/>
      <c r="C4179" s="65"/>
      <c r="D4179" s="2"/>
      <c r="E4179" s="2"/>
      <c r="F4179" s="2"/>
    </row>
    <row r="4180" spans="1:6" x14ac:dyDescent="0.3">
      <c r="A4180" s="63"/>
      <c r="B4180" s="64"/>
      <c r="C4180" s="64"/>
      <c r="D4180" s="64"/>
      <c r="E4180" s="63"/>
      <c r="F4180" s="64"/>
    </row>
    <row r="4181" spans="1:6" x14ac:dyDescent="0.3">
      <c r="A4181" s="2"/>
      <c r="B4181" s="65"/>
      <c r="C4181" s="65"/>
      <c r="D4181" s="2"/>
      <c r="E4181" s="2"/>
      <c r="F4181" s="2"/>
    </row>
    <row r="4182" spans="1:6" x14ac:dyDescent="0.3">
      <c r="A4182" s="63"/>
      <c r="B4182" s="64"/>
      <c r="C4182" s="64"/>
      <c r="D4182" s="64"/>
      <c r="E4182" s="63"/>
      <c r="F4182" s="64"/>
    </row>
    <row r="4183" spans="1:6" x14ac:dyDescent="0.3">
      <c r="A4183" s="2"/>
      <c r="B4183" s="65"/>
      <c r="C4183" s="65"/>
      <c r="D4183" s="2"/>
      <c r="E4183" s="2"/>
      <c r="F4183" s="2"/>
    </row>
    <row r="4184" spans="1:6" x14ac:dyDescent="0.3">
      <c r="A4184" s="63"/>
      <c r="B4184" s="64"/>
      <c r="C4184" s="64"/>
      <c r="D4184" s="64"/>
      <c r="E4184" s="63"/>
      <c r="F4184" s="64"/>
    </row>
    <row r="4185" spans="1:6" x14ac:dyDescent="0.3">
      <c r="A4185" s="2"/>
      <c r="B4185" s="65"/>
      <c r="C4185" s="65"/>
      <c r="D4185" s="2"/>
      <c r="E4185" s="2"/>
      <c r="F4185" s="2"/>
    </row>
    <row r="4186" spans="1:6" x14ac:dyDescent="0.3">
      <c r="A4186" s="63"/>
      <c r="B4186" s="64"/>
      <c r="C4186" s="64"/>
      <c r="D4186" s="64"/>
      <c r="E4186" s="63"/>
      <c r="F4186" s="64"/>
    </row>
    <row r="4187" spans="1:6" x14ac:dyDescent="0.3">
      <c r="A4187" s="2"/>
      <c r="B4187" s="65"/>
      <c r="C4187" s="65"/>
      <c r="D4187" s="2"/>
      <c r="E4187" s="2"/>
      <c r="F4187" s="2"/>
    </row>
    <row r="4188" spans="1:6" x14ac:dyDescent="0.3">
      <c r="A4188" s="63"/>
      <c r="B4188" s="64"/>
      <c r="C4188" s="64"/>
      <c r="D4188" s="64"/>
      <c r="E4188" s="63"/>
      <c r="F4188" s="64"/>
    </row>
    <row r="4189" spans="1:6" x14ac:dyDescent="0.3">
      <c r="A4189" s="2"/>
      <c r="B4189" s="65"/>
      <c r="C4189" s="65"/>
      <c r="D4189" s="2"/>
      <c r="E4189" s="2"/>
      <c r="F4189" s="2"/>
    </row>
    <row r="4190" spans="1:6" x14ac:dyDescent="0.3">
      <c r="A4190" s="63"/>
      <c r="B4190" s="64"/>
      <c r="C4190" s="64"/>
      <c r="D4190" s="64"/>
      <c r="E4190" s="63"/>
      <c r="F4190" s="64"/>
    </row>
    <row r="4191" spans="1:6" x14ac:dyDescent="0.3">
      <c r="A4191" s="2"/>
      <c r="B4191" s="65"/>
      <c r="C4191" s="65"/>
      <c r="D4191" s="2"/>
      <c r="E4191" s="2"/>
      <c r="F4191" s="2"/>
    </row>
    <row r="4192" spans="1:6" x14ac:dyDescent="0.3">
      <c r="A4192" s="63"/>
      <c r="B4192" s="64"/>
      <c r="C4192" s="64"/>
      <c r="D4192" s="64"/>
      <c r="E4192" s="63"/>
      <c r="F4192" s="64"/>
    </row>
    <row r="4193" spans="1:6" x14ac:dyDescent="0.3">
      <c r="A4193" s="2"/>
      <c r="B4193" s="65"/>
      <c r="C4193" s="65"/>
      <c r="D4193" s="2"/>
      <c r="E4193" s="2"/>
      <c r="F4193" s="2"/>
    </row>
    <row r="4194" spans="1:6" x14ac:dyDescent="0.3">
      <c r="A4194" s="63"/>
      <c r="B4194" s="64"/>
      <c r="C4194" s="64"/>
      <c r="D4194" s="64"/>
      <c r="E4194" s="63"/>
      <c r="F4194" s="64"/>
    </row>
    <row r="4195" spans="1:6" x14ac:dyDescent="0.3">
      <c r="A4195" s="2"/>
      <c r="B4195" s="65"/>
      <c r="C4195" s="65"/>
      <c r="D4195" s="2"/>
      <c r="E4195" s="2"/>
      <c r="F4195" s="2"/>
    </row>
    <row r="4196" spans="1:6" x14ac:dyDescent="0.3">
      <c r="A4196" s="63"/>
      <c r="B4196" s="64"/>
      <c r="C4196" s="64"/>
      <c r="D4196" s="64"/>
      <c r="E4196" s="63"/>
      <c r="F4196" s="64"/>
    </row>
    <row r="4197" spans="1:6" x14ac:dyDescent="0.3">
      <c r="A4197" s="2"/>
      <c r="B4197" s="65"/>
      <c r="C4197" s="65"/>
      <c r="D4197" s="2"/>
      <c r="E4197" s="2"/>
      <c r="F4197" s="2"/>
    </row>
    <row r="4198" spans="1:6" x14ac:dyDescent="0.3">
      <c r="A4198" s="63"/>
      <c r="B4198" s="64"/>
      <c r="C4198" s="64"/>
      <c r="D4198" s="64"/>
      <c r="E4198" s="63"/>
      <c r="F4198" s="64"/>
    </row>
    <row r="4199" spans="1:6" x14ac:dyDescent="0.3">
      <c r="A4199" s="2"/>
      <c r="B4199" s="65"/>
      <c r="C4199" s="65"/>
      <c r="D4199" s="2"/>
      <c r="E4199" s="2"/>
      <c r="F4199" s="2"/>
    </row>
    <row r="4200" spans="1:6" x14ac:dyDescent="0.3">
      <c r="A4200" s="63"/>
      <c r="B4200" s="64"/>
      <c r="C4200" s="64"/>
      <c r="D4200" s="64"/>
      <c r="E4200" s="63"/>
      <c r="F4200" s="64"/>
    </row>
    <row r="4201" spans="1:6" x14ac:dyDescent="0.3">
      <c r="A4201" s="2"/>
      <c r="B4201" s="65"/>
      <c r="C4201" s="65"/>
      <c r="D4201" s="2"/>
      <c r="E4201" s="2"/>
      <c r="F4201" s="2"/>
    </row>
    <row r="4202" spans="1:6" x14ac:dyDescent="0.3">
      <c r="A4202" s="63"/>
      <c r="B4202" s="64"/>
      <c r="C4202" s="64"/>
      <c r="D4202" s="64"/>
      <c r="E4202" s="63"/>
      <c r="F4202" s="64"/>
    </row>
    <row r="4203" spans="1:6" x14ac:dyDescent="0.3">
      <c r="A4203" s="2"/>
      <c r="B4203" s="65"/>
      <c r="C4203" s="65"/>
      <c r="D4203" s="2"/>
      <c r="E4203" s="2"/>
      <c r="F4203" s="2"/>
    </row>
    <row r="4204" spans="1:6" x14ac:dyDescent="0.3">
      <c r="A4204" s="63"/>
      <c r="B4204" s="64"/>
      <c r="C4204" s="64"/>
      <c r="D4204" s="64"/>
      <c r="E4204" s="63"/>
      <c r="F4204" s="64"/>
    </row>
    <row r="4205" spans="1:6" x14ac:dyDescent="0.3">
      <c r="A4205" s="2"/>
      <c r="B4205" s="65"/>
      <c r="C4205" s="65"/>
      <c r="D4205" s="2"/>
      <c r="E4205" s="2"/>
      <c r="F4205" s="2"/>
    </row>
    <row r="4206" spans="1:6" x14ac:dyDescent="0.3">
      <c r="A4206" s="63"/>
      <c r="B4206" s="64"/>
      <c r="C4206" s="64"/>
      <c r="D4206" s="64"/>
      <c r="E4206" s="63"/>
      <c r="F4206" s="64"/>
    </row>
    <row r="4207" spans="1:6" x14ac:dyDescent="0.3">
      <c r="A4207" s="2"/>
      <c r="B4207" s="65"/>
      <c r="C4207" s="65"/>
      <c r="D4207" s="2"/>
      <c r="E4207" s="2"/>
      <c r="F4207" s="2"/>
    </row>
    <row r="4208" spans="1:6" x14ac:dyDescent="0.3">
      <c r="A4208" s="63"/>
      <c r="B4208" s="64"/>
      <c r="C4208" s="64"/>
      <c r="D4208" s="64"/>
      <c r="E4208" s="63"/>
      <c r="F4208" s="64"/>
    </row>
    <row r="4209" spans="1:6" x14ac:dyDescent="0.3">
      <c r="A4209" s="2"/>
      <c r="B4209" s="65"/>
      <c r="C4209" s="65"/>
      <c r="D4209" s="2"/>
      <c r="E4209" s="2"/>
      <c r="F4209" s="2"/>
    </row>
    <row r="4210" spans="1:6" x14ac:dyDescent="0.3">
      <c r="A4210" s="63"/>
      <c r="B4210" s="64"/>
      <c r="C4210" s="64"/>
      <c r="D4210" s="64"/>
      <c r="E4210" s="63"/>
      <c r="F4210" s="64"/>
    </row>
    <row r="4211" spans="1:6" x14ac:dyDescent="0.3">
      <c r="A4211" s="2"/>
      <c r="B4211" s="65"/>
      <c r="C4211" s="65"/>
      <c r="D4211" s="2"/>
      <c r="E4211" s="2"/>
      <c r="F4211" s="2"/>
    </row>
    <row r="4212" spans="1:6" x14ac:dyDescent="0.3">
      <c r="A4212" s="63"/>
      <c r="B4212" s="64"/>
      <c r="C4212" s="64"/>
      <c r="D4212" s="64"/>
      <c r="E4212" s="63"/>
      <c r="F4212" s="64"/>
    </row>
    <row r="4213" spans="1:6" x14ac:dyDescent="0.3">
      <c r="A4213" s="2"/>
      <c r="B4213" s="65"/>
      <c r="C4213" s="65"/>
      <c r="D4213" s="2"/>
      <c r="E4213" s="2"/>
      <c r="F4213" s="2"/>
    </row>
    <row r="4214" spans="1:6" x14ac:dyDescent="0.3">
      <c r="A4214" s="63"/>
      <c r="B4214" s="64"/>
      <c r="C4214" s="64"/>
      <c r="D4214" s="64"/>
      <c r="E4214" s="63"/>
      <c r="F4214" s="64"/>
    </row>
    <row r="4215" spans="1:6" x14ac:dyDescent="0.3">
      <c r="A4215" s="2"/>
      <c r="B4215" s="65"/>
      <c r="C4215" s="65"/>
      <c r="D4215" s="2"/>
      <c r="E4215" s="2"/>
      <c r="F4215" s="2"/>
    </row>
    <row r="4216" spans="1:6" x14ac:dyDescent="0.3">
      <c r="A4216" s="63"/>
      <c r="B4216" s="64"/>
      <c r="C4216" s="64"/>
      <c r="D4216" s="64"/>
      <c r="E4216" s="63"/>
      <c r="F4216" s="64"/>
    </row>
    <row r="4217" spans="1:6" x14ac:dyDescent="0.3">
      <c r="A4217" s="2"/>
      <c r="B4217" s="65"/>
      <c r="C4217" s="65"/>
      <c r="D4217" s="2"/>
      <c r="E4217" s="2"/>
      <c r="F4217" s="2"/>
    </row>
    <row r="4218" spans="1:6" x14ac:dyDescent="0.3">
      <c r="A4218" s="63"/>
      <c r="B4218" s="64"/>
      <c r="C4218" s="64"/>
      <c r="D4218" s="64"/>
      <c r="E4218" s="63"/>
      <c r="F4218" s="64"/>
    </row>
    <row r="4219" spans="1:6" x14ac:dyDescent="0.3">
      <c r="A4219" s="2"/>
      <c r="B4219" s="65"/>
      <c r="C4219" s="65"/>
      <c r="D4219" s="2"/>
      <c r="E4219" s="2"/>
      <c r="F4219" s="2"/>
    </row>
    <row r="4220" spans="1:6" x14ac:dyDescent="0.3">
      <c r="A4220" s="63"/>
      <c r="B4220" s="64"/>
      <c r="C4220" s="64"/>
      <c r="D4220" s="64"/>
      <c r="E4220" s="63"/>
      <c r="F4220" s="64"/>
    </row>
    <row r="4221" spans="1:6" x14ac:dyDescent="0.3">
      <c r="A4221" s="2"/>
      <c r="B4221" s="65"/>
      <c r="C4221" s="65"/>
      <c r="D4221" s="2"/>
      <c r="E4221" s="2"/>
      <c r="F4221" s="2"/>
    </row>
    <row r="4222" spans="1:6" x14ac:dyDescent="0.3">
      <c r="A4222" s="63"/>
      <c r="B4222" s="64"/>
      <c r="C4222" s="64"/>
      <c r="D4222" s="64"/>
      <c r="E4222" s="63"/>
      <c r="F4222" s="64"/>
    </row>
    <row r="4223" spans="1:6" x14ac:dyDescent="0.3">
      <c r="A4223" s="2"/>
      <c r="B4223" s="65"/>
      <c r="C4223" s="65"/>
      <c r="D4223" s="2"/>
      <c r="E4223" s="2"/>
      <c r="F4223" s="2"/>
    </row>
    <row r="4224" spans="1:6" x14ac:dyDescent="0.3">
      <c r="A4224" s="63"/>
      <c r="B4224" s="64"/>
      <c r="C4224" s="64"/>
      <c r="D4224" s="64"/>
      <c r="E4224" s="63"/>
      <c r="F4224" s="64"/>
    </row>
    <row r="4225" spans="1:6" x14ac:dyDescent="0.3">
      <c r="A4225" s="2"/>
      <c r="B4225" s="65"/>
      <c r="C4225" s="65"/>
      <c r="D4225" s="2"/>
      <c r="E4225" s="2"/>
      <c r="F4225" s="2"/>
    </row>
    <row r="4226" spans="1:6" x14ac:dyDescent="0.3">
      <c r="A4226" s="63"/>
      <c r="B4226" s="64"/>
      <c r="C4226" s="64"/>
      <c r="D4226" s="64"/>
      <c r="E4226" s="63"/>
      <c r="F4226" s="64"/>
    </row>
    <row r="4227" spans="1:6" x14ac:dyDescent="0.3">
      <c r="A4227" s="2"/>
      <c r="B4227" s="65"/>
      <c r="C4227" s="65"/>
      <c r="D4227" s="2"/>
      <c r="E4227" s="2"/>
      <c r="F4227" s="2"/>
    </row>
    <row r="4228" spans="1:6" x14ac:dyDescent="0.3">
      <c r="A4228" s="63"/>
      <c r="B4228" s="64"/>
      <c r="C4228" s="64"/>
      <c r="D4228" s="64"/>
      <c r="E4228" s="63"/>
      <c r="F4228" s="64"/>
    </row>
    <row r="4229" spans="1:6" x14ac:dyDescent="0.3">
      <c r="A4229" s="2"/>
      <c r="B4229" s="65"/>
      <c r="C4229" s="65"/>
      <c r="D4229" s="2"/>
      <c r="E4229" s="2"/>
      <c r="F4229" s="2"/>
    </row>
    <row r="4230" spans="1:6" x14ac:dyDescent="0.3">
      <c r="A4230" s="63"/>
      <c r="B4230" s="64"/>
      <c r="C4230" s="64"/>
      <c r="D4230" s="64"/>
      <c r="E4230" s="63"/>
      <c r="F4230" s="64"/>
    </row>
    <row r="4231" spans="1:6" x14ac:dyDescent="0.3">
      <c r="A4231" s="2"/>
      <c r="B4231" s="65"/>
      <c r="C4231" s="65"/>
      <c r="D4231" s="2"/>
      <c r="E4231" s="2"/>
      <c r="F4231" s="2"/>
    </row>
    <row r="4232" spans="1:6" x14ac:dyDescent="0.3">
      <c r="A4232" s="63"/>
      <c r="B4232" s="64"/>
      <c r="C4232" s="64"/>
      <c r="D4232" s="64"/>
      <c r="E4232" s="63"/>
      <c r="F4232" s="64"/>
    </row>
    <row r="4233" spans="1:6" x14ac:dyDescent="0.3">
      <c r="A4233" s="2"/>
      <c r="B4233" s="65"/>
      <c r="C4233" s="65"/>
      <c r="D4233" s="2"/>
      <c r="E4233" s="2"/>
      <c r="F4233" s="2"/>
    </row>
    <row r="4234" spans="1:6" x14ac:dyDescent="0.3">
      <c r="A4234" s="63"/>
      <c r="B4234" s="64"/>
      <c r="C4234" s="64"/>
      <c r="D4234" s="64"/>
      <c r="E4234" s="63"/>
      <c r="F4234" s="64"/>
    </row>
    <row r="4235" spans="1:6" x14ac:dyDescent="0.3">
      <c r="A4235" s="2"/>
      <c r="B4235" s="65"/>
      <c r="C4235" s="65"/>
      <c r="D4235" s="2"/>
      <c r="E4235" s="2"/>
      <c r="F4235" s="2"/>
    </row>
    <row r="4236" spans="1:6" x14ac:dyDescent="0.3">
      <c r="A4236" s="63"/>
      <c r="B4236" s="64"/>
      <c r="C4236" s="64"/>
      <c r="D4236" s="64"/>
      <c r="E4236" s="63"/>
      <c r="F4236" s="64"/>
    </row>
    <row r="4237" spans="1:6" x14ac:dyDescent="0.3">
      <c r="A4237" s="2"/>
      <c r="B4237" s="65"/>
      <c r="C4237" s="65"/>
      <c r="D4237" s="2"/>
      <c r="E4237" s="2"/>
      <c r="F4237" s="2"/>
    </row>
    <row r="4238" spans="1:6" x14ac:dyDescent="0.3">
      <c r="A4238" s="63"/>
      <c r="B4238" s="64"/>
      <c r="C4238" s="64"/>
      <c r="D4238" s="64"/>
      <c r="E4238" s="63"/>
      <c r="F4238" s="64"/>
    </row>
    <row r="4239" spans="1:6" x14ac:dyDescent="0.3">
      <c r="A4239" s="2"/>
      <c r="B4239" s="65"/>
      <c r="C4239" s="65"/>
      <c r="D4239" s="2"/>
      <c r="E4239" s="2"/>
      <c r="F4239" s="2"/>
    </row>
    <row r="4240" spans="1:6" x14ac:dyDescent="0.3">
      <c r="A4240" s="63"/>
      <c r="B4240" s="64"/>
      <c r="C4240" s="64"/>
      <c r="D4240" s="64"/>
      <c r="E4240" s="63"/>
      <c r="F4240" s="64"/>
    </row>
    <row r="4241" spans="1:6" x14ac:dyDescent="0.3">
      <c r="A4241" s="2"/>
      <c r="B4241" s="65"/>
      <c r="C4241" s="65"/>
      <c r="D4241" s="2"/>
      <c r="E4241" s="2"/>
      <c r="F4241" s="2"/>
    </row>
    <row r="4242" spans="1:6" x14ac:dyDescent="0.3">
      <c r="A4242" s="63"/>
      <c r="B4242" s="64"/>
      <c r="C4242" s="64"/>
      <c r="D4242" s="64"/>
      <c r="E4242" s="63"/>
      <c r="F4242" s="64"/>
    </row>
    <row r="4243" spans="1:6" x14ac:dyDescent="0.3">
      <c r="A4243" s="2"/>
      <c r="B4243" s="65"/>
      <c r="C4243" s="65"/>
      <c r="D4243" s="2"/>
      <c r="E4243" s="2"/>
      <c r="F4243" s="2"/>
    </row>
    <row r="4244" spans="1:6" x14ac:dyDescent="0.3">
      <c r="A4244" s="63"/>
      <c r="B4244" s="64"/>
      <c r="C4244" s="64"/>
      <c r="D4244" s="64"/>
      <c r="E4244" s="63"/>
      <c r="F4244" s="64"/>
    </row>
    <row r="4245" spans="1:6" x14ac:dyDescent="0.3">
      <c r="A4245" s="2"/>
      <c r="B4245" s="65"/>
      <c r="C4245" s="65"/>
      <c r="D4245" s="2"/>
      <c r="E4245" s="2"/>
      <c r="F4245" s="2"/>
    </row>
    <row r="4246" spans="1:6" x14ac:dyDescent="0.3">
      <c r="A4246" s="63"/>
      <c r="B4246" s="64"/>
      <c r="C4246" s="64"/>
      <c r="D4246" s="64"/>
      <c r="E4246" s="63"/>
      <c r="F4246" s="64"/>
    </row>
    <row r="4247" spans="1:6" x14ac:dyDescent="0.3">
      <c r="A4247" s="2"/>
      <c r="B4247" s="65"/>
      <c r="C4247" s="65"/>
      <c r="D4247" s="2"/>
      <c r="E4247" s="2"/>
      <c r="F4247" s="2"/>
    </row>
    <row r="4248" spans="1:6" x14ac:dyDescent="0.3">
      <c r="A4248" s="63"/>
      <c r="B4248" s="64"/>
      <c r="C4248" s="64"/>
      <c r="D4248" s="64"/>
      <c r="E4248" s="63"/>
      <c r="F4248" s="64"/>
    </row>
    <row r="4249" spans="1:6" x14ac:dyDescent="0.3">
      <c r="A4249" s="2"/>
      <c r="B4249" s="65"/>
      <c r="C4249" s="65"/>
      <c r="D4249" s="2"/>
      <c r="E4249" s="2"/>
      <c r="F4249" s="2"/>
    </row>
    <row r="4250" spans="1:6" x14ac:dyDescent="0.3">
      <c r="A4250" s="63"/>
      <c r="B4250" s="64"/>
      <c r="C4250" s="64"/>
      <c r="D4250" s="64"/>
      <c r="E4250" s="63"/>
      <c r="F4250" s="64"/>
    </row>
    <row r="4251" spans="1:6" x14ac:dyDescent="0.3">
      <c r="A4251" s="2"/>
      <c r="B4251" s="65"/>
      <c r="C4251" s="65"/>
      <c r="D4251" s="2"/>
      <c r="E4251" s="2"/>
      <c r="F4251" s="2"/>
    </row>
    <row r="4252" spans="1:6" x14ac:dyDescent="0.3">
      <c r="A4252" s="63"/>
      <c r="B4252" s="64"/>
      <c r="C4252" s="64"/>
      <c r="D4252" s="64"/>
      <c r="E4252" s="63"/>
      <c r="F4252" s="64"/>
    </row>
    <row r="4253" spans="1:6" x14ac:dyDescent="0.3">
      <c r="A4253" s="2"/>
      <c r="B4253" s="65"/>
      <c r="C4253" s="65"/>
      <c r="D4253" s="2"/>
      <c r="E4253" s="2"/>
      <c r="F4253" s="2"/>
    </row>
    <row r="4254" spans="1:6" x14ac:dyDescent="0.3">
      <c r="A4254" s="63"/>
      <c r="B4254" s="64"/>
      <c r="C4254" s="64"/>
      <c r="D4254" s="64"/>
      <c r="E4254" s="63"/>
      <c r="F4254" s="64"/>
    </row>
    <row r="4255" spans="1:6" x14ac:dyDescent="0.3">
      <c r="A4255" s="2"/>
      <c r="B4255" s="65"/>
      <c r="C4255" s="65"/>
      <c r="D4255" s="2"/>
      <c r="E4255" s="2"/>
      <c r="F4255" s="2"/>
    </row>
    <row r="4256" spans="1:6" x14ac:dyDescent="0.3">
      <c r="A4256" s="63"/>
      <c r="B4256" s="64"/>
      <c r="C4256" s="64"/>
      <c r="D4256" s="64"/>
      <c r="E4256" s="63"/>
      <c r="F4256" s="64"/>
    </row>
    <row r="4257" spans="1:6" x14ac:dyDescent="0.3">
      <c r="A4257" s="2"/>
      <c r="B4257" s="65"/>
      <c r="C4257" s="65"/>
      <c r="D4257" s="2"/>
      <c r="E4257" s="2"/>
      <c r="F4257" s="2"/>
    </row>
    <row r="4258" spans="1:6" x14ac:dyDescent="0.3">
      <c r="A4258" s="63"/>
      <c r="B4258" s="64"/>
      <c r="C4258" s="64"/>
      <c r="D4258" s="64"/>
      <c r="E4258" s="63"/>
      <c r="F4258" s="64"/>
    </row>
    <row r="4259" spans="1:6" x14ac:dyDescent="0.3">
      <c r="A4259" s="2"/>
      <c r="B4259" s="65"/>
      <c r="C4259" s="65"/>
      <c r="D4259" s="2"/>
      <c r="E4259" s="2"/>
      <c r="F4259" s="2"/>
    </row>
    <row r="4260" spans="1:6" x14ac:dyDescent="0.3">
      <c r="A4260" s="63"/>
      <c r="B4260" s="64"/>
      <c r="C4260" s="64"/>
      <c r="D4260" s="64"/>
      <c r="E4260" s="63"/>
      <c r="F4260" s="64"/>
    </row>
    <row r="4261" spans="1:6" x14ac:dyDescent="0.3">
      <c r="A4261" s="2"/>
      <c r="B4261" s="65"/>
      <c r="C4261" s="65"/>
      <c r="D4261" s="2"/>
      <c r="E4261" s="2"/>
      <c r="F4261" s="2"/>
    </row>
    <row r="4262" spans="1:6" x14ac:dyDescent="0.3">
      <c r="A4262" s="63"/>
      <c r="B4262" s="64"/>
      <c r="C4262" s="64"/>
      <c r="D4262" s="64"/>
      <c r="E4262" s="63"/>
      <c r="F4262" s="64"/>
    </row>
    <row r="4263" spans="1:6" x14ac:dyDescent="0.3">
      <c r="A4263" s="2"/>
      <c r="B4263" s="65"/>
      <c r="C4263" s="65"/>
      <c r="D4263" s="2"/>
      <c r="E4263" s="2"/>
      <c r="F4263" s="2"/>
    </row>
    <row r="4264" spans="1:6" x14ac:dyDescent="0.3">
      <c r="A4264" s="63"/>
      <c r="B4264" s="64"/>
      <c r="C4264" s="64"/>
      <c r="D4264" s="64"/>
      <c r="E4264" s="63"/>
      <c r="F4264" s="64"/>
    </row>
    <row r="4265" spans="1:6" x14ac:dyDescent="0.3">
      <c r="A4265" s="2"/>
      <c r="B4265" s="65"/>
      <c r="C4265" s="65"/>
      <c r="D4265" s="2"/>
      <c r="E4265" s="2"/>
      <c r="F4265" s="2"/>
    </row>
    <row r="4266" spans="1:6" x14ac:dyDescent="0.3">
      <c r="A4266" s="63"/>
      <c r="B4266" s="64"/>
      <c r="C4266" s="64"/>
      <c r="D4266" s="64"/>
      <c r="E4266" s="63"/>
      <c r="F4266" s="64"/>
    </row>
    <row r="4267" spans="1:6" x14ac:dyDescent="0.3">
      <c r="A4267" s="2"/>
      <c r="B4267" s="65"/>
      <c r="C4267" s="65"/>
      <c r="D4267" s="2"/>
      <c r="E4267" s="2"/>
      <c r="F4267" s="2"/>
    </row>
    <row r="4268" spans="1:6" x14ac:dyDescent="0.3">
      <c r="A4268" s="63"/>
      <c r="B4268" s="64"/>
      <c r="C4268" s="64"/>
      <c r="D4268" s="64"/>
      <c r="E4268" s="63"/>
      <c r="F4268" s="64"/>
    </row>
    <row r="4269" spans="1:6" x14ac:dyDescent="0.3">
      <c r="A4269" s="2"/>
      <c r="B4269" s="65"/>
      <c r="C4269" s="65"/>
      <c r="D4269" s="2"/>
      <c r="E4269" s="2"/>
      <c r="F4269" s="2"/>
    </row>
    <row r="4270" spans="1:6" x14ac:dyDescent="0.3">
      <c r="A4270" s="63"/>
      <c r="B4270" s="64"/>
      <c r="C4270" s="64"/>
      <c r="D4270" s="64"/>
      <c r="E4270" s="63"/>
      <c r="F4270" s="64"/>
    </row>
    <row r="4271" spans="1:6" x14ac:dyDescent="0.3">
      <c r="A4271" s="2"/>
      <c r="B4271" s="65"/>
      <c r="C4271" s="65"/>
      <c r="D4271" s="2"/>
      <c r="E4271" s="2"/>
      <c r="F4271" s="2"/>
    </row>
    <row r="4272" spans="1:6" x14ac:dyDescent="0.3">
      <c r="A4272" s="63"/>
      <c r="B4272" s="64"/>
      <c r="C4272" s="64"/>
      <c r="D4272" s="64"/>
      <c r="E4272" s="63"/>
      <c r="F4272" s="64"/>
    </row>
    <row r="4273" spans="1:6" x14ac:dyDescent="0.3">
      <c r="A4273" s="2"/>
      <c r="B4273" s="65"/>
      <c r="C4273" s="65"/>
      <c r="D4273" s="2"/>
      <c r="E4273" s="2"/>
      <c r="F4273" s="2"/>
    </row>
    <row r="4274" spans="1:6" x14ac:dyDescent="0.3">
      <c r="A4274" s="63"/>
      <c r="B4274" s="64"/>
      <c r="C4274" s="64"/>
      <c r="D4274" s="64"/>
      <c r="E4274" s="63"/>
      <c r="F4274" s="64"/>
    </row>
    <row r="4275" spans="1:6" x14ac:dyDescent="0.3">
      <c r="A4275" s="2"/>
      <c r="B4275" s="65"/>
      <c r="C4275" s="65"/>
      <c r="D4275" s="2"/>
      <c r="E4275" s="2"/>
      <c r="F4275" s="2"/>
    </row>
    <row r="4276" spans="1:6" x14ac:dyDescent="0.3">
      <c r="A4276" s="63"/>
      <c r="B4276" s="64"/>
      <c r="C4276" s="64"/>
      <c r="D4276" s="64"/>
      <c r="E4276" s="63"/>
      <c r="F4276" s="64"/>
    </row>
    <row r="4277" spans="1:6" x14ac:dyDescent="0.3">
      <c r="A4277" s="2"/>
      <c r="B4277" s="65"/>
      <c r="C4277" s="65"/>
      <c r="D4277" s="2"/>
      <c r="E4277" s="2"/>
      <c r="F4277" s="2"/>
    </row>
    <row r="4278" spans="1:6" x14ac:dyDescent="0.3">
      <c r="A4278" s="63"/>
      <c r="B4278" s="64"/>
      <c r="C4278" s="64"/>
      <c r="D4278" s="64"/>
      <c r="E4278" s="63"/>
      <c r="F4278" s="64"/>
    </row>
    <row r="4279" spans="1:6" x14ac:dyDescent="0.3">
      <c r="A4279" s="2"/>
      <c r="B4279" s="65"/>
      <c r="C4279" s="65"/>
      <c r="D4279" s="2"/>
      <c r="E4279" s="2"/>
      <c r="F4279" s="2"/>
    </row>
    <row r="4280" spans="1:6" x14ac:dyDescent="0.3">
      <c r="A4280" s="63"/>
      <c r="B4280" s="64"/>
      <c r="C4280" s="64"/>
      <c r="D4280" s="64"/>
      <c r="E4280" s="63"/>
      <c r="F4280" s="64"/>
    </row>
    <row r="4281" spans="1:6" x14ac:dyDescent="0.3">
      <c r="A4281" s="2"/>
      <c r="B4281" s="65"/>
      <c r="C4281" s="65"/>
      <c r="D4281" s="2"/>
      <c r="E4281" s="2"/>
      <c r="F4281" s="2"/>
    </row>
    <row r="4282" spans="1:6" x14ac:dyDescent="0.3">
      <c r="A4282" s="63"/>
      <c r="B4282" s="64"/>
      <c r="C4282" s="64"/>
      <c r="D4282" s="64"/>
      <c r="E4282" s="63"/>
      <c r="F4282" s="64"/>
    </row>
    <row r="4283" spans="1:6" x14ac:dyDescent="0.3">
      <c r="A4283" s="2"/>
      <c r="B4283" s="65"/>
      <c r="C4283" s="65"/>
      <c r="D4283" s="2"/>
      <c r="E4283" s="2"/>
      <c r="F4283" s="2"/>
    </row>
    <row r="4284" spans="1:6" x14ac:dyDescent="0.3">
      <c r="A4284" s="63"/>
      <c r="B4284" s="64"/>
      <c r="C4284" s="64"/>
      <c r="D4284" s="64"/>
      <c r="E4284" s="63"/>
      <c r="F4284" s="64"/>
    </row>
    <row r="4285" spans="1:6" x14ac:dyDescent="0.3">
      <c r="A4285" s="2"/>
      <c r="B4285" s="65"/>
      <c r="C4285" s="65"/>
      <c r="D4285" s="2"/>
      <c r="E4285" s="2"/>
      <c r="F4285" s="2"/>
    </row>
    <row r="4286" spans="1:6" x14ac:dyDescent="0.3">
      <c r="A4286" s="63"/>
      <c r="B4286" s="64"/>
      <c r="C4286" s="64"/>
      <c r="D4286" s="64"/>
      <c r="E4286" s="63"/>
      <c r="F4286" s="64"/>
    </row>
    <row r="4287" spans="1:6" x14ac:dyDescent="0.3">
      <c r="A4287" s="2"/>
      <c r="B4287" s="65"/>
      <c r="C4287" s="65"/>
      <c r="D4287" s="2"/>
      <c r="E4287" s="2"/>
      <c r="F4287" s="2"/>
    </row>
    <row r="4288" spans="1:6" x14ac:dyDescent="0.3">
      <c r="A4288" s="63"/>
      <c r="B4288" s="64"/>
      <c r="C4288" s="64"/>
      <c r="D4288" s="64"/>
      <c r="E4288" s="63"/>
      <c r="F4288" s="64"/>
    </row>
    <row r="4289" spans="1:6" x14ac:dyDescent="0.3">
      <c r="A4289" s="2"/>
      <c r="B4289" s="65"/>
      <c r="C4289" s="65"/>
      <c r="D4289" s="2"/>
      <c r="E4289" s="2"/>
      <c r="F4289" s="2"/>
    </row>
    <row r="4290" spans="1:6" x14ac:dyDescent="0.3">
      <c r="A4290" s="63"/>
      <c r="B4290" s="64"/>
      <c r="C4290" s="64"/>
      <c r="D4290" s="64"/>
      <c r="E4290" s="63"/>
      <c r="F4290" s="64"/>
    </row>
    <row r="4291" spans="1:6" x14ac:dyDescent="0.3">
      <c r="A4291" s="2"/>
      <c r="B4291" s="65"/>
      <c r="C4291" s="65"/>
      <c r="D4291" s="2"/>
      <c r="E4291" s="2"/>
      <c r="F4291" s="2"/>
    </row>
    <row r="4292" spans="1:6" x14ac:dyDescent="0.3">
      <c r="A4292" s="63"/>
      <c r="B4292" s="64"/>
      <c r="C4292" s="64"/>
      <c r="D4292" s="64"/>
      <c r="E4292" s="63"/>
      <c r="F4292" s="64"/>
    </row>
    <row r="4293" spans="1:6" x14ac:dyDescent="0.3">
      <c r="A4293" s="2"/>
      <c r="B4293" s="65"/>
      <c r="C4293" s="65"/>
      <c r="D4293" s="2"/>
      <c r="E4293" s="2"/>
      <c r="F4293" s="2"/>
    </row>
    <row r="4294" spans="1:6" x14ac:dyDescent="0.3">
      <c r="A4294" s="63"/>
      <c r="B4294" s="64"/>
      <c r="C4294" s="64"/>
      <c r="D4294" s="64"/>
      <c r="E4294" s="63"/>
      <c r="F4294" s="64"/>
    </row>
    <row r="4295" spans="1:6" x14ac:dyDescent="0.3">
      <c r="A4295" s="2"/>
      <c r="B4295" s="65"/>
      <c r="C4295" s="65"/>
      <c r="D4295" s="2"/>
      <c r="E4295" s="2"/>
      <c r="F4295" s="2"/>
    </row>
    <row r="4296" spans="1:6" x14ac:dyDescent="0.3">
      <c r="A4296" s="63"/>
      <c r="B4296" s="64"/>
      <c r="C4296" s="64"/>
      <c r="D4296" s="64"/>
      <c r="E4296" s="63"/>
      <c r="F4296" s="64"/>
    </row>
    <row r="4297" spans="1:6" x14ac:dyDescent="0.3">
      <c r="A4297" s="2"/>
      <c r="B4297" s="65"/>
      <c r="C4297" s="65"/>
      <c r="D4297" s="2"/>
      <c r="E4297" s="2"/>
      <c r="F4297" s="2"/>
    </row>
    <row r="4298" spans="1:6" x14ac:dyDescent="0.3">
      <c r="A4298" s="63"/>
      <c r="B4298" s="64"/>
      <c r="C4298" s="64"/>
      <c r="D4298" s="64"/>
      <c r="E4298" s="63"/>
      <c r="F4298" s="64"/>
    </row>
    <row r="4299" spans="1:6" x14ac:dyDescent="0.3">
      <c r="A4299" s="2"/>
      <c r="B4299" s="65"/>
      <c r="C4299" s="65"/>
      <c r="D4299" s="2"/>
      <c r="E4299" s="2"/>
      <c r="F4299" s="2"/>
    </row>
    <row r="4300" spans="1:6" x14ac:dyDescent="0.3">
      <c r="A4300" s="63"/>
      <c r="B4300" s="64"/>
      <c r="C4300" s="64"/>
      <c r="D4300" s="64"/>
      <c r="E4300" s="63"/>
      <c r="F4300" s="64"/>
    </row>
    <row r="4301" spans="1:6" x14ac:dyDescent="0.3">
      <c r="A4301" s="2"/>
      <c r="B4301" s="65"/>
      <c r="C4301" s="65"/>
      <c r="D4301" s="2"/>
      <c r="E4301" s="2"/>
      <c r="F4301" s="2"/>
    </row>
    <row r="4302" spans="1:6" x14ac:dyDescent="0.3">
      <c r="A4302" s="63"/>
      <c r="B4302" s="64"/>
      <c r="C4302" s="64"/>
      <c r="D4302" s="64"/>
      <c r="E4302" s="63"/>
      <c r="F4302" s="64"/>
    </row>
    <row r="4303" spans="1:6" x14ac:dyDescent="0.3">
      <c r="A4303" s="2"/>
      <c r="B4303" s="65"/>
      <c r="C4303" s="65"/>
      <c r="D4303" s="2"/>
      <c r="E4303" s="2"/>
      <c r="F4303" s="2"/>
    </row>
    <row r="4304" spans="1:6" x14ac:dyDescent="0.3">
      <c r="A4304" s="63"/>
      <c r="B4304" s="64"/>
      <c r="C4304" s="64"/>
      <c r="D4304" s="64"/>
      <c r="E4304" s="63"/>
      <c r="F4304" s="64"/>
    </row>
    <row r="4305" spans="1:6" x14ac:dyDescent="0.3">
      <c r="A4305" s="2"/>
      <c r="B4305" s="65"/>
      <c r="C4305" s="65"/>
      <c r="D4305" s="2"/>
      <c r="E4305" s="2"/>
      <c r="F4305" s="2"/>
    </row>
    <row r="4306" spans="1:6" x14ac:dyDescent="0.3">
      <c r="A4306" s="63"/>
      <c r="B4306" s="64"/>
      <c r="C4306" s="64"/>
      <c r="D4306" s="64"/>
      <c r="E4306" s="63"/>
      <c r="F4306" s="64"/>
    </row>
    <row r="4307" spans="1:6" x14ac:dyDescent="0.3">
      <c r="A4307" s="2"/>
      <c r="B4307" s="65"/>
      <c r="C4307" s="65"/>
      <c r="D4307" s="2"/>
      <c r="E4307" s="2"/>
      <c r="F4307" s="2"/>
    </row>
    <row r="4308" spans="1:6" x14ac:dyDescent="0.3">
      <c r="A4308" s="63"/>
      <c r="B4308" s="64"/>
      <c r="C4308" s="64"/>
      <c r="D4308" s="64"/>
      <c r="E4308" s="63"/>
      <c r="F4308" s="64"/>
    </row>
    <row r="4309" spans="1:6" x14ac:dyDescent="0.3">
      <c r="A4309" s="2"/>
      <c r="B4309" s="65"/>
      <c r="C4309" s="65"/>
      <c r="D4309" s="2"/>
      <c r="E4309" s="2"/>
      <c r="F4309" s="2"/>
    </row>
    <row r="4310" spans="1:6" x14ac:dyDescent="0.3">
      <c r="A4310" s="63"/>
      <c r="B4310" s="64"/>
      <c r="C4310" s="64"/>
      <c r="D4310" s="64"/>
      <c r="E4310" s="63"/>
      <c r="F4310" s="64"/>
    </row>
    <row r="4311" spans="1:6" x14ac:dyDescent="0.3">
      <c r="A4311" s="2"/>
      <c r="B4311" s="65"/>
      <c r="C4311" s="65"/>
      <c r="D4311" s="2"/>
      <c r="E4311" s="2"/>
      <c r="F4311" s="2"/>
    </row>
    <row r="4312" spans="1:6" x14ac:dyDescent="0.3">
      <c r="A4312" s="63"/>
      <c r="B4312" s="64"/>
      <c r="C4312" s="64"/>
      <c r="D4312" s="64"/>
      <c r="E4312" s="63"/>
      <c r="F4312" s="64"/>
    </row>
    <row r="4313" spans="1:6" x14ac:dyDescent="0.3">
      <c r="A4313" s="2"/>
      <c r="B4313" s="65"/>
      <c r="C4313" s="65"/>
      <c r="D4313" s="2"/>
      <c r="E4313" s="2"/>
      <c r="F4313" s="2"/>
    </row>
    <row r="4314" spans="1:6" x14ac:dyDescent="0.3">
      <c r="A4314" s="63"/>
      <c r="B4314" s="64"/>
      <c r="C4314" s="64"/>
      <c r="D4314" s="64"/>
      <c r="E4314" s="63"/>
      <c r="F4314" s="64"/>
    </row>
    <row r="4315" spans="1:6" x14ac:dyDescent="0.3">
      <c r="A4315" s="2"/>
      <c r="B4315" s="65"/>
      <c r="C4315" s="65"/>
      <c r="D4315" s="2"/>
      <c r="E4315" s="2"/>
      <c r="F4315" s="2"/>
    </row>
    <row r="4316" spans="1:6" x14ac:dyDescent="0.3">
      <c r="A4316" s="63"/>
      <c r="B4316" s="64"/>
      <c r="C4316" s="64"/>
      <c r="D4316" s="64"/>
      <c r="E4316" s="63"/>
      <c r="F4316" s="64"/>
    </row>
    <row r="4317" spans="1:6" x14ac:dyDescent="0.3">
      <c r="A4317" s="2"/>
      <c r="B4317" s="65"/>
      <c r="C4317" s="65"/>
      <c r="D4317" s="2"/>
      <c r="E4317" s="2"/>
      <c r="F4317" s="2"/>
    </row>
    <row r="4318" spans="1:6" x14ac:dyDescent="0.3">
      <c r="A4318" s="63"/>
      <c r="B4318" s="64"/>
      <c r="C4318" s="64"/>
      <c r="D4318" s="64"/>
      <c r="E4318" s="63"/>
      <c r="F4318" s="64"/>
    </row>
    <row r="4319" spans="1:6" x14ac:dyDescent="0.3">
      <c r="A4319" s="2"/>
      <c r="B4319" s="65"/>
      <c r="C4319" s="65"/>
      <c r="D4319" s="2"/>
      <c r="E4319" s="2"/>
      <c r="F4319" s="2"/>
    </row>
    <row r="4320" spans="1:6" x14ac:dyDescent="0.3">
      <c r="A4320" s="63"/>
      <c r="B4320" s="64"/>
      <c r="C4320" s="64"/>
      <c r="D4320" s="64"/>
      <c r="E4320" s="63"/>
      <c r="F4320" s="64"/>
    </row>
    <row r="4321" spans="1:6" x14ac:dyDescent="0.3">
      <c r="A4321" s="2"/>
      <c r="B4321" s="65"/>
      <c r="C4321" s="65"/>
      <c r="D4321" s="2"/>
      <c r="E4321" s="2"/>
      <c r="F4321" s="2"/>
    </row>
    <row r="4322" spans="1:6" x14ac:dyDescent="0.3">
      <c r="A4322" s="63"/>
      <c r="B4322" s="64"/>
      <c r="C4322" s="64"/>
      <c r="D4322" s="64"/>
      <c r="E4322" s="63"/>
      <c r="F4322" s="64"/>
    </row>
    <row r="4323" spans="1:6" x14ac:dyDescent="0.3">
      <c r="A4323" s="2"/>
      <c r="B4323" s="65"/>
      <c r="C4323" s="65"/>
      <c r="D4323" s="2"/>
      <c r="E4323" s="2"/>
      <c r="F4323" s="2"/>
    </row>
    <row r="4324" spans="1:6" x14ac:dyDescent="0.3">
      <c r="A4324" s="63"/>
      <c r="B4324" s="64"/>
      <c r="C4324" s="64"/>
      <c r="D4324" s="64"/>
      <c r="E4324" s="63"/>
      <c r="F4324" s="64"/>
    </row>
    <row r="4325" spans="1:6" x14ac:dyDescent="0.3">
      <c r="A4325" s="2"/>
      <c r="B4325" s="65"/>
      <c r="C4325" s="65"/>
      <c r="D4325" s="2"/>
      <c r="E4325" s="2"/>
      <c r="F4325" s="2"/>
    </row>
    <row r="4326" spans="1:6" x14ac:dyDescent="0.3">
      <c r="A4326" s="63"/>
      <c r="B4326" s="64"/>
      <c r="C4326" s="64"/>
      <c r="D4326" s="64"/>
      <c r="E4326" s="63"/>
      <c r="F4326" s="64"/>
    </row>
    <row r="4327" spans="1:6" x14ac:dyDescent="0.3">
      <c r="A4327" s="2"/>
      <c r="B4327" s="65"/>
      <c r="C4327" s="65"/>
      <c r="D4327" s="2"/>
      <c r="E4327" s="2"/>
      <c r="F4327" s="2"/>
    </row>
    <row r="4328" spans="1:6" x14ac:dyDescent="0.3">
      <c r="A4328" s="63"/>
      <c r="B4328" s="64"/>
      <c r="C4328" s="64"/>
      <c r="D4328" s="64"/>
      <c r="E4328" s="63"/>
      <c r="F4328" s="64"/>
    </row>
    <row r="4329" spans="1:6" x14ac:dyDescent="0.3">
      <c r="A4329" s="2"/>
      <c r="B4329" s="65"/>
      <c r="C4329" s="65"/>
      <c r="D4329" s="2"/>
      <c r="E4329" s="2"/>
      <c r="F4329" s="2"/>
    </row>
    <row r="4330" spans="1:6" x14ac:dyDescent="0.3">
      <c r="A4330" s="63"/>
      <c r="B4330" s="64"/>
      <c r="C4330" s="64"/>
      <c r="D4330" s="64"/>
      <c r="E4330" s="63"/>
      <c r="F4330" s="64"/>
    </row>
    <row r="4331" spans="1:6" x14ac:dyDescent="0.3">
      <c r="A4331" s="2"/>
      <c r="B4331" s="65"/>
      <c r="C4331" s="65"/>
      <c r="D4331" s="2"/>
      <c r="E4331" s="2"/>
      <c r="F4331" s="2"/>
    </row>
    <row r="4332" spans="1:6" x14ac:dyDescent="0.3">
      <c r="A4332" s="63"/>
      <c r="B4332" s="64"/>
      <c r="C4332" s="64"/>
      <c r="D4332" s="64"/>
      <c r="E4332" s="63"/>
      <c r="F4332" s="64"/>
    </row>
    <row r="4333" spans="1:6" x14ac:dyDescent="0.3">
      <c r="A4333" s="2"/>
      <c r="B4333" s="65"/>
      <c r="C4333" s="65"/>
      <c r="D4333" s="2"/>
      <c r="E4333" s="2"/>
      <c r="F4333" s="2"/>
    </row>
    <row r="4334" spans="1:6" x14ac:dyDescent="0.3">
      <c r="A4334" s="63"/>
      <c r="B4334" s="64"/>
      <c r="C4334" s="64"/>
      <c r="D4334" s="64"/>
      <c r="E4334" s="63"/>
      <c r="F4334" s="64"/>
    </row>
    <row r="4335" spans="1:6" x14ac:dyDescent="0.3">
      <c r="A4335" s="2"/>
      <c r="B4335" s="65"/>
      <c r="C4335" s="65"/>
      <c r="D4335" s="2"/>
      <c r="E4335" s="2"/>
      <c r="F4335" s="2"/>
    </row>
    <row r="4336" spans="1:6" x14ac:dyDescent="0.3">
      <c r="A4336" s="63"/>
      <c r="B4336" s="64"/>
      <c r="C4336" s="64"/>
      <c r="D4336" s="64"/>
      <c r="E4336" s="63"/>
      <c r="F4336" s="64"/>
    </row>
    <row r="4337" spans="1:6" x14ac:dyDescent="0.3">
      <c r="A4337" s="2"/>
      <c r="B4337" s="65"/>
      <c r="C4337" s="65"/>
      <c r="D4337" s="2"/>
      <c r="E4337" s="2"/>
      <c r="F4337" s="2"/>
    </row>
    <row r="4338" spans="1:6" x14ac:dyDescent="0.3">
      <c r="A4338" s="63"/>
      <c r="B4338" s="64"/>
      <c r="C4338" s="64"/>
      <c r="D4338" s="64"/>
      <c r="E4338" s="63"/>
      <c r="F4338" s="64"/>
    </row>
    <row r="4339" spans="1:6" x14ac:dyDescent="0.3">
      <c r="A4339" s="2"/>
      <c r="B4339" s="65"/>
      <c r="C4339" s="65"/>
      <c r="D4339" s="2"/>
      <c r="E4339" s="2"/>
      <c r="F4339" s="2"/>
    </row>
    <row r="4340" spans="1:6" x14ac:dyDescent="0.3">
      <c r="A4340" s="63"/>
      <c r="B4340" s="64"/>
      <c r="C4340" s="64"/>
      <c r="D4340" s="64"/>
      <c r="E4340" s="63"/>
      <c r="F4340" s="64"/>
    </row>
    <row r="4341" spans="1:6" x14ac:dyDescent="0.3">
      <c r="A4341" s="2"/>
      <c r="B4341" s="65"/>
      <c r="C4341" s="65"/>
      <c r="D4341" s="2"/>
      <c r="E4341" s="2"/>
      <c r="F4341" s="2"/>
    </row>
    <row r="4342" spans="1:6" x14ac:dyDescent="0.3">
      <c r="A4342" s="63"/>
      <c r="B4342" s="64"/>
      <c r="C4342" s="64"/>
      <c r="D4342" s="64"/>
      <c r="E4342" s="63"/>
      <c r="F4342" s="64"/>
    </row>
    <row r="4343" spans="1:6" x14ac:dyDescent="0.3">
      <c r="A4343" s="2"/>
      <c r="B4343" s="65"/>
      <c r="C4343" s="65"/>
      <c r="D4343" s="2"/>
      <c r="E4343" s="2"/>
      <c r="F4343" s="2"/>
    </row>
    <row r="4344" spans="1:6" x14ac:dyDescent="0.3">
      <c r="A4344" s="63"/>
      <c r="B4344" s="64"/>
      <c r="C4344" s="64"/>
      <c r="D4344" s="64"/>
      <c r="E4344" s="63"/>
      <c r="F4344" s="64"/>
    </row>
    <row r="4345" spans="1:6" x14ac:dyDescent="0.3">
      <c r="A4345" s="2"/>
      <c r="B4345" s="65"/>
      <c r="C4345" s="65"/>
      <c r="D4345" s="2"/>
      <c r="E4345" s="2"/>
      <c r="F4345" s="2"/>
    </row>
    <row r="4346" spans="1:6" x14ac:dyDescent="0.3">
      <c r="A4346" s="63"/>
      <c r="B4346" s="64"/>
      <c r="C4346" s="64"/>
      <c r="D4346" s="64"/>
      <c r="E4346" s="63"/>
      <c r="F4346" s="64"/>
    </row>
    <row r="4347" spans="1:6" x14ac:dyDescent="0.3">
      <c r="A4347" s="2"/>
      <c r="B4347" s="65"/>
      <c r="C4347" s="65"/>
      <c r="D4347" s="2"/>
      <c r="E4347" s="2"/>
      <c r="F4347" s="2"/>
    </row>
    <row r="4348" spans="1:6" x14ac:dyDescent="0.3">
      <c r="A4348" s="63"/>
      <c r="B4348" s="64"/>
      <c r="C4348" s="64"/>
      <c r="D4348" s="64"/>
      <c r="E4348" s="63"/>
      <c r="F4348" s="64"/>
    </row>
    <row r="4349" spans="1:6" x14ac:dyDescent="0.3">
      <c r="A4349" s="2"/>
      <c r="B4349" s="65"/>
      <c r="C4349" s="65"/>
      <c r="D4349" s="2"/>
      <c r="E4349" s="2"/>
      <c r="F4349" s="2"/>
    </row>
    <row r="4350" spans="1:6" x14ac:dyDescent="0.3">
      <c r="A4350" s="63"/>
      <c r="B4350" s="64"/>
      <c r="C4350" s="64"/>
      <c r="D4350" s="64"/>
      <c r="E4350" s="63"/>
      <c r="F4350" s="64"/>
    </row>
    <row r="4351" spans="1:6" x14ac:dyDescent="0.3">
      <c r="A4351" s="2"/>
      <c r="B4351" s="65"/>
      <c r="C4351" s="65"/>
      <c r="D4351" s="2"/>
      <c r="E4351" s="2"/>
      <c r="F4351" s="2"/>
    </row>
    <row r="4352" spans="1:6" x14ac:dyDescent="0.3">
      <c r="A4352" s="63"/>
      <c r="B4352" s="64"/>
      <c r="C4352" s="64"/>
      <c r="D4352" s="64"/>
      <c r="E4352" s="63"/>
      <c r="F4352" s="64"/>
    </row>
    <row r="4353" spans="1:6" x14ac:dyDescent="0.3">
      <c r="A4353" s="2"/>
      <c r="B4353" s="65"/>
      <c r="C4353" s="65"/>
      <c r="D4353" s="2"/>
      <c r="E4353" s="2"/>
      <c r="F4353" s="2"/>
    </row>
    <row r="4354" spans="1:6" x14ac:dyDescent="0.3">
      <c r="A4354" s="63"/>
      <c r="B4354" s="64"/>
      <c r="C4354" s="64"/>
      <c r="D4354" s="64"/>
      <c r="E4354" s="63"/>
      <c r="F4354" s="64"/>
    </row>
    <row r="4355" spans="1:6" x14ac:dyDescent="0.3">
      <c r="A4355" s="2"/>
      <c r="B4355" s="65"/>
      <c r="C4355" s="65"/>
      <c r="D4355" s="2"/>
      <c r="E4355" s="2"/>
      <c r="F4355" s="2"/>
    </row>
    <row r="4356" spans="1:6" x14ac:dyDescent="0.3">
      <c r="A4356" s="63"/>
      <c r="B4356" s="64"/>
      <c r="C4356" s="64"/>
      <c r="D4356" s="64"/>
      <c r="E4356" s="63"/>
      <c r="F4356" s="64"/>
    </row>
    <row r="4357" spans="1:6" x14ac:dyDescent="0.3">
      <c r="A4357" s="2"/>
      <c r="B4357" s="65"/>
      <c r="C4357" s="65"/>
      <c r="D4357" s="2"/>
      <c r="E4357" s="2"/>
      <c r="F4357" s="2"/>
    </row>
    <row r="4358" spans="1:6" x14ac:dyDescent="0.3">
      <c r="A4358" s="63"/>
      <c r="B4358" s="64"/>
      <c r="C4358" s="64"/>
      <c r="D4358" s="64"/>
      <c r="E4358" s="63"/>
      <c r="F4358" s="64"/>
    </row>
    <row r="4359" spans="1:6" x14ac:dyDescent="0.3">
      <c r="A4359" s="2"/>
      <c r="B4359" s="65"/>
      <c r="C4359" s="65"/>
      <c r="D4359" s="2"/>
      <c r="E4359" s="2"/>
      <c r="F4359" s="2"/>
    </row>
    <row r="4360" spans="1:6" x14ac:dyDescent="0.3">
      <c r="A4360" s="63"/>
      <c r="B4360" s="64"/>
      <c r="C4360" s="64"/>
      <c r="D4360" s="64"/>
      <c r="E4360" s="63"/>
      <c r="F4360" s="64"/>
    </row>
    <row r="4361" spans="1:6" x14ac:dyDescent="0.3">
      <c r="A4361" s="2"/>
      <c r="B4361" s="65"/>
      <c r="C4361" s="65"/>
      <c r="D4361" s="2"/>
      <c r="E4361" s="2"/>
      <c r="F4361" s="2"/>
    </row>
    <row r="4362" spans="1:6" x14ac:dyDescent="0.3">
      <c r="A4362" s="63"/>
      <c r="B4362" s="64"/>
      <c r="C4362" s="64"/>
      <c r="D4362" s="64"/>
      <c r="E4362" s="63"/>
      <c r="F4362" s="64"/>
    </row>
    <row r="4363" spans="1:6" x14ac:dyDescent="0.3">
      <c r="A4363" s="2"/>
      <c r="B4363" s="65"/>
      <c r="C4363" s="65"/>
      <c r="D4363" s="2"/>
      <c r="E4363" s="2"/>
      <c r="F4363" s="2"/>
    </row>
    <row r="4364" spans="1:6" x14ac:dyDescent="0.3">
      <c r="A4364" s="63"/>
      <c r="B4364" s="64"/>
      <c r="C4364" s="64"/>
      <c r="D4364" s="64"/>
      <c r="E4364" s="63"/>
      <c r="F4364" s="64"/>
    </row>
    <row r="4365" spans="1:6" x14ac:dyDescent="0.3">
      <c r="A4365" s="2"/>
      <c r="B4365" s="65"/>
      <c r="C4365" s="65"/>
      <c r="D4365" s="2"/>
      <c r="E4365" s="2"/>
      <c r="F4365" s="2"/>
    </row>
    <row r="4366" spans="1:6" x14ac:dyDescent="0.3">
      <c r="A4366" s="63"/>
      <c r="B4366" s="64"/>
      <c r="C4366" s="64"/>
      <c r="D4366" s="64"/>
      <c r="E4366" s="63"/>
      <c r="F4366" s="64"/>
    </row>
    <row r="4367" spans="1:6" x14ac:dyDescent="0.3">
      <c r="A4367" s="2"/>
      <c r="B4367" s="65"/>
      <c r="C4367" s="65"/>
      <c r="D4367" s="2"/>
      <c r="E4367" s="2"/>
      <c r="F4367" s="2"/>
    </row>
    <row r="4368" spans="1:6" x14ac:dyDescent="0.3">
      <c r="A4368" s="63"/>
      <c r="B4368" s="64"/>
      <c r="C4368" s="64"/>
      <c r="D4368" s="64"/>
      <c r="E4368" s="63"/>
      <c r="F4368" s="64"/>
    </row>
    <row r="4369" spans="1:6" x14ac:dyDescent="0.3">
      <c r="A4369" s="2"/>
      <c r="B4369" s="65"/>
      <c r="C4369" s="65"/>
      <c r="D4369" s="2"/>
      <c r="E4369" s="2"/>
      <c r="F4369" s="2"/>
    </row>
    <row r="4370" spans="1:6" x14ac:dyDescent="0.3">
      <c r="A4370" s="63"/>
      <c r="B4370" s="64"/>
      <c r="C4370" s="64"/>
      <c r="D4370" s="64"/>
      <c r="E4370" s="63"/>
      <c r="F4370" s="64"/>
    </row>
    <row r="4371" spans="1:6" x14ac:dyDescent="0.3">
      <c r="A4371" s="2"/>
      <c r="B4371" s="65"/>
      <c r="C4371" s="65"/>
      <c r="D4371" s="2"/>
      <c r="E4371" s="2"/>
      <c r="F4371" s="2"/>
    </row>
    <row r="4372" spans="1:6" x14ac:dyDescent="0.3">
      <c r="A4372" s="63"/>
      <c r="B4372" s="64"/>
      <c r="C4372" s="64"/>
      <c r="D4372" s="64"/>
      <c r="E4372" s="63"/>
      <c r="F4372" s="64"/>
    </row>
    <row r="4373" spans="1:6" x14ac:dyDescent="0.3">
      <c r="A4373" s="2"/>
      <c r="B4373" s="65"/>
      <c r="C4373" s="65"/>
      <c r="D4373" s="2"/>
      <c r="E4373" s="2"/>
      <c r="F4373" s="2"/>
    </row>
    <row r="4374" spans="1:6" x14ac:dyDescent="0.3">
      <c r="A4374" s="63"/>
      <c r="B4374" s="64"/>
      <c r="C4374" s="64"/>
      <c r="D4374" s="64"/>
      <c r="E4374" s="63"/>
      <c r="F4374" s="64"/>
    </row>
    <row r="4375" spans="1:6" x14ac:dyDescent="0.3">
      <c r="A4375" s="2"/>
      <c r="B4375" s="65"/>
      <c r="C4375" s="65"/>
      <c r="D4375" s="2"/>
      <c r="E4375" s="2"/>
      <c r="F4375" s="2"/>
    </row>
    <row r="4376" spans="1:6" x14ac:dyDescent="0.3">
      <c r="A4376" s="63"/>
      <c r="B4376" s="64"/>
      <c r="C4376" s="64"/>
      <c r="D4376" s="64"/>
      <c r="E4376" s="63"/>
      <c r="F4376" s="64"/>
    </row>
    <row r="4377" spans="1:6" x14ac:dyDescent="0.3">
      <c r="A4377" s="2"/>
      <c r="B4377" s="65"/>
      <c r="C4377" s="65"/>
      <c r="D4377" s="2"/>
      <c r="E4377" s="2"/>
      <c r="F4377" s="2"/>
    </row>
    <row r="4378" spans="1:6" x14ac:dyDescent="0.3">
      <c r="A4378" s="63"/>
      <c r="B4378" s="64"/>
      <c r="C4378" s="64"/>
      <c r="D4378" s="64"/>
      <c r="E4378" s="63"/>
      <c r="F4378" s="64"/>
    </row>
    <row r="4379" spans="1:6" x14ac:dyDescent="0.3">
      <c r="A4379" s="2"/>
      <c r="B4379" s="65"/>
      <c r="C4379" s="65"/>
      <c r="D4379" s="2"/>
      <c r="E4379" s="2"/>
      <c r="F4379" s="2"/>
    </row>
    <row r="4380" spans="1:6" x14ac:dyDescent="0.3">
      <c r="A4380" s="63"/>
      <c r="B4380" s="64"/>
      <c r="C4380" s="64"/>
      <c r="D4380" s="64"/>
      <c r="E4380" s="63"/>
      <c r="F4380" s="64"/>
    </row>
    <row r="4381" spans="1:6" x14ac:dyDescent="0.3">
      <c r="A4381" s="2"/>
      <c r="B4381" s="65"/>
      <c r="C4381" s="65"/>
      <c r="D4381" s="2"/>
      <c r="E4381" s="2"/>
      <c r="F4381" s="2"/>
    </row>
    <row r="4382" spans="1:6" x14ac:dyDescent="0.3">
      <c r="A4382" s="63"/>
      <c r="B4382" s="64"/>
      <c r="C4382" s="64"/>
      <c r="D4382" s="64"/>
      <c r="E4382" s="63"/>
      <c r="F4382" s="64"/>
    </row>
    <row r="4383" spans="1:6" x14ac:dyDescent="0.3">
      <c r="A4383" s="2"/>
      <c r="B4383" s="65"/>
      <c r="C4383" s="65"/>
      <c r="D4383" s="2"/>
      <c r="E4383" s="2"/>
      <c r="F4383" s="2"/>
    </row>
    <row r="4384" spans="1:6" x14ac:dyDescent="0.3">
      <c r="A4384" s="63"/>
      <c r="B4384" s="64"/>
      <c r="C4384" s="64"/>
      <c r="D4384" s="64"/>
      <c r="E4384" s="63"/>
      <c r="F4384" s="64"/>
    </row>
    <row r="4385" spans="1:6" x14ac:dyDescent="0.3">
      <c r="A4385" s="2"/>
      <c r="B4385" s="65"/>
      <c r="C4385" s="65"/>
      <c r="D4385" s="2"/>
      <c r="E4385" s="2"/>
      <c r="F4385" s="2"/>
    </row>
    <row r="4386" spans="1:6" x14ac:dyDescent="0.3">
      <c r="A4386" s="63"/>
      <c r="B4386" s="64"/>
      <c r="C4386" s="64"/>
      <c r="D4386" s="64"/>
      <c r="E4386" s="63"/>
      <c r="F4386" s="64"/>
    </row>
    <row r="4387" spans="1:6" x14ac:dyDescent="0.3">
      <c r="A4387" s="2"/>
      <c r="B4387" s="65"/>
      <c r="C4387" s="65"/>
      <c r="D4387" s="2"/>
      <c r="E4387" s="2"/>
      <c r="F4387" s="2"/>
    </row>
    <row r="4388" spans="1:6" x14ac:dyDescent="0.3">
      <c r="A4388" s="63"/>
      <c r="B4388" s="64"/>
      <c r="C4388" s="64"/>
      <c r="D4388" s="64"/>
      <c r="E4388" s="63"/>
      <c r="F4388" s="64"/>
    </row>
    <row r="4389" spans="1:6" x14ac:dyDescent="0.3">
      <c r="A4389" s="2"/>
      <c r="B4389" s="65"/>
      <c r="C4389" s="65"/>
      <c r="D4389" s="2"/>
      <c r="E4389" s="2"/>
      <c r="F4389" s="2"/>
    </row>
    <row r="4390" spans="1:6" x14ac:dyDescent="0.3">
      <c r="A4390" s="63"/>
      <c r="B4390" s="64"/>
      <c r="C4390" s="64"/>
      <c r="D4390" s="64"/>
      <c r="E4390" s="63"/>
      <c r="F4390" s="64"/>
    </row>
    <row r="4391" spans="1:6" x14ac:dyDescent="0.3">
      <c r="A4391" s="2"/>
      <c r="B4391" s="65"/>
      <c r="C4391" s="65"/>
      <c r="D4391" s="2"/>
      <c r="E4391" s="2"/>
      <c r="F4391" s="2"/>
    </row>
    <row r="4392" spans="1:6" x14ac:dyDescent="0.3">
      <c r="A4392" s="63"/>
      <c r="B4392" s="64"/>
      <c r="C4392" s="64"/>
      <c r="D4392" s="64"/>
      <c r="E4392" s="63"/>
      <c r="F4392" s="64"/>
    </row>
    <row r="4393" spans="1:6" x14ac:dyDescent="0.3">
      <c r="A4393" s="2"/>
      <c r="B4393" s="65"/>
      <c r="C4393" s="65"/>
      <c r="D4393" s="2"/>
      <c r="E4393" s="2"/>
      <c r="F4393" s="2"/>
    </row>
    <row r="4394" spans="1:6" x14ac:dyDescent="0.3">
      <c r="A4394" s="63"/>
      <c r="B4394" s="64"/>
      <c r="C4394" s="64"/>
      <c r="D4394" s="64"/>
      <c r="E4394" s="63"/>
      <c r="F4394" s="64"/>
    </row>
    <row r="4395" spans="1:6" x14ac:dyDescent="0.3">
      <c r="A4395" s="2"/>
      <c r="B4395" s="65"/>
      <c r="C4395" s="65"/>
      <c r="D4395" s="2"/>
      <c r="E4395" s="2"/>
      <c r="F4395" s="2"/>
    </row>
    <row r="4396" spans="1:6" x14ac:dyDescent="0.3">
      <c r="A4396" s="63"/>
      <c r="B4396" s="64"/>
      <c r="C4396" s="64"/>
      <c r="D4396" s="64"/>
      <c r="E4396" s="63"/>
      <c r="F4396" s="64"/>
    </row>
    <row r="4397" spans="1:6" x14ac:dyDescent="0.3">
      <c r="A4397" s="2"/>
      <c r="B4397" s="65"/>
      <c r="C4397" s="65"/>
      <c r="D4397" s="2"/>
      <c r="E4397" s="2"/>
      <c r="F4397" s="2"/>
    </row>
    <row r="4398" spans="1:6" x14ac:dyDescent="0.3">
      <c r="A4398" s="63"/>
      <c r="B4398" s="64"/>
      <c r="C4398" s="64"/>
      <c r="D4398" s="64"/>
      <c r="E4398" s="63"/>
      <c r="F4398" s="64"/>
    </row>
    <row r="4399" spans="1:6" x14ac:dyDescent="0.3">
      <c r="A4399" s="2"/>
      <c r="B4399" s="65"/>
      <c r="C4399" s="65"/>
      <c r="D4399" s="2"/>
      <c r="E4399" s="2"/>
      <c r="F4399" s="2"/>
    </row>
    <row r="4400" spans="1:6" x14ac:dyDescent="0.3">
      <c r="A4400" s="63"/>
      <c r="B4400" s="64"/>
      <c r="C4400" s="64"/>
      <c r="D4400" s="64"/>
      <c r="E4400" s="63"/>
      <c r="F4400" s="64"/>
    </row>
    <row r="4401" spans="1:6" x14ac:dyDescent="0.3">
      <c r="A4401" s="2"/>
      <c r="B4401" s="65"/>
      <c r="C4401" s="65"/>
      <c r="D4401" s="2"/>
      <c r="E4401" s="2"/>
      <c r="F4401" s="2"/>
    </row>
    <row r="4402" spans="1:6" x14ac:dyDescent="0.3">
      <c r="A4402" s="63"/>
      <c r="B4402" s="64"/>
      <c r="C4402" s="64"/>
      <c r="D4402" s="64"/>
      <c r="E4402" s="63"/>
      <c r="F4402" s="64"/>
    </row>
    <row r="4403" spans="1:6" x14ac:dyDescent="0.3">
      <c r="A4403" s="2"/>
      <c r="B4403" s="65"/>
      <c r="C4403" s="65"/>
      <c r="D4403" s="2"/>
      <c r="E4403" s="2"/>
      <c r="F4403" s="2"/>
    </row>
    <row r="4404" spans="1:6" x14ac:dyDescent="0.3">
      <c r="A4404" s="63"/>
      <c r="B4404" s="64"/>
      <c r="C4404" s="64"/>
      <c r="D4404" s="64"/>
      <c r="E4404" s="63"/>
      <c r="F4404" s="64"/>
    </row>
    <row r="4405" spans="1:6" x14ac:dyDescent="0.3">
      <c r="A4405" s="2"/>
      <c r="B4405" s="65"/>
      <c r="C4405" s="65"/>
      <c r="D4405" s="2"/>
      <c r="E4405" s="2"/>
      <c r="F4405" s="2"/>
    </row>
    <row r="4406" spans="1:6" x14ac:dyDescent="0.3">
      <c r="A4406" s="63"/>
      <c r="B4406" s="64"/>
      <c r="C4406" s="64"/>
      <c r="D4406" s="64"/>
      <c r="E4406" s="63"/>
      <c r="F4406" s="64"/>
    </row>
    <row r="4407" spans="1:6" x14ac:dyDescent="0.3">
      <c r="A4407" s="2"/>
      <c r="B4407" s="65"/>
      <c r="C4407" s="65"/>
      <c r="D4407" s="2"/>
      <c r="E4407" s="2"/>
      <c r="F4407" s="2"/>
    </row>
    <row r="4408" spans="1:6" x14ac:dyDescent="0.3">
      <c r="A4408" s="63"/>
      <c r="B4408" s="64"/>
      <c r="C4408" s="64"/>
      <c r="D4408" s="64"/>
      <c r="E4408" s="63"/>
      <c r="F4408" s="64"/>
    </row>
    <row r="4409" spans="1:6" x14ac:dyDescent="0.3">
      <c r="A4409" s="2"/>
      <c r="B4409" s="65"/>
      <c r="C4409" s="65"/>
      <c r="D4409" s="2"/>
      <c r="E4409" s="2"/>
      <c r="F4409" s="2"/>
    </row>
    <row r="4410" spans="1:6" x14ac:dyDescent="0.3">
      <c r="A4410" s="63"/>
      <c r="B4410" s="64"/>
      <c r="C4410" s="64"/>
      <c r="D4410" s="64"/>
      <c r="E4410" s="63"/>
      <c r="F4410" s="64"/>
    </row>
    <row r="4411" spans="1:6" x14ac:dyDescent="0.3">
      <c r="A4411" s="2"/>
      <c r="B4411" s="65"/>
      <c r="C4411" s="65"/>
      <c r="D4411" s="2"/>
      <c r="E4411" s="2"/>
      <c r="F4411" s="2"/>
    </row>
    <row r="4412" spans="1:6" x14ac:dyDescent="0.3">
      <c r="A4412" s="63"/>
      <c r="B4412" s="64"/>
      <c r="C4412" s="64"/>
      <c r="D4412" s="64"/>
      <c r="E4412" s="63"/>
      <c r="F4412" s="64"/>
    </row>
    <row r="4413" spans="1:6" x14ac:dyDescent="0.3">
      <c r="A4413" s="2"/>
      <c r="B4413" s="65"/>
      <c r="C4413" s="65"/>
      <c r="D4413" s="2"/>
      <c r="E4413" s="2"/>
      <c r="F4413" s="2"/>
    </row>
    <row r="4414" spans="1:6" x14ac:dyDescent="0.3">
      <c r="A4414" s="63"/>
      <c r="B4414" s="64"/>
      <c r="C4414" s="64"/>
      <c r="D4414" s="64"/>
      <c r="E4414" s="63"/>
      <c r="F4414" s="64"/>
    </row>
    <row r="4415" spans="1:6" x14ac:dyDescent="0.3">
      <c r="A4415" s="2"/>
      <c r="B4415" s="65"/>
      <c r="C4415" s="65"/>
      <c r="D4415" s="2"/>
      <c r="E4415" s="2"/>
      <c r="F4415" s="2"/>
    </row>
    <row r="4416" spans="1:6" x14ac:dyDescent="0.3">
      <c r="A4416" s="63"/>
      <c r="B4416" s="64"/>
      <c r="C4416" s="64"/>
      <c r="D4416" s="64"/>
      <c r="E4416" s="63"/>
      <c r="F4416" s="64"/>
    </row>
    <row r="4417" spans="1:6" x14ac:dyDescent="0.3">
      <c r="A4417" s="2"/>
      <c r="B4417" s="65"/>
      <c r="C4417" s="65"/>
      <c r="D4417" s="2"/>
      <c r="E4417" s="2"/>
      <c r="F4417" s="2"/>
    </row>
    <row r="4418" spans="1:6" x14ac:dyDescent="0.3">
      <c r="A4418" s="63"/>
      <c r="B4418" s="64"/>
      <c r="C4418" s="64"/>
      <c r="D4418" s="64"/>
      <c r="E4418" s="63"/>
      <c r="F4418" s="64"/>
    </row>
    <row r="4419" spans="1:6" x14ac:dyDescent="0.3">
      <c r="A4419" s="2"/>
      <c r="B4419" s="65"/>
      <c r="C4419" s="65"/>
      <c r="D4419" s="2"/>
      <c r="E4419" s="2"/>
      <c r="F4419" s="2"/>
    </row>
    <row r="4420" spans="1:6" x14ac:dyDescent="0.3">
      <c r="A4420" s="63"/>
      <c r="B4420" s="64"/>
      <c r="C4420" s="64"/>
      <c r="D4420" s="64"/>
      <c r="E4420" s="63"/>
      <c r="F4420" s="64"/>
    </row>
    <row r="4421" spans="1:6" x14ac:dyDescent="0.3">
      <c r="A4421" s="2"/>
      <c r="B4421" s="65"/>
      <c r="C4421" s="65"/>
      <c r="D4421" s="2"/>
      <c r="E4421" s="2"/>
      <c r="F4421" s="2"/>
    </row>
    <row r="4422" spans="1:6" x14ac:dyDescent="0.3">
      <c r="A4422" s="63"/>
      <c r="B4422" s="64"/>
      <c r="C4422" s="64"/>
      <c r="D4422" s="64"/>
      <c r="E4422" s="63"/>
      <c r="F4422" s="64"/>
    </row>
    <row r="4423" spans="1:6" x14ac:dyDescent="0.3">
      <c r="A4423" s="2"/>
      <c r="B4423" s="65"/>
      <c r="C4423" s="65"/>
      <c r="D4423" s="2"/>
      <c r="E4423" s="2"/>
      <c r="F4423" s="2"/>
    </row>
    <row r="4424" spans="1:6" x14ac:dyDescent="0.3">
      <c r="A4424" s="63"/>
      <c r="B4424" s="64"/>
      <c r="C4424" s="64"/>
      <c r="D4424" s="64"/>
      <c r="E4424" s="63"/>
      <c r="F4424" s="64"/>
    </row>
    <row r="4425" spans="1:6" x14ac:dyDescent="0.3">
      <c r="A4425" s="2"/>
      <c r="B4425" s="65"/>
      <c r="C4425" s="65"/>
      <c r="D4425" s="2"/>
      <c r="E4425" s="2"/>
      <c r="F4425" s="2"/>
    </row>
    <row r="4426" spans="1:6" x14ac:dyDescent="0.3">
      <c r="A4426" s="63"/>
      <c r="B4426" s="64"/>
      <c r="C4426" s="64"/>
      <c r="D4426" s="64"/>
      <c r="E4426" s="63"/>
      <c r="F4426" s="64"/>
    </row>
    <row r="4427" spans="1:6" x14ac:dyDescent="0.3">
      <c r="A4427" s="2"/>
      <c r="B4427" s="65"/>
      <c r="C4427" s="65"/>
      <c r="D4427" s="2"/>
      <c r="E4427" s="2"/>
      <c r="F4427" s="2"/>
    </row>
    <row r="4428" spans="1:6" x14ac:dyDescent="0.3">
      <c r="A4428" s="63"/>
      <c r="B4428" s="64"/>
      <c r="C4428" s="64"/>
      <c r="D4428" s="64"/>
      <c r="E4428" s="63"/>
      <c r="F4428" s="64"/>
    </row>
    <row r="4429" spans="1:6" x14ac:dyDescent="0.3">
      <c r="A4429" s="2"/>
      <c r="B4429" s="65"/>
      <c r="C4429" s="65"/>
      <c r="D4429" s="2"/>
      <c r="E4429" s="2"/>
      <c r="F4429" s="2"/>
    </row>
    <row r="4430" spans="1:6" x14ac:dyDescent="0.3">
      <c r="A4430" s="63"/>
      <c r="B4430" s="64"/>
      <c r="C4430" s="64"/>
      <c r="D4430" s="64"/>
      <c r="E4430" s="63"/>
      <c r="F4430" s="64"/>
    </row>
    <row r="4431" spans="1:6" x14ac:dyDescent="0.3">
      <c r="A4431" s="2"/>
      <c r="B4431" s="65"/>
      <c r="C4431" s="65"/>
      <c r="D4431" s="2"/>
      <c r="E4431" s="2"/>
      <c r="F4431" s="2"/>
    </row>
    <row r="4432" spans="1:6" x14ac:dyDescent="0.3">
      <c r="A4432" s="63"/>
      <c r="B4432" s="64"/>
      <c r="C4432" s="64"/>
      <c r="D4432" s="64"/>
      <c r="E4432" s="63"/>
      <c r="F4432" s="64"/>
    </row>
    <row r="4433" spans="1:6" x14ac:dyDescent="0.3">
      <c r="A4433" s="2"/>
      <c r="B4433" s="65"/>
      <c r="C4433" s="65"/>
      <c r="D4433" s="2"/>
      <c r="E4433" s="2"/>
      <c r="F4433" s="2"/>
    </row>
    <row r="4434" spans="1:6" x14ac:dyDescent="0.3">
      <c r="A4434" s="63"/>
      <c r="B4434" s="64"/>
      <c r="C4434" s="64"/>
      <c r="D4434" s="64"/>
      <c r="E4434" s="63"/>
      <c r="F4434" s="64"/>
    </row>
    <row r="4435" spans="1:6" x14ac:dyDescent="0.3">
      <c r="A4435" s="2"/>
      <c r="B4435" s="65"/>
      <c r="C4435" s="65"/>
      <c r="D4435" s="2"/>
      <c r="E4435" s="2"/>
      <c r="F4435" s="2"/>
    </row>
    <row r="4436" spans="1:6" x14ac:dyDescent="0.3">
      <c r="A4436" s="63"/>
      <c r="B4436" s="64"/>
      <c r="C4436" s="64"/>
      <c r="D4436" s="64"/>
      <c r="E4436" s="63"/>
      <c r="F4436" s="64"/>
    </row>
    <row r="4437" spans="1:6" x14ac:dyDescent="0.3">
      <c r="A4437" s="2"/>
      <c r="B4437" s="65"/>
      <c r="C4437" s="65"/>
      <c r="D4437" s="2"/>
      <c r="E4437" s="2"/>
      <c r="F4437" s="2"/>
    </row>
    <row r="4438" spans="1:6" x14ac:dyDescent="0.3">
      <c r="A4438" s="63"/>
      <c r="B4438" s="64"/>
      <c r="C4438" s="64"/>
      <c r="D4438" s="64"/>
      <c r="E4438" s="63"/>
      <c r="F4438" s="64"/>
    </row>
    <row r="4439" spans="1:6" x14ac:dyDescent="0.3">
      <c r="A4439" s="2"/>
      <c r="B4439" s="65"/>
      <c r="C4439" s="65"/>
      <c r="D4439" s="2"/>
      <c r="E4439" s="2"/>
      <c r="F4439" s="2"/>
    </row>
    <row r="4440" spans="1:6" x14ac:dyDescent="0.3">
      <c r="A4440" s="63"/>
      <c r="B4440" s="64"/>
      <c r="C4440" s="64"/>
      <c r="D4440" s="64"/>
      <c r="E4440" s="63"/>
      <c r="F4440" s="64"/>
    </row>
    <row r="4441" spans="1:6" x14ac:dyDescent="0.3">
      <c r="A4441" s="2"/>
      <c r="B4441" s="65"/>
      <c r="C4441" s="65"/>
      <c r="D4441" s="2"/>
      <c r="E4441" s="2"/>
      <c r="F4441" s="2"/>
    </row>
    <row r="4442" spans="1:6" x14ac:dyDescent="0.3">
      <c r="A4442" s="63"/>
      <c r="B4442" s="64"/>
      <c r="C4442" s="64"/>
      <c r="D4442" s="64"/>
      <c r="E4442" s="63"/>
      <c r="F4442" s="64"/>
    </row>
    <row r="4443" spans="1:6" x14ac:dyDescent="0.3">
      <c r="A4443" s="2"/>
      <c r="B4443" s="65"/>
      <c r="C4443" s="65"/>
      <c r="D4443" s="2"/>
      <c r="E4443" s="2"/>
      <c r="F4443" s="2"/>
    </row>
    <row r="4444" spans="1:6" x14ac:dyDescent="0.3">
      <c r="A4444" s="63"/>
      <c r="B4444" s="64"/>
      <c r="C4444" s="64"/>
      <c r="D4444" s="64"/>
      <c r="E4444" s="63"/>
      <c r="F4444" s="64"/>
    </row>
    <row r="4445" spans="1:6" x14ac:dyDescent="0.3">
      <c r="A4445" s="2"/>
      <c r="B4445" s="65"/>
      <c r="C4445" s="65"/>
      <c r="D4445" s="2"/>
      <c r="E4445" s="2"/>
      <c r="F4445" s="2"/>
    </row>
    <row r="4446" spans="1:6" x14ac:dyDescent="0.3">
      <c r="A4446" s="63"/>
      <c r="B4446" s="64"/>
      <c r="C4446" s="64"/>
      <c r="D4446" s="64"/>
      <c r="E4446" s="63"/>
      <c r="F4446" s="64"/>
    </row>
    <row r="4447" spans="1:6" x14ac:dyDescent="0.3">
      <c r="A4447" s="2"/>
      <c r="B4447" s="65"/>
      <c r="C4447" s="65"/>
      <c r="D4447" s="2"/>
      <c r="E4447" s="2"/>
      <c r="F4447" s="2"/>
    </row>
    <row r="4448" spans="1:6" x14ac:dyDescent="0.3">
      <c r="A4448" s="63"/>
      <c r="B4448" s="64"/>
      <c r="C4448" s="64"/>
      <c r="D4448" s="64"/>
      <c r="E4448" s="63"/>
      <c r="F4448" s="64"/>
    </row>
    <row r="4449" spans="1:6" x14ac:dyDescent="0.3">
      <c r="A4449" s="2"/>
      <c r="B4449" s="65"/>
      <c r="C4449" s="65"/>
      <c r="D4449" s="2"/>
      <c r="E4449" s="2"/>
      <c r="F4449" s="2"/>
    </row>
    <row r="4450" spans="1:6" x14ac:dyDescent="0.3">
      <c r="A4450" s="63"/>
      <c r="B4450" s="64"/>
      <c r="C4450" s="64"/>
      <c r="D4450" s="64"/>
      <c r="E4450" s="63"/>
      <c r="F4450" s="64"/>
    </row>
    <row r="4451" spans="1:6" x14ac:dyDescent="0.3">
      <c r="A4451" s="2"/>
      <c r="B4451" s="65"/>
      <c r="C4451" s="65"/>
      <c r="D4451" s="2"/>
      <c r="E4451" s="2"/>
      <c r="F4451" s="2"/>
    </row>
    <row r="4452" spans="1:6" x14ac:dyDescent="0.3">
      <c r="A4452" s="63"/>
      <c r="B4452" s="64"/>
      <c r="C4452" s="64"/>
      <c r="D4452" s="64"/>
      <c r="E4452" s="63"/>
      <c r="F4452" s="64"/>
    </row>
    <row r="4453" spans="1:6" x14ac:dyDescent="0.3">
      <c r="A4453" s="2"/>
      <c r="B4453" s="65"/>
      <c r="C4453" s="65"/>
      <c r="D4453" s="2"/>
      <c r="E4453" s="2"/>
      <c r="F4453" s="2"/>
    </row>
    <row r="4454" spans="1:6" x14ac:dyDescent="0.3">
      <c r="A4454" s="63"/>
      <c r="B4454" s="64"/>
      <c r="C4454" s="64"/>
      <c r="D4454" s="64"/>
      <c r="E4454" s="63"/>
      <c r="F4454" s="64"/>
    </row>
    <row r="4455" spans="1:6" x14ac:dyDescent="0.3">
      <c r="A4455" s="2"/>
      <c r="B4455" s="65"/>
      <c r="C4455" s="65"/>
      <c r="D4455" s="2"/>
      <c r="E4455" s="2"/>
      <c r="F4455" s="2"/>
    </row>
    <row r="4456" spans="1:6" x14ac:dyDescent="0.3">
      <c r="A4456" s="63"/>
      <c r="B4456" s="64"/>
      <c r="C4456" s="64"/>
      <c r="D4456" s="64"/>
      <c r="E4456" s="63"/>
      <c r="F4456" s="64"/>
    </row>
    <row r="4457" spans="1:6" x14ac:dyDescent="0.3">
      <c r="A4457" s="2"/>
      <c r="B4457" s="65"/>
      <c r="C4457" s="65"/>
      <c r="D4457" s="2"/>
      <c r="E4457" s="2"/>
      <c r="F4457" s="2"/>
    </row>
    <row r="4458" spans="1:6" x14ac:dyDescent="0.3">
      <c r="A4458" s="63"/>
      <c r="B4458" s="64"/>
      <c r="C4458" s="64"/>
      <c r="D4458" s="64"/>
      <c r="E4458" s="63"/>
      <c r="F4458" s="64"/>
    </row>
    <row r="4459" spans="1:6" x14ac:dyDescent="0.3">
      <c r="A4459" s="2"/>
      <c r="B4459" s="65"/>
      <c r="C4459" s="65"/>
      <c r="D4459" s="2"/>
      <c r="E4459" s="2"/>
      <c r="F4459" s="2"/>
    </row>
    <row r="4460" spans="1:6" x14ac:dyDescent="0.3">
      <c r="A4460" s="63"/>
      <c r="B4460" s="64"/>
      <c r="C4460" s="64"/>
      <c r="D4460" s="64"/>
      <c r="E4460" s="63"/>
      <c r="F4460" s="64"/>
    </row>
    <row r="4461" spans="1:6" x14ac:dyDescent="0.3">
      <c r="A4461" s="2"/>
      <c r="B4461" s="65"/>
      <c r="C4461" s="65"/>
      <c r="D4461" s="2"/>
      <c r="E4461" s="2"/>
      <c r="F4461" s="2"/>
    </row>
    <row r="4462" spans="1:6" x14ac:dyDescent="0.3">
      <c r="A4462" s="63"/>
      <c r="B4462" s="64"/>
      <c r="C4462" s="64"/>
      <c r="D4462" s="64"/>
      <c r="E4462" s="63"/>
      <c r="F4462" s="64"/>
    </row>
    <row r="4463" spans="1:6" x14ac:dyDescent="0.3">
      <c r="A4463" s="2"/>
      <c r="B4463" s="65"/>
      <c r="C4463" s="65"/>
      <c r="D4463" s="2"/>
      <c r="E4463" s="2"/>
      <c r="F4463" s="2"/>
    </row>
    <row r="4464" spans="1:6" x14ac:dyDescent="0.3">
      <c r="A4464" s="63"/>
      <c r="B4464" s="64"/>
      <c r="C4464" s="64"/>
      <c r="D4464" s="64"/>
      <c r="E4464" s="63"/>
      <c r="F4464" s="64"/>
    </row>
    <row r="4465" spans="1:6" x14ac:dyDescent="0.3">
      <c r="A4465" s="2"/>
      <c r="B4465" s="65"/>
      <c r="C4465" s="65"/>
      <c r="D4465" s="2"/>
      <c r="E4465" s="2"/>
      <c r="F4465" s="2"/>
    </row>
    <row r="4466" spans="1:6" x14ac:dyDescent="0.3">
      <c r="A4466" s="63"/>
      <c r="B4466" s="64"/>
      <c r="C4466" s="64"/>
      <c r="D4466" s="64"/>
      <c r="E4466" s="63"/>
      <c r="F4466" s="64"/>
    </row>
    <row r="4467" spans="1:6" x14ac:dyDescent="0.3">
      <c r="A4467" s="2"/>
      <c r="B4467" s="65"/>
      <c r="C4467" s="65"/>
      <c r="D4467" s="2"/>
      <c r="E4467" s="2"/>
      <c r="F4467" s="2"/>
    </row>
    <row r="4468" spans="1:6" x14ac:dyDescent="0.3">
      <c r="A4468" s="63"/>
      <c r="B4468" s="64"/>
      <c r="C4468" s="64"/>
      <c r="D4468" s="64"/>
      <c r="E4468" s="63"/>
      <c r="F4468" s="64"/>
    </row>
    <row r="4469" spans="1:6" x14ac:dyDescent="0.3">
      <c r="A4469" s="2"/>
      <c r="B4469" s="65"/>
      <c r="C4469" s="65"/>
      <c r="D4469" s="2"/>
      <c r="E4469" s="2"/>
      <c r="F4469" s="2"/>
    </row>
    <row r="4470" spans="1:6" x14ac:dyDescent="0.3">
      <c r="A4470" s="63"/>
      <c r="B4470" s="64"/>
      <c r="C4470" s="64"/>
      <c r="D4470" s="64"/>
      <c r="E4470" s="63"/>
      <c r="F4470" s="64"/>
    </row>
    <row r="4471" spans="1:6" x14ac:dyDescent="0.3">
      <c r="A4471" s="2"/>
      <c r="B4471" s="65"/>
      <c r="C4471" s="65"/>
      <c r="D4471" s="2"/>
      <c r="E4471" s="2"/>
      <c r="F4471" s="2"/>
    </row>
    <row r="4472" spans="1:6" x14ac:dyDescent="0.3">
      <c r="A4472" s="63"/>
      <c r="B4472" s="64"/>
      <c r="C4472" s="64"/>
      <c r="D4472" s="64"/>
      <c r="E4472" s="63"/>
      <c r="F4472" s="64"/>
    </row>
    <row r="4473" spans="1:6" x14ac:dyDescent="0.3">
      <c r="A4473" s="2"/>
      <c r="B4473" s="65"/>
      <c r="C4473" s="65"/>
      <c r="D4473" s="2"/>
      <c r="E4473" s="2"/>
      <c r="F4473" s="2"/>
    </row>
    <row r="4474" spans="1:6" x14ac:dyDescent="0.3">
      <c r="A4474" s="63"/>
      <c r="B4474" s="64"/>
      <c r="C4474" s="64"/>
      <c r="D4474" s="64"/>
      <c r="E4474" s="63"/>
      <c r="F4474" s="64"/>
    </row>
    <row r="4475" spans="1:6" x14ac:dyDescent="0.3">
      <c r="A4475" s="2"/>
      <c r="B4475" s="65"/>
      <c r="C4475" s="65"/>
      <c r="D4475" s="2"/>
      <c r="E4475" s="2"/>
      <c r="F4475" s="2"/>
    </row>
    <row r="4476" spans="1:6" x14ac:dyDescent="0.3">
      <c r="A4476" s="63"/>
      <c r="B4476" s="64"/>
      <c r="C4476" s="64"/>
      <c r="D4476" s="64"/>
      <c r="E4476" s="63"/>
      <c r="F4476" s="64"/>
    </row>
    <row r="4477" spans="1:6" x14ac:dyDescent="0.3">
      <c r="A4477" s="2"/>
      <c r="B4477" s="65"/>
      <c r="C4477" s="65"/>
      <c r="D4477" s="2"/>
      <c r="E4477" s="2"/>
      <c r="F4477" s="2"/>
    </row>
    <row r="4478" spans="1:6" x14ac:dyDescent="0.3">
      <c r="A4478" s="63"/>
      <c r="B4478" s="64"/>
      <c r="C4478" s="64"/>
      <c r="D4478" s="64"/>
      <c r="E4478" s="63"/>
      <c r="F4478" s="64"/>
    </row>
    <row r="4479" spans="1:6" x14ac:dyDescent="0.3">
      <c r="A4479" s="2"/>
      <c r="B4479" s="65"/>
      <c r="C4479" s="65"/>
      <c r="D4479" s="2"/>
      <c r="E4479" s="2"/>
      <c r="F4479" s="2"/>
    </row>
    <row r="4480" spans="1:6" x14ac:dyDescent="0.3">
      <c r="A4480" s="63"/>
      <c r="B4480" s="64"/>
      <c r="C4480" s="64"/>
      <c r="D4480" s="64"/>
      <c r="E4480" s="63"/>
      <c r="F4480" s="64"/>
    </row>
    <row r="4481" spans="1:6" x14ac:dyDescent="0.3">
      <c r="A4481" s="2"/>
      <c r="B4481" s="65"/>
      <c r="C4481" s="65"/>
      <c r="D4481" s="2"/>
      <c r="E4481" s="2"/>
      <c r="F4481" s="2"/>
    </row>
    <row r="4482" spans="1:6" x14ac:dyDescent="0.3">
      <c r="A4482" s="63"/>
      <c r="B4482" s="64"/>
      <c r="C4482" s="64"/>
      <c r="D4482" s="64"/>
      <c r="E4482" s="63"/>
      <c r="F4482" s="64"/>
    </row>
    <row r="4483" spans="1:6" x14ac:dyDescent="0.3">
      <c r="A4483" s="2"/>
      <c r="B4483" s="65"/>
      <c r="C4483" s="65"/>
      <c r="D4483" s="2"/>
      <c r="E4483" s="2"/>
      <c r="F4483" s="2"/>
    </row>
    <row r="4484" spans="1:6" x14ac:dyDescent="0.3">
      <c r="A4484" s="63"/>
      <c r="B4484" s="64"/>
      <c r="C4484" s="64"/>
      <c r="D4484" s="64"/>
      <c r="E4484" s="63"/>
      <c r="F4484" s="64"/>
    </row>
    <row r="4485" spans="1:6" x14ac:dyDescent="0.3">
      <c r="A4485" s="2"/>
      <c r="B4485" s="65"/>
      <c r="C4485" s="65"/>
      <c r="D4485" s="2"/>
      <c r="E4485" s="2"/>
      <c r="F4485" s="2"/>
    </row>
    <row r="4486" spans="1:6" x14ac:dyDescent="0.3">
      <c r="A4486" s="63"/>
      <c r="B4486" s="64"/>
      <c r="C4486" s="64"/>
      <c r="D4486" s="64"/>
      <c r="E4486" s="63"/>
      <c r="F4486" s="64"/>
    </row>
    <row r="4487" spans="1:6" x14ac:dyDescent="0.3">
      <c r="A4487" s="2"/>
      <c r="B4487" s="65"/>
      <c r="C4487" s="65"/>
      <c r="D4487" s="2"/>
      <c r="E4487" s="2"/>
      <c r="F4487" s="2"/>
    </row>
    <row r="4488" spans="1:6" x14ac:dyDescent="0.3">
      <c r="A4488" s="63"/>
      <c r="B4488" s="64"/>
      <c r="C4488" s="64"/>
      <c r="D4488" s="64"/>
      <c r="E4488" s="63"/>
      <c r="F4488" s="64"/>
    </row>
    <row r="4489" spans="1:6" x14ac:dyDescent="0.3">
      <c r="A4489" s="2"/>
      <c r="B4489" s="65"/>
      <c r="C4489" s="65"/>
      <c r="D4489" s="2"/>
      <c r="E4489" s="2"/>
      <c r="F4489" s="2"/>
    </row>
    <row r="4490" spans="1:6" x14ac:dyDescent="0.3">
      <c r="A4490" s="63"/>
      <c r="B4490" s="64"/>
      <c r="C4490" s="64"/>
      <c r="D4490" s="64"/>
      <c r="E4490" s="63"/>
      <c r="F4490" s="64"/>
    </row>
    <row r="4491" spans="1:6" x14ac:dyDescent="0.3">
      <c r="A4491" s="2"/>
      <c r="B4491" s="65"/>
      <c r="C4491" s="65"/>
      <c r="D4491" s="2"/>
      <c r="E4491" s="2"/>
      <c r="F4491" s="2"/>
    </row>
    <row r="4492" spans="1:6" x14ac:dyDescent="0.3">
      <c r="A4492" s="63"/>
      <c r="B4492" s="64"/>
      <c r="C4492" s="64"/>
      <c r="D4492" s="64"/>
      <c r="E4492" s="63"/>
      <c r="F4492" s="64"/>
    </row>
    <row r="4493" spans="1:6" x14ac:dyDescent="0.3">
      <c r="A4493" s="2"/>
      <c r="B4493" s="65"/>
      <c r="C4493" s="65"/>
      <c r="D4493" s="2"/>
      <c r="E4493" s="2"/>
      <c r="F4493" s="2"/>
    </row>
    <row r="4494" spans="1:6" x14ac:dyDescent="0.3">
      <c r="A4494" s="63"/>
      <c r="B4494" s="64"/>
      <c r="C4494" s="64"/>
      <c r="D4494" s="64"/>
      <c r="E4494" s="63"/>
      <c r="F4494" s="64"/>
    </row>
    <row r="4495" spans="1:6" x14ac:dyDescent="0.3">
      <c r="A4495" s="2"/>
      <c r="B4495" s="65"/>
      <c r="C4495" s="65"/>
      <c r="D4495" s="2"/>
      <c r="E4495" s="2"/>
      <c r="F4495" s="2"/>
    </row>
    <row r="4496" spans="1:6" x14ac:dyDescent="0.3">
      <c r="A4496" s="63"/>
      <c r="B4496" s="64"/>
      <c r="C4496" s="64"/>
      <c r="D4496" s="64"/>
      <c r="E4496" s="63"/>
      <c r="F4496" s="64"/>
    </row>
    <row r="4497" spans="1:6" x14ac:dyDescent="0.3">
      <c r="A4497" s="2"/>
      <c r="B4497" s="65"/>
      <c r="C4497" s="65"/>
      <c r="D4497" s="2"/>
      <c r="E4497" s="2"/>
      <c r="F4497" s="2"/>
    </row>
    <row r="4498" spans="1:6" x14ac:dyDescent="0.3">
      <c r="A4498" s="63"/>
      <c r="B4498" s="64"/>
      <c r="C4498" s="64"/>
      <c r="D4498" s="64"/>
      <c r="E4498" s="63"/>
      <c r="F4498" s="64"/>
    </row>
    <row r="4499" spans="1:6" x14ac:dyDescent="0.3">
      <c r="A4499" s="2"/>
      <c r="B4499" s="65"/>
      <c r="C4499" s="65"/>
      <c r="D4499" s="2"/>
      <c r="E4499" s="2"/>
      <c r="F4499" s="2"/>
    </row>
    <row r="4500" spans="1:6" x14ac:dyDescent="0.3">
      <c r="A4500" s="63"/>
      <c r="B4500" s="64"/>
      <c r="C4500" s="64"/>
      <c r="D4500" s="64"/>
      <c r="E4500" s="63"/>
      <c r="F4500" s="64"/>
    </row>
    <row r="4501" spans="1:6" x14ac:dyDescent="0.3">
      <c r="A4501" s="2"/>
      <c r="B4501" s="65"/>
      <c r="C4501" s="65"/>
      <c r="D4501" s="2"/>
      <c r="E4501" s="2"/>
      <c r="F4501" s="2"/>
    </row>
    <row r="4502" spans="1:6" x14ac:dyDescent="0.3">
      <c r="A4502" s="63"/>
      <c r="B4502" s="64"/>
      <c r="C4502" s="64"/>
      <c r="D4502" s="64"/>
      <c r="E4502" s="63"/>
      <c r="F4502" s="64"/>
    </row>
    <row r="4503" spans="1:6" x14ac:dyDescent="0.3">
      <c r="A4503" s="2"/>
      <c r="B4503" s="65"/>
      <c r="C4503" s="65"/>
      <c r="D4503" s="2"/>
      <c r="E4503" s="2"/>
      <c r="F4503" s="2"/>
    </row>
    <row r="4504" spans="1:6" x14ac:dyDescent="0.3">
      <c r="A4504" s="63"/>
      <c r="B4504" s="64"/>
      <c r="C4504" s="64"/>
      <c r="D4504" s="64"/>
      <c r="E4504" s="63"/>
      <c r="F4504" s="64"/>
    </row>
    <row r="4505" spans="1:6" x14ac:dyDescent="0.3">
      <c r="A4505" s="2"/>
      <c r="B4505" s="65"/>
      <c r="C4505" s="65"/>
      <c r="D4505" s="2"/>
      <c r="E4505" s="2"/>
      <c r="F4505" s="2"/>
    </row>
    <row r="4506" spans="1:6" x14ac:dyDescent="0.3">
      <c r="A4506" s="63"/>
      <c r="B4506" s="64"/>
      <c r="C4506" s="64"/>
      <c r="D4506" s="64"/>
      <c r="E4506" s="63"/>
      <c r="F4506" s="64"/>
    </row>
    <row r="4507" spans="1:6" x14ac:dyDescent="0.3">
      <c r="A4507" s="2"/>
      <c r="B4507" s="65"/>
      <c r="C4507" s="65"/>
      <c r="D4507" s="2"/>
      <c r="E4507" s="2"/>
      <c r="F4507" s="2"/>
    </row>
    <row r="4508" spans="1:6" x14ac:dyDescent="0.3">
      <c r="A4508" s="63"/>
      <c r="B4508" s="64"/>
      <c r="C4508" s="64"/>
      <c r="D4508" s="64"/>
      <c r="E4508" s="63"/>
      <c r="F4508" s="64"/>
    </row>
    <row r="4509" spans="1:6" x14ac:dyDescent="0.3">
      <c r="A4509" s="2"/>
      <c r="B4509" s="65"/>
      <c r="C4509" s="65"/>
      <c r="D4509" s="2"/>
      <c r="E4509" s="2"/>
      <c r="F4509" s="2"/>
    </row>
    <row r="4510" spans="1:6" x14ac:dyDescent="0.3">
      <c r="A4510" s="63"/>
      <c r="B4510" s="64"/>
      <c r="C4510" s="64"/>
      <c r="D4510" s="64"/>
      <c r="E4510" s="63"/>
      <c r="F4510" s="64"/>
    </row>
    <row r="4511" spans="1:6" x14ac:dyDescent="0.3">
      <c r="A4511" s="2"/>
      <c r="B4511" s="65"/>
      <c r="C4511" s="65"/>
      <c r="D4511" s="2"/>
      <c r="E4511" s="2"/>
      <c r="F4511" s="2"/>
    </row>
    <row r="4512" spans="1:6" x14ac:dyDescent="0.3">
      <c r="A4512" s="63"/>
      <c r="B4512" s="64"/>
      <c r="C4512" s="64"/>
      <c r="D4512" s="64"/>
      <c r="E4512" s="63"/>
      <c r="F4512" s="64"/>
    </row>
    <row r="4513" spans="1:6" x14ac:dyDescent="0.3">
      <c r="A4513" s="2"/>
      <c r="B4513" s="65"/>
      <c r="C4513" s="65"/>
      <c r="D4513" s="2"/>
      <c r="E4513" s="2"/>
      <c r="F4513" s="2"/>
    </row>
    <row r="4514" spans="1:6" x14ac:dyDescent="0.3">
      <c r="A4514" s="63"/>
      <c r="B4514" s="64"/>
      <c r="C4514" s="64"/>
      <c r="D4514" s="64"/>
      <c r="E4514" s="63"/>
      <c r="F4514" s="64"/>
    </row>
    <row r="4515" spans="1:6" x14ac:dyDescent="0.3">
      <c r="A4515" s="2"/>
      <c r="B4515" s="65"/>
      <c r="C4515" s="65"/>
      <c r="D4515" s="2"/>
      <c r="E4515" s="2"/>
      <c r="F4515" s="2"/>
    </row>
    <row r="4516" spans="1:6" x14ac:dyDescent="0.3">
      <c r="A4516" s="63"/>
      <c r="B4516" s="64"/>
      <c r="C4516" s="64"/>
      <c r="D4516" s="64"/>
      <c r="E4516" s="63"/>
      <c r="F4516" s="64"/>
    </row>
    <row r="4517" spans="1:6" x14ac:dyDescent="0.3">
      <c r="A4517" s="2"/>
      <c r="B4517" s="65"/>
      <c r="C4517" s="65"/>
      <c r="D4517" s="2"/>
      <c r="E4517" s="2"/>
      <c r="F4517" s="2"/>
    </row>
    <row r="4518" spans="1:6" x14ac:dyDescent="0.3">
      <c r="A4518" s="63"/>
      <c r="B4518" s="64"/>
      <c r="C4518" s="64"/>
      <c r="D4518" s="64"/>
      <c r="E4518" s="63"/>
      <c r="F4518" s="64"/>
    </row>
    <row r="4519" spans="1:6" x14ac:dyDescent="0.3">
      <c r="A4519" s="2"/>
      <c r="B4519" s="65"/>
      <c r="C4519" s="65"/>
      <c r="D4519" s="2"/>
      <c r="E4519" s="2"/>
      <c r="F4519" s="2"/>
    </row>
    <row r="4520" spans="1:6" x14ac:dyDescent="0.3">
      <c r="A4520" s="63"/>
      <c r="B4520" s="64"/>
      <c r="C4520" s="64"/>
      <c r="D4520" s="64"/>
      <c r="E4520" s="63"/>
      <c r="F4520" s="64"/>
    </row>
    <row r="4521" spans="1:6" x14ac:dyDescent="0.3">
      <c r="A4521" s="2"/>
      <c r="B4521" s="65"/>
      <c r="C4521" s="65"/>
      <c r="D4521" s="2"/>
      <c r="E4521" s="2"/>
      <c r="F4521" s="2"/>
    </row>
    <row r="4522" spans="1:6" x14ac:dyDescent="0.3">
      <c r="A4522" s="63"/>
      <c r="B4522" s="64"/>
      <c r="C4522" s="64"/>
      <c r="D4522" s="64"/>
      <c r="E4522" s="63"/>
      <c r="F4522" s="64"/>
    </row>
    <row r="4523" spans="1:6" x14ac:dyDescent="0.3">
      <c r="A4523" s="2"/>
      <c r="B4523" s="65"/>
      <c r="C4523" s="65"/>
      <c r="D4523" s="2"/>
      <c r="E4523" s="2"/>
      <c r="F4523" s="2"/>
    </row>
    <row r="4524" spans="1:6" x14ac:dyDescent="0.3">
      <c r="A4524" s="63"/>
      <c r="B4524" s="64"/>
      <c r="C4524" s="64"/>
      <c r="D4524" s="64"/>
      <c r="E4524" s="63"/>
      <c r="F4524" s="64"/>
    </row>
    <row r="4525" spans="1:6" x14ac:dyDescent="0.3">
      <c r="A4525" s="2"/>
      <c r="B4525" s="65"/>
      <c r="C4525" s="65"/>
      <c r="D4525" s="2"/>
      <c r="E4525" s="2"/>
      <c r="F4525" s="2"/>
    </row>
    <row r="4526" spans="1:6" x14ac:dyDescent="0.3">
      <c r="A4526" s="63"/>
      <c r="B4526" s="64"/>
      <c r="C4526" s="64"/>
      <c r="D4526" s="64"/>
      <c r="E4526" s="63"/>
      <c r="F4526" s="64"/>
    </row>
    <row r="4527" spans="1:6" x14ac:dyDescent="0.3">
      <c r="A4527" s="2"/>
      <c r="B4527" s="65"/>
      <c r="C4527" s="65"/>
      <c r="D4527" s="2"/>
      <c r="E4527" s="2"/>
      <c r="F4527" s="2"/>
    </row>
    <row r="4528" spans="1:6" x14ac:dyDescent="0.3">
      <c r="A4528" s="63"/>
      <c r="B4528" s="64"/>
      <c r="C4528" s="64"/>
      <c r="D4528" s="64"/>
      <c r="E4528" s="63"/>
      <c r="F4528" s="64"/>
    </row>
    <row r="4529" spans="1:6" x14ac:dyDescent="0.3">
      <c r="A4529" s="2"/>
      <c r="B4529" s="65"/>
      <c r="C4529" s="65"/>
      <c r="D4529" s="2"/>
      <c r="E4529" s="2"/>
      <c r="F4529" s="2"/>
    </row>
    <row r="4530" spans="1:6" x14ac:dyDescent="0.3">
      <c r="A4530" s="63"/>
      <c r="B4530" s="64"/>
      <c r="C4530" s="64"/>
      <c r="D4530" s="64"/>
      <c r="E4530" s="63"/>
      <c r="F4530" s="64"/>
    </row>
    <row r="4531" spans="1:6" x14ac:dyDescent="0.3">
      <c r="A4531" s="2"/>
      <c r="B4531" s="65"/>
      <c r="C4531" s="65"/>
      <c r="D4531" s="2"/>
      <c r="E4531" s="2"/>
      <c r="F4531" s="2"/>
    </row>
    <row r="4532" spans="1:6" x14ac:dyDescent="0.3">
      <c r="A4532" s="63"/>
      <c r="B4532" s="64"/>
      <c r="C4532" s="64"/>
      <c r="D4532" s="64"/>
      <c r="E4532" s="63"/>
      <c r="F4532" s="64"/>
    </row>
    <row r="4533" spans="1:6" x14ac:dyDescent="0.3">
      <c r="A4533" s="2"/>
      <c r="B4533" s="65"/>
      <c r="C4533" s="65"/>
      <c r="D4533" s="2"/>
      <c r="E4533" s="2"/>
      <c r="F4533" s="2"/>
    </row>
    <row r="4534" spans="1:6" x14ac:dyDescent="0.3">
      <c r="A4534" s="63"/>
      <c r="B4534" s="64"/>
      <c r="C4534" s="64"/>
      <c r="D4534" s="64"/>
      <c r="E4534" s="63"/>
      <c r="F4534" s="64"/>
    </row>
    <row r="4535" spans="1:6" x14ac:dyDescent="0.3">
      <c r="A4535" s="2"/>
      <c r="B4535" s="65"/>
      <c r="C4535" s="65"/>
      <c r="D4535" s="2"/>
      <c r="E4535" s="2"/>
      <c r="F4535" s="2"/>
    </row>
    <row r="4536" spans="1:6" x14ac:dyDescent="0.3">
      <c r="A4536" s="63"/>
      <c r="B4536" s="64"/>
      <c r="C4536" s="64"/>
      <c r="D4536" s="64"/>
      <c r="E4536" s="63"/>
      <c r="F4536" s="64"/>
    </row>
    <row r="4537" spans="1:6" x14ac:dyDescent="0.3">
      <c r="A4537" s="2"/>
      <c r="B4537" s="65"/>
      <c r="C4537" s="65"/>
      <c r="D4537" s="2"/>
      <c r="E4537" s="2"/>
      <c r="F4537" s="2"/>
    </row>
    <row r="4538" spans="1:6" x14ac:dyDescent="0.3">
      <c r="A4538" s="63"/>
      <c r="B4538" s="64"/>
      <c r="C4538" s="64"/>
      <c r="D4538" s="64"/>
      <c r="E4538" s="63"/>
      <c r="F4538" s="64"/>
    </row>
    <row r="4539" spans="1:6" x14ac:dyDescent="0.3">
      <c r="A4539" s="2"/>
      <c r="B4539" s="65"/>
      <c r="C4539" s="65"/>
      <c r="D4539" s="2"/>
      <c r="E4539" s="2"/>
      <c r="F4539" s="2"/>
    </row>
    <row r="4540" spans="1:6" x14ac:dyDescent="0.3">
      <c r="A4540" s="63"/>
      <c r="B4540" s="64"/>
      <c r="C4540" s="64"/>
      <c r="D4540" s="64"/>
      <c r="E4540" s="63"/>
      <c r="F4540" s="64"/>
    </row>
    <row r="4541" spans="1:6" x14ac:dyDescent="0.3">
      <c r="A4541" s="2"/>
      <c r="B4541" s="65"/>
      <c r="C4541" s="65"/>
      <c r="D4541" s="2"/>
      <c r="E4541" s="2"/>
      <c r="F4541" s="2"/>
    </row>
    <row r="4542" spans="1:6" x14ac:dyDescent="0.3">
      <c r="A4542" s="63"/>
      <c r="B4542" s="64"/>
      <c r="C4542" s="64"/>
      <c r="D4542" s="64"/>
      <c r="E4542" s="63"/>
      <c r="F4542" s="64"/>
    </row>
    <row r="4543" spans="1:6" x14ac:dyDescent="0.3">
      <c r="A4543" s="2"/>
      <c r="B4543" s="65"/>
      <c r="C4543" s="65"/>
      <c r="D4543" s="2"/>
      <c r="E4543" s="2"/>
      <c r="F4543" s="2"/>
    </row>
    <row r="4544" spans="1:6" x14ac:dyDescent="0.3">
      <c r="A4544" s="63"/>
      <c r="B4544" s="64"/>
      <c r="C4544" s="64"/>
      <c r="D4544" s="64"/>
      <c r="E4544" s="63"/>
      <c r="F4544" s="64"/>
    </row>
    <row r="4545" spans="1:6" x14ac:dyDescent="0.3">
      <c r="A4545" s="2"/>
      <c r="B4545" s="65"/>
      <c r="C4545" s="65"/>
      <c r="D4545" s="2"/>
      <c r="E4545" s="2"/>
      <c r="F4545" s="2"/>
    </row>
    <row r="4546" spans="1:6" x14ac:dyDescent="0.3">
      <c r="A4546" s="63"/>
      <c r="B4546" s="64"/>
      <c r="C4546" s="64"/>
      <c r="D4546" s="64"/>
      <c r="E4546" s="63"/>
      <c r="F4546" s="64"/>
    </row>
    <row r="4547" spans="1:6" x14ac:dyDescent="0.3">
      <c r="A4547" s="2"/>
      <c r="B4547" s="65"/>
      <c r="C4547" s="65"/>
      <c r="D4547" s="2"/>
      <c r="E4547" s="2"/>
      <c r="F4547" s="2"/>
    </row>
    <row r="4548" spans="1:6" x14ac:dyDescent="0.3">
      <c r="A4548" s="63"/>
      <c r="B4548" s="64"/>
      <c r="C4548" s="64"/>
      <c r="D4548" s="64"/>
      <c r="E4548" s="63"/>
      <c r="F4548" s="64"/>
    </row>
    <row r="4549" spans="1:6" x14ac:dyDescent="0.3">
      <c r="A4549" s="2"/>
      <c r="B4549" s="65"/>
      <c r="C4549" s="65"/>
      <c r="D4549" s="2"/>
      <c r="E4549" s="2"/>
      <c r="F4549" s="2"/>
    </row>
    <row r="4550" spans="1:6" x14ac:dyDescent="0.3">
      <c r="A4550" s="63"/>
      <c r="B4550" s="64"/>
      <c r="C4550" s="64"/>
      <c r="D4550" s="64"/>
      <c r="E4550" s="63"/>
      <c r="F4550" s="64"/>
    </row>
    <row r="4551" spans="1:6" x14ac:dyDescent="0.3">
      <c r="A4551" s="2"/>
      <c r="B4551" s="65"/>
      <c r="C4551" s="65"/>
      <c r="D4551" s="2"/>
      <c r="E4551" s="2"/>
      <c r="F4551" s="2"/>
    </row>
    <row r="4552" spans="1:6" x14ac:dyDescent="0.3">
      <c r="A4552" s="63"/>
      <c r="B4552" s="64"/>
      <c r="C4552" s="64"/>
      <c r="D4552" s="64"/>
      <c r="E4552" s="63"/>
      <c r="F4552" s="64"/>
    </row>
    <row r="4553" spans="1:6" x14ac:dyDescent="0.3">
      <c r="A4553" s="2"/>
      <c r="B4553" s="65"/>
      <c r="C4553" s="65"/>
      <c r="D4553" s="2"/>
      <c r="E4553" s="2"/>
      <c r="F4553" s="2"/>
    </row>
    <row r="4554" spans="1:6" x14ac:dyDescent="0.3">
      <c r="A4554" s="63"/>
      <c r="B4554" s="64"/>
      <c r="C4554" s="64"/>
      <c r="D4554" s="64"/>
      <c r="E4554" s="63"/>
      <c r="F4554" s="64"/>
    </row>
    <row r="4555" spans="1:6" x14ac:dyDescent="0.3">
      <c r="A4555" s="2"/>
      <c r="B4555" s="65"/>
      <c r="C4555" s="65"/>
      <c r="D4555" s="2"/>
      <c r="E4555" s="2"/>
      <c r="F4555" s="2"/>
    </row>
    <row r="4556" spans="1:6" x14ac:dyDescent="0.3">
      <c r="A4556" s="63"/>
      <c r="B4556" s="64"/>
      <c r="C4556" s="64"/>
      <c r="D4556" s="64"/>
      <c r="E4556" s="63"/>
      <c r="F4556" s="64"/>
    </row>
    <row r="4557" spans="1:6" x14ac:dyDescent="0.3">
      <c r="A4557" s="2"/>
      <c r="B4557" s="65"/>
      <c r="C4557" s="65"/>
      <c r="D4557" s="2"/>
      <c r="E4557" s="2"/>
      <c r="F4557" s="2"/>
    </row>
    <row r="4558" spans="1:6" x14ac:dyDescent="0.3">
      <c r="A4558" s="63"/>
      <c r="B4558" s="64"/>
      <c r="C4558" s="64"/>
      <c r="D4558" s="64"/>
      <c r="E4558" s="63"/>
      <c r="F4558" s="64"/>
    </row>
    <row r="4559" spans="1:6" x14ac:dyDescent="0.3">
      <c r="A4559" s="2"/>
      <c r="B4559" s="65"/>
      <c r="C4559" s="65"/>
      <c r="D4559" s="2"/>
      <c r="E4559" s="2"/>
      <c r="F4559" s="2"/>
    </row>
    <row r="4560" spans="1:6" x14ac:dyDescent="0.3">
      <c r="A4560" s="63"/>
      <c r="B4560" s="64"/>
      <c r="C4560" s="64"/>
      <c r="D4560" s="64"/>
      <c r="E4560" s="63"/>
      <c r="F4560" s="64"/>
    </row>
    <row r="4561" spans="1:6" x14ac:dyDescent="0.3">
      <c r="A4561" s="2"/>
      <c r="B4561" s="65"/>
      <c r="C4561" s="65"/>
      <c r="D4561" s="2"/>
      <c r="E4561" s="2"/>
      <c r="F4561" s="2"/>
    </row>
    <row r="4562" spans="1:6" x14ac:dyDescent="0.3">
      <c r="A4562" s="63"/>
      <c r="B4562" s="64"/>
      <c r="C4562" s="64"/>
      <c r="D4562" s="64"/>
      <c r="E4562" s="63"/>
      <c r="F4562" s="64"/>
    </row>
    <row r="4563" spans="1:6" x14ac:dyDescent="0.3">
      <c r="A4563" s="2"/>
      <c r="B4563" s="65"/>
      <c r="C4563" s="65"/>
      <c r="D4563" s="2"/>
      <c r="E4563" s="2"/>
      <c r="F4563" s="2"/>
    </row>
    <row r="4564" spans="1:6" x14ac:dyDescent="0.3">
      <c r="A4564" s="63"/>
      <c r="B4564" s="64"/>
      <c r="C4564" s="64"/>
      <c r="D4564" s="64"/>
      <c r="E4564" s="63"/>
      <c r="F4564" s="64"/>
    </row>
    <row r="4565" spans="1:6" x14ac:dyDescent="0.3">
      <c r="A4565" s="2"/>
      <c r="B4565" s="65"/>
      <c r="C4565" s="65"/>
      <c r="D4565" s="2"/>
      <c r="E4565" s="2"/>
      <c r="F4565" s="2"/>
    </row>
    <row r="4566" spans="1:6" x14ac:dyDescent="0.3">
      <c r="A4566" s="63"/>
      <c r="B4566" s="64"/>
      <c r="C4566" s="64"/>
      <c r="D4566" s="64"/>
      <c r="E4566" s="63"/>
      <c r="F4566" s="64"/>
    </row>
    <row r="4567" spans="1:6" x14ac:dyDescent="0.3">
      <c r="A4567" s="2"/>
      <c r="B4567" s="65"/>
      <c r="C4567" s="65"/>
      <c r="D4567" s="2"/>
      <c r="E4567" s="2"/>
      <c r="F4567" s="2"/>
    </row>
    <row r="4568" spans="1:6" x14ac:dyDescent="0.3">
      <c r="A4568" s="63"/>
      <c r="B4568" s="64"/>
      <c r="C4568" s="64"/>
      <c r="D4568" s="64"/>
      <c r="E4568" s="63"/>
      <c r="F4568" s="64"/>
    </row>
    <row r="4569" spans="1:6" x14ac:dyDescent="0.3">
      <c r="A4569" s="2"/>
      <c r="B4569" s="65"/>
      <c r="C4569" s="65"/>
      <c r="D4569" s="2"/>
      <c r="E4569" s="2"/>
      <c r="F4569" s="2"/>
    </row>
    <row r="4570" spans="1:6" x14ac:dyDescent="0.3">
      <c r="A4570" s="63"/>
      <c r="B4570" s="64"/>
      <c r="C4570" s="64"/>
      <c r="D4570" s="64"/>
      <c r="E4570" s="63"/>
      <c r="F4570" s="64"/>
    </row>
    <row r="4571" spans="1:6" x14ac:dyDescent="0.3">
      <c r="A4571" s="2"/>
      <c r="B4571" s="65"/>
      <c r="C4571" s="65"/>
      <c r="D4571" s="2"/>
      <c r="E4571" s="2"/>
      <c r="F4571" s="2"/>
    </row>
    <row r="4572" spans="1:6" x14ac:dyDescent="0.3">
      <c r="A4572" s="63"/>
      <c r="B4572" s="64"/>
      <c r="C4572" s="64"/>
      <c r="D4572" s="64"/>
      <c r="E4572" s="63"/>
      <c r="F4572" s="64"/>
    </row>
    <row r="4573" spans="1:6" x14ac:dyDescent="0.3">
      <c r="A4573" s="2"/>
      <c r="B4573" s="65"/>
      <c r="C4573" s="65"/>
      <c r="D4573" s="2"/>
      <c r="E4573" s="2"/>
      <c r="F4573" s="2"/>
    </row>
    <row r="4574" spans="1:6" x14ac:dyDescent="0.3">
      <c r="A4574" s="63"/>
      <c r="B4574" s="64"/>
      <c r="C4574" s="64"/>
      <c r="D4574" s="64"/>
      <c r="E4574" s="63"/>
      <c r="F4574" s="64"/>
    </row>
    <row r="4575" spans="1:6" x14ac:dyDescent="0.3">
      <c r="A4575" s="2"/>
      <c r="B4575" s="65"/>
      <c r="C4575" s="65"/>
      <c r="D4575" s="2"/>
      <c r="E4575" s="2"/>
      <c r="F4575" s="2"/>
    </row>
    <row r="4576" spans="1:6" x14ac:dyDescent="0.3">
      <c r="A4576" s="63"/>
      <c r="B4576" s="64"/>
      <c r="C4576" s="64"/>
      <c r="D4576" s="64"/>
      <c r="E4576" s="63"/>
      <c r="F4576" s="64"/>
    </row>
    <row r="4577" spans="1:6" x14ac:dyDescent="0.3">
      <c r="A4577" s="2"/>
      <c r="B4577" s="65"/>
      <c r="C4577" s="65"/>
      <c r="D4577" s="2"/>
      <c r="E4577" s="2"/>
      <c r="F4577" s="2"/>
    </row>
    <row r="4578" spans="1:6" x14ac:dyDescent="0.3">
      <c r="A4578" s="63"/>
      <c r="B4578" s="64"/>
      <c r="C4578" s="64"/>
      <c r="D4578" s="64"/>
      <c r="E4578" s="63"/>
      <c r="F4578" s="64"/>
    </row>
    <row r="4579" spans="1:6" x14ac:dyDescent="0.3">
      <c r="A4579" s="2"/>
      <c r="B4579" s="65"/>
      <c r="C4579" s="65"/>
      <c r="D4579" s="2"/>
      <c r="E4579" s="2"/>
      <c r="F4579" s="2"/>
    </row>
    <row r="4580" spans="1:6" x14ac:dyDescent="0.3">
      <c r="A4580" s="63"/>
      <c r="B4580" s="64"/>
      <c r="C4580" s="64"/>
      <c r="D4580" s="64"/>
      <c r="E4580" s="63"/>
      <c r="F4580" s="64"/>
    </row>
    <row r="4581" spans="1:6" x14ac:dyDescent="0.3">
      <c r="A4581" s="2"/>
      <c r="B4581" s="65"/>
      <c r="C4581" s="65"/>
      <c r="D4581" s="2"/>
      <c r="E4581" s="2"/>
      <c r="F4581" s="2"/>
    </row>
    <row r="4582" spans="1:6" x14ac:dyDescent="0.3">
      <c r="A4582" s="63"/>
      <c r="B4582" s="64"/>
      <c r="C4582" s="64"/>
      <c r="D4582" s="64"/>
      <c r="E4582" s="63"/>
      <c r="F4582" s="64"/>
    </row>
    <row r="4583" spans="1:6" x14ac:dyDescent="0.3">
      <c r="A4583" s="2"/>
      <c r="B4583" s="65"/>
      <c r="C4583" s="65"/>
      <c r="D4583" s="2"/>
      <c r="E4583" s="2"/>
      <c r="F4583" s="2"/>
    </row>
    <row r="4584" spans="1:6" x14ac:dyDescent="0.3">
      <c r="A4584" s="63"/>
      <c r="B4584" s="64"/>
      <c r="C4584" s="64"/>
      <c r="D4584" s="64"/>
      <c r="E4584" s="63"/>
      <c r="F4584" s="64"/>
    </row>
    <row r="4585" spans="1:6" x14ac:dyDescent="0.3">
      <c r="A4585" s="2"/>
      <c r="B4585" s="65"/>
      <c r="C4585" s="65"/>
      <c r="D4585" s="2"/>
      <c r="E4585" s="2"/>
      <c r="F4585" s="2"/>
    </row>
    <row r="4586" spans="1:6" x14ac:dyDescent="0.3">
      <c r="A4586" s="63"/>
      <c r="B4586" s="64"/>
      <c r="C4586" s="64"/>
      <c r="D4586" s="64"/>
      <c r="E4586" s="63"/>
      <c r="F4586" s="64"/>
    </row>
    <row r="4587" spans="1:6" x14ac:dyDescent="0.3">
      <c r="A4587" s="2"/>
      <c r="B4587" s="65"/>
      <c r="C4587" s="65"/>
      <c r="D4587" s="2"/>
      <c r="E4587" s="2"/>
      <c r="F4587" s="2"/>
    </row>
    <row r="4588" spans="1:6" x14ac:dyDescent="0.3">
      <c r="A4588" s="63"/>
      <c r="B4588" s="64"/>
      <c r="C4588" s="64"/>
      <c r="D4588" s="64"/>
      <c r="E4588" s="63"/>
      <c r="F4588" s="64"/>
    </row>
    <row r="4589" spans="1:6" x14ac:dyDescent="0.3">
      <c r="A4589" s="2"/>
      <c r="B4589" s="65"/>
      <c r="C4589" s="65"/>
      <c r="D4589" s="2"/>
      <c r="E4589" s="2"/>
      <c r="F4589" s="2"/>
    </row>
    <row r="4590" spans="1:6" x14ac:dyDescent="0.3">
      <c r="A4590" s="63"/>
      <c r="B4590" s="64"/>
      <c r="C4590" s="64"/>
      <c r="D4590" s="64"/>
      <c r="E4590" s="63"/>
      <c r="F4590" s="64"/>
    </row>
    <row r="4591" spans="1:6" x14ac:dyDescent="0.3">
      <c r="A4591" s="2"/>
      <c r="B4591" s="65"/>
      <c r="C4591" s="65"/>
      <c r="D4591" s="2"/>
      <c r="E4591" s="2"/>
      <c r="F4591" s="2"/>
    </row>
    <row r="4592" spans="1:6" x14ac:dyDescent="0.3">
      <c r="A4592" s="63"/>
      <c r="B4592" s="64"/>
      <c r="C4592" s="64"/>
      <c r="D4592" s="64"/>
      <c r="E4592" s="63"/>
      <c r="F4592" s="64"/>
    </row>
    <row r="4593" spans="1:6" x14ac:dyDescent="0.3">
      <c r="A4593" s="2"/>
      <c r="B4593" s="65"/>
      <c r="C4593" s="65"/>
      <c r="D4593" s="2"/>
      <c r="E4593" s="2"/>
      <c r="F4593" s="2"/>
    </row>
    <row r="4594" spans="1:6" x14ac:dyDescent="0.3">
      <c r="A4594" s="63"/>
      <c r="B4594" s="64"/>
      <c r="C4594" s="64"/>
      <c r="D4594" s="64"/>
      <c r="E4594" s="63"/>
      <c r="F4594" s="64"/>
    </row>
    <row r="4595" spans="1:6" x14ac:dyDescent="0.3">
      <c r="A4595" s="2"/>
      <c r="B4595" s="65"/>
      <c r="C4595" s="65"/>
      <c r="D4595" s="2"/>
      <c r="E4595" s="2"/>
      <c r="F4595" s="2"/>
    </row>
    <row r="4596" spans="1:6" x14ac:dyDescent="0.3">
      <c r="A4596" s="63"/>
      <c r="B4596" s="64"/>
      <c r="C4596" s="64"/>
      <c r="D4596" s="64"/>
      <c r="E4596" s="63"/>
      <c r="F4596" s="64"/>
    </row>
    <row r="4597" spans="1:6" x14ac:dyDescent="0.3">
      <c r="A4597" s="2"/>
      <c r="B4597" s="65"/>
      <c r="C4597" s="65"/>
      <c r="D4597" s="2"/>
      <c r="E4597" s="2"/>
      <c r="F4597" s="2"/>
    </row>
    <row r="4598" spans="1:6" x14ac:dyDescent="0.3">
      <c r="A4598" s="63"/>
      <c r="B4598" s="64"/>
      <c r="C4598" s="64"/>
      <c r="D4598" s="64"/>
      <c r="E4598" s="63"/>
      <c r="F4598" s="64"/>
    </row>
    <row r="4599" spans="1:6" x14ac:dyDescent="0.3">
      <c r="A4599" s="2"/>
      <c r="B4599" s="65"/>
      <c r="C4599" s="65"/>
      <c r="D4599" s="2"/>
      <c r="E4599" s="2"/>
      <c r="F4599" s="2"/>
    </row>
    <row r="4600" spans="1:6" x14ac:dyDescent="0.3">
      <c r="A4600" s="63"/>
      <c r="B4600" s="64"/>
      <c r="C4600" s="64"/>
      <c r="D4600" s="64"/>
      <c r="E4600" s="63"/>
      <c r="F4600" s="64"/>
    </row>
    <row r="4601" spans="1:6" x14ac:dyDescent="0.3">
      <c r="A4601" s="2"/>
      <c r="B4601" s="65"/>
      <c r="C4601" s="65"/>
      <c r="D4601" s="2"/>
      <c r="E4601" s="2"/>
      <c r="F4601" s="2"/>
    </row>
    <row r="4602" spans="1:6" x14ac:dyDescent="0.3">
      <c r="A4602" s="63"/>
      <c r="B4602" s="64"/>
      <c r="C4602" s="64"/>
      <c r="D4602" s="64"/>
      <c r="E4602" s="63"/>
      <c r="F4602" s="64"/>
    </row>
    <row r="4603" spans="1:6" x14ac:dyDescent="0.3">
      <c r="A4603" s="2"/>
      <c r="B4603" s="65"/>
      <c r="C4603" s="65"/>
      <c r="D4603" s="2"/>
      <c r="E4603" s="2"/>
      <c r="F4603" s="2"/>
    </row>
    <row r="4604" spans="1:6" x14ac:dyDescent="0.3">
      <c r="A4604" s="63"/>
      <c r="B4604" s="64"/>
      <c r="C4604" s="64"/>
      <c r="D4604" s="64"/>
      <c r="E4604" s="63"/>
      <c r="F4604" s="64"/>
    </row>
    <row r="4605" spans="1:6" x14ac:dyDescent="0.3">
      <c r="A4605" s="2"/>
      <c r="B4605" s="65"/>
      <c r="C4605" s="65"/>
      <c r="D4605" s="2"/>
      <c r="E4605" s="2"/>
      <c r="F4605" s="2"/>
    </row>
    <row r="4606" spans="1:6" x14ac:dyDescent="0.3">
      <c r="A4606" s="63"/>
      <c r="B4606" s="64"/>
      <c r="C4606" s="64"/>
      <c r="D4606" s="64"/>
      <c r="E4606" s="63"/>
      <c r="F4606" s="64"/>
    </row>
    <row r="4607" spans="1:6" x14ac:dyDescent="0.3">
      <c r="A4607" s="2"/>
      <c r="B4607" s="65"/>
      <c r="C4607" s="65"/>
      <c r="D4607" s="2"/>
      <c r="E4607" s="2"/>
      <c r="F4607" s="2"/>
    </row>
    <row r="4608" spans="1:6" x14ac:dyDescent="0.3">
      <c r="A4608" s="63"/>
      <c r="B4608" s="64"/>
      <c r="C4608" s="64"/>
      <c r="D4608" s="64"/>
      <c r="E4608" s="63"/>
      <c r="F4608" s="64"/>
    </row>
    <row r="4609" spans="1:6" x14ac:dyDescent="0.3">
      <c r="A4609" s="2"/>
      <c r="B4609" s="65"/>
      <c r="C4609" s="65"/>
      <c r="D4609" s="2"/>
      <c r="E4609" s="2"/>
      <c r="F4609" s="2"/>
    </row>
    <row r="4610" spans="1:6" x14ac:dyDescent="0.3">
      <c r="A4610" s="63"/>
      <c r="B4610" s="64"/>
      <c r="C4610" s="64"/>
      <c r="D4610" s="64"/>
      <c r="E4610" s="63"/>
      <c r="F4610" s="64"/>
    </row>
    <row r="4611" spans="1:6" x14ac:dyDescent="0.3">
      <c r="A4611" s="2"/>
      <c r="B4611" s="65"/>
      <c r="C4611" s="65"/>
      <c r="D4611" s="2"/>
      <c r="E4611" s="2"/>
      <c r="F4611" s="2"/>
    </row>
    <row r="4612" spans="1:6" x14ac:dyDescent="0.3">
      <c r="A4612" s="63"/>
      <c r="B4612" s="64"/>
      <c r="C4612" s="64"/>
      <c r="D4612" s="64"/>
      <c r="E4612" s="63"/>
      <c r="F4612" s="64"/>
    </row>
    <row r="4613" spans="1:6" x14ac:dyDescent="0.3">
      <c r="A4613" s="2"/>
      <c r="B4613" s="65"/>
      <c r="C4613" s="65"/>
      <c r="D4613" s="2"/>
      <c r="E4613" s="2"/>
      <c r="F4613" s="2"/>
    </row>
    <row r="4614" spans="1:6" x14ac:dyDescent="0.3">
      <c r="A4614" s="63"/>
      <c r="B4614" s="64"/>
      <c r="C4614" s="64"/>
      <c r="D4614" s="64"/>
      <c r="E4614" s="63"/>
      <c r="F4614" s="64"/>
    </row>
    <row r="4615" spans="1:6" x14ac:dyDescent="0.3">
      <c r="A4615" s="2"/>
      <c r="B4615" s="65"/>
      <c r="C4615" s="65"/>
      <c r="D4615" s="2"/>
      <c r="E4615" s="2"/>
      <c r="F4615" s="2"/>
    </row>
    <row r="4616" spans="1:6" x14ac:dyDescent="0.3">
      <c r="A4616" s="63"/>
      <c r="B4616" s="64"/>
      <c r="C4616" s="64"/>
      <c r="D4616" s="64"/>
      <c r="E4616" s="63"/>
      <c r="F4616" s="64"/>
    </row>
    <row r="4617" spans="1:6" x14ac:dyDescent="0.3">
      <c r="A4617" s="2"/>
      <c r="B4617" s="65"/>
      <c r="C4617" s="65"/>
      <c r="D4617" s="2"/>
      <c r="E4617" s="2"/>
      <c r="F4617" s="2"/>
    </row>
    <row r="4618" spans="1:6" x14ac:dyDescent="0.3">
      <c r="A4618" s="63"/>
      <c r="B4618" s="64"/>
      <c r="C4618" s="64"/>
      <c r="D4618" s="64"/>
      <c r="E4618" s="63"/>
      <c r="F4618" s="64"/>
    </row>
    <row r="4619" spans="1:6" x14ac:dyDescent="0.3">
      <c r="A4619" s="2"/>
      <c r="B4619" s="65"/>
      <c r="C4619" s="65"/>
      <c r="D4619" s="2"/>
      <c r="E4619" s="2"/>
      <c r="F4619" s="2"/>
    </row>
    <row r="4620" spans="1:6" x14ac:dyDescent="0.3">
      <c r="A4620" s="63"/>
      <c r="B4620" s="64"/>
      <c r="C4620" s="64"/>
      <c r="D4620" s="64"/>
      <c r="E4620" s="63"/>
      <c r="F4620" s="64"/>
    </row>
    <row r="4621" spans="1:6" x14ac:dyDescent="0.3">
      <c r="A4621" s="2"/>
      <c r="B4621" s="65"/>
      <c r="C4621" s="65"/>
      <c r="D4621" s="2"/>
      <c r="E4621" s="2"/>
      <c r="F4621" s="2"/>
    </row>
    <row r="4622" spans="1:6" x14ac:dyDescent="0.3">
      <c r="A4622" s="63"/>
      <c r="B4622" s="64"/>
      <c r="C4622" s="64"/>
      <c r="D4622" s="64"/>
      <c r="E4622" s="63"/>
      <c r="F4622" s="64"/>
    </row>
    <row r="4623" spans="1:6" x14ac:dyDescent="0.3">
      <c r="A4623" s="2"/>
      <c r="B4623" s="65"/>
      <c r="C4623" s="65"/>
      <c r="D4623" s="2"/>
      <c r="E4623" s="2"/>
      <c r="F4623" s="2"/>
    </row>
    <row r="4624" spans="1:6" x14ac:dyDescent="0.3">
      <c r="A4624" s="63"/>
      <c r="B4624" s="64"/>
      <c r="C4624" s="64"/>
      <c r="D4624" s="64"/>
      <c r="E4624" s="63"/>
      <c r="F4624" s="64"/>
    </row>
    <row r="4625" spans="1:6" x14ac:dyDescent="0.3">
      <c r="A4625" s="2"/>
      <c r="B4625" s="65"/>
      <c r="C4625" s="65"/>
      <c r="D4625" s="2"/>
      <c r="E4625" s="2"/>
      <c r="F4625" s="2"/>
    </row>
    <row r="4626" spans="1:6" x14ac:dyDescent="0.3">
      <c r="A4626" s="63"/>
      <c r="B4626" s="64"/>
      <c r="C4626" s="64"/>
      <c r="D4626" s="64"/>
      <c r="E4626" s="63"/>
      <c r="F4626" s="64"/>
    </row>
    <row r="4627" spans="1:6" x14ac:dyDescent="0.3">
      <c r="A4627" s="2"/>
      <c r="B4627" s="65"/>
      <c r="C4627" s="65"/>
      <c r="D4627" s="2"/>
      <c r="E4627" s="2"/>
      <c r="F4627" s="2"/>
    </row>
    <row r="4628" spans="1:6" x14ac:dyDescent="0.3">
      <c r="A4628" s="63"/>
      <c r="B4628" s="64"/>
      <c r="C4628" s="64"/>
      <c r="D4628" s="64"/>
      <c r="E4628" s="63"/>
      <c r="F4628" s="64"/>
    </row>
    <row r="4629" spans="1:6" x14ac:dyDescent="0.3">
      <c r="A4629" s="2"/>
      <c r="B4629" s="65"/>
      <c r="C4629" s="65"/>
      <c r="D4629" s="2"/>
      <c r="E4629" s="2"/>
      <c r="F4629" s="2"/>
    </row>
    <row r="4630" spans="1:6" x14ac:dyDescent="0.3">
      <c r="A4630" s="63"/>
      <c r="B4630" s="64"/>
      <c r="C4630" s="64"/>
      <c r="D4630" s="64"/>
      <c r="E4630" s="63"/>
      <c r="F4630" s="64"/>
    </row>
    <row r="4631" spans="1:6" x14ac:dyDescent="0.3">
      <c r="A4631" s="2"/>
      <c r="B4631" s="65"/>
      <c r="C4631" s="65"/>
      <c r="D4631" s="2"/>
      <c r="E4631" s="2"/>
      <c r="F4631" s="2"/>
    </row>
    <row r="4632" spans="1:6" x14ac:dyDescent="0.3">
      <c r="A4632" s="63"/>
      <c r="B4632" s="64"/>
      <c r="C4632" s="64"/>
      <c r="D4632" s="64"/>
      <c r="E4632" s="63"/>
      <c r="F4632" s="64"/>
    </row>
    <row r="4633" spans="1:6" x14ac:dyDescent="0.3">
      <c r="A4633" s="2"/>
      <c r="B4633" s="65"/>
      <c r="C4633" s="65"/>
      <c r="D4633" s="2"/>
      <c r="E4633" s="2"/>
      <c r="F4633" s="2"/>
    </row>
    <row r="4634" spans="1:6" x14ac:dyDescent="0.3">
      <c r="A4634" s="63"/>
      <c r="B4634" s="64"/>
      <c r="C4634" s="64"/>
      <c r="D4634" s="64"/>
      <c r="E4634" s="63"/>
      <c r="F4634" s="64"/>
    </row>
    <row r="4635" spans="1:6" x14ac:dyDescent="0.3">
      <c r="A4635" s="2"/>
      <c r="B4635" s="65"/>
      <c r="C4635" s="65"/>
      <c r="D4635" s="2"/>
      <c r="E4635" s="2"/>
      <c r="F4635" s="2"/>
    </row>
    <row r="4636" spans="1:6" x14ac:dyDescent="0.3">
      <c r="A4636" s="63"/>
      <c r="B4636" s="64"/>
      <c r="C4636" s="64"/>
      <c r="D4636" s="64"/>
      <c r="E4636" s="63"/>
      <c r="F4636" s="64"/>
    </row>
    <row r="4637" spans="1:6" x14ac:dyDescent="0.3">
      <c r="A4637" s="2"/>
      <c r="B4637" s="65"/>
      <c r="C4637" s="65"/>
      <c r="D4637" s="2"/>
      <c r="E4637" s="2"/>
      <c r="F4637" s="2"/>
    </row>
    <row r="4638" spans="1:6" x14ac:dyDescent="0.3">
      <c r="A4638" s="63"/>
      <c r="B4638" s="64"/>
      <c r="C4638" s="64"/>
      <c r="D4638" s="64"/>
      <c r="E4638" s="63"/>
      <c r="F4638" s="64"/>
    </row>
    <row r="4639" spans="1:6" x14ac:dyDescent="0.3">
      <c r="A4639" s="2"/>
      <c r="B4639" s="65"/>
      <c r="C4639" s="65"/>
      <c r="D4639" s="2"/>
      <c r="E4639" s="2"/>
      <c r="F4639" s="2"/>
    </row>
    <row r="4640" spans="1:6" x14ac:dyDescent="0.3">
      <c r="A4640" s="63"/>
      <c r="B4640" s="64"/>
      <c r="C4640" s="64"/>
      <c r="D4640" s="64"/>
      <c r="E4640" s="63"/>
      <c r="F4640" s="64"/>
    </row>
    <row r="4641" spans="1:6" x14ac:dyDescent="0.3">
      <c r="A4641" s="2"/>
      <c r="B4641" s="65"/>
      <c r="C4641" s="65"/>
      <c r="D4641" s="2"/>
      <c r="E4641" s="2"/>
      <c r="F4641" s="2"/>
    </row>
    <row r="4642" spans="1:6" x14ac:dyDescent="0.3">
      <c r="A4642" s="63"/>
      <c r="B4642" s="64"/>
      <c r="C4642" s="64"/>
      <c r="D4642" s="64"/>
      <c r="E4642" s="63"/>
      <c r="F4642" s="64"/>
    </row>
    <row r="4643" spans="1:6" x14ac:dyDescent="0.3">
      <c r="A4643" s="2"/>
      <c r="B4643" s="65"/>
      <c r="C4643" s="65"/>
      <c r="D4643" s="2"/>
      <c r="E4643" s="2"/>
      <c r="F4643" s="2"/>
    </row>
    <row r="4644" spans="1:6" x14ac:dyDescent="0.3">
      <c r="A4644" s="63"/>
      <c r="B4644" s="64"/>
      <c r="C4644" s="64"/>
      <c r="D4644" s="64"/>
      <c r="E4644" s="63"/>
      <c r="F4644" s="64"/>
    </row>
    <row r="4645" spans="1:6" x14ac:dyDescent="0.3">
      <c r="A4645" s="2"/>
      <c r="B4645" s="65"/>
      <c r="C4645" s="65"/>
      <c r="D4645" s="2"/>
      <c r="E4645" s="2"/>
      <c r="F4645" s="2"/>
    </row>
    <row r="4646" spans="1:6" x14ac:dyDescent="0.3">
      <c r="A4646" s="63"/>
      <c r="B4646" s="64"/>
      <c r="C4646" s="64"/>
      <c r="D4646" s="64"/>
      <c r="E4646" s="63"/>
      <c r="F4646" s="64"/>
    </row>
    <row r="4647" spans="1:6" x14ac:dyDescent="0.3">
      <c r="A4647" s="2"/>
      <c r="B4647" s="65"/>
      <c r="C4647" s="65"/>
      <c r="D4647" s="2"/>
      <c r="E4647" s="2"/>
      <c r="F4647" s="2"/>
    </row>
    <row r="4648" spans="1:6" x14ac:dyDescent="0.3">
      <c r="A4648" s="63"/>
      <c r="B4648" s="64"/>
      <c r="C4648" s="64"/>
      <c r="D4648" s="64"/>
      <c r="E4648" s="63"/>
      <c r="F4648" s="64"/>
    </row>
    <row r="4649" spans="1:6" x14ac:dyDescent="0.3">
      <c r="A4649" s="2"/>
      <c r="B4649" s="65"/>
      <c r="C4649" s="65"/>
      <c r="D4649" s="2"/>
      <c r="E4649" s="2"/>
      <c r="F4649" s="2"/>
    </row>
    <row r="4650" spans="1:6" x14ac:dyDescent="0.3">
      <c r="A4650" s="63"/>
      <c r="B4650" s="64"/>
      <c r="C4650" s="64"/>
      <c r="D4650" s="64"/>
      <c r="E4650" s="63"/>
      <c r="F4650" s="64"/>
    </row>
    <row r="4651" spans="1:6" x14ac:dyDescent="0.3">
      <c r="A4651" s="2"/>
      <c r="B4651" s="65"/>
      <c r="C4651" s="65"/>
      <c r="D4651" s="2"/>
      <c r="E4651" s="2"/>
      <c r="F4651" s="2"/>
    </row>
    <row r="4652" spans="1:6" x14ac:dyDescent="0.3">
      <c r="A4652" s="63"/>
      <c r="B4652" s="64"/>
      <c r="C4652" s="64"/>
      <c r="D4652" s="64"/>
      <c r="E4652" s="63"/>
      <c r="F4652" s="64"/>
    </row>
    <row r="4653" spans="1:6" x14ac:dyDescent="0.3">
      <c r="A4653" s="2"/>
      <c r="B4653" s="65"/>
      <c r="C4653" s="65"/>
      <c r="D4653" s="2"/>
      <c r="E4653" s="2"/>
      <c r="F4653" s="2"/>
    </row>
    <row r="4654" spans="1:6" x14ac:dyDescent="0.3">
      <c r="A4654" s="63"/>
      <c r="B4654" s="64"/>
      <c r="C4654" s="64"/>
      <c r="D4654" s="64"/>
      <c r="E4654" s="63"/>
      <c r="F4654" s="64"/>
    </row>
    <row r="4655" spans="1:6" x14ac:dyDescent="0.3">
      <c r="A4655" s="2"/>
      <c r="B4655" s="65"/>
      <c r="C4655" s="65"/>
      <c r="D4655" s="2"/>
      <c r="E4655" s="2"/>
      <c r="F4655" s="2"/>
    </row>
    <row r="4656" spans="1:6" x14ac:dyDescent="0.3">
      <c r="A4656" s="63"/>
      <c r="B4656" s="64"/>
      <c r="C4656" s="64"/>
      <c r="D4656" s="64"/>
      <c r="E4656" s="63"/>
      <c r="F4656" s="64"/>
    </row>
    <row r="4657" spans="1:6" x14ac:dyDescent="0.3">
      <c r="A4657" s="2"/>
      <c r="B4657" s="65"/>
      <c r="C4657" s="65"/>
      <c r="D4657" s="2"/>
      <c r="E4657" s="2"/>
      <c r="F4657" s="2"/>
    </row>
    <row r="4658" spans="1:6" x14ac:dyDescent="0.3">
      <c r="A4658" s="63"/>
      <c r="B4658" s="64"/>
      <c r="C4658" s="64"/>
      <c r="D4658" s="64"/>
      <c r="E4658" s="63"/>
      <c r="F4658" s="64"/>
    </row>
    <row r="4659" spans="1:6" x14ac:dyDescent="0.3">
      <c r="A4659" s="2"/>
      <c r="B4659" s="65"/>
      <c r="C4659" s="65"/>
      <c r="D4659" s="2"/>
      <c r="E4659" s="2"/>
      <c r="F4659" s="2"/>
    </row>
    <row r="4660" spans="1:6" x14ac:dyDescent="0.3">
      <c r="A4660" s="63"/>
      <c r="B4660" s="64"/>
      <c r="C4660" s="64"/>
      <c r="D4660" s="64"/>
      <c r="E4660" s="63"/>
      <c r="F4660" s="64"/>
    </row>
    <row r="4661" spans="1:6" x14ac:dyDescent="0.3">
      <c r="A4661" s="2"/>
      <c r="B4661" s="65"/>
      <c r="C4661" s="65"/>
      <c r="D4661" s="2"/>
      <c r="E4661" s="2"/>
      <c r="F4661" s="2"/>
    </row>
    <row r="4662" spans="1:6" x14ac:dyDescent="0.3">
      <c r="A4662" s="63"/>
      <c r="B4662" s="64"/>
      <c r="C4662" s="64"/>
      <c r="D4662" s="64"/>
      <c r="E4662" s="63"/>
      <c r="F4662" s="64"/>
    </row>
    <row r="4663" spans="1:6" x14ac:dyDescent="0.3">
      <c r="A4663" s="2"/>
      <c r="B4663" s="65"/>
      <c r="C4663" s="65"/>
      <c r="D4663" s="2"/>
      <c r="E4663" s="2"/>
      <c r="F4663" s="2"/>
    </row>
    <row r="4664" spans="1:6" x14ac:dyDescent="0.3">
      <c r="A4664" s="63"/>
      <c r="B4664" s="64"/>
      <c r="C4664" s="64"/>
      <c r="D4664" s="64"/>
      <c r="E4664" s="63"/>
      <c r="F4664" s="64"/>
    </row>
    <row r="4665" spans="1:6" x14ac:dyDescent="0.3">
      <c r="A4665" s="2"/>
      <c r="B4665" s="65"/>
      <c r="C4665" s="65"/>
      <c r="D4665" s="2"/>
      <c r="E4665" s="2"/>
      <c r="F4665" s="2"/>
    </row>
    <row r="4666" spans="1:6" x14ac:dyDescent="0.3">
      <c r="A4666" s="63"/>
      <c r="B4666" s="64"/>
      <c r="C4666" s="64"/>
      <c r="D4666" s="64"/>
      <c r="E4666" s="63"/>
      <c r="F4666" s="64"/>
    </row>
    <row r="4667" spans="1:6" x14ac:dyDescent="0.3">
      <c r="A4667" s="2"/>
      <c r="B4667" s="65"/>
      <c r="C4667" s="65"/>
      <c r="D4667" s="2"/>
      <c r="E4667" s="2"/>
      <c r="F4667" s="2"/>
    </row>
    <row r="4668" spans="1:6" x14ac:dyDescent="0.3">
      <c r="A4668" s="63"/>
      <c r="B4668" s="64"/>
      <c r="C4668" s="64"/>
      <c r="D4668" s="64"/>
      <c r="E4668" s="63"/>
      <c r="F4668" s="64"/>
    </row>
    <row r="4669" spans="1:6" x14ac:dyDescent="0.3">
      <c r="A4669" s="2"/>
      <c r="B4669" s="65"/>
      <c r="C4669" s="65"/>
      <c r="D4669" s="2"/>
      <c r="E4669" s="2"/>
      <c r="F4669" s="2"/>
    </row>
    <row r="4670" spans="1:6" x14ac:dyDescent="0.3">
      <c r="A4670" s="63"/>
      <c r="B4670" s="64"/>
      <c r="C4670" s="64"/>
      <c r="D4670" s="64"/>
      <c r="E4670" s="63"/>
      <c r="F4670" s="64"/>
    </row>
    <row r="4671" spans="1:6" x14ac:dyDescent="0.3">
      <c r="A4671" s="2"/>
      <c r="B4671" s="65"/>
      <c r="C4671" s="65"/>
      <c r="D4671" s="2"/>
      <c r="E4671" s="2"/>
      <c r="F4671" s="2"/>
    </row>
    <row r="4672" spans="1:6" x14ac:dyDescent="0.3">
      <c r="A4672" s="63"/>
      <c r="B4672" s="64"/>
      <c r="C4672" s="64"/>
      <c r="D4672" s="64"/>
      <c r="E4672" s="63"/>
      <c r="F4672" s="64"/>
    </row>
    <row r="4673" spans="1:6" x14ac:dyDescent="0.3">
      <c r="A4673" s="2"/>
      <c r="B4673" s="65"/>
      <c r="C4673" s="65"/>
      <c r="D4673" s="2"/>
      <c r="E4673" s="2"/>
      <c r="F4673" s="2"/>
    </row>
    <row r="4674" spans="1:6" x14ac:dyDescent="0.3">
      <c r="A4674" s="63"/>
      <c r="B4674" s="64"/>
      <c r="C4674" s="64"/>
      <c r="D4674" s="64"/>
      <c r="E4674" s="63"/>
      <c r="F4674" s="64"/>
    </row>
    <row r="4675" spans="1:6" x14ac:dyDescent="0.3">
      <c r="A4675" s="2"/>
      <c r="B4675" s="65"/>
      <c r="C4675" s="65"/>
      <c r="D4675" s="2"/>
      <c r="E4675" s="2"/>
      <c r="F4675" s="2"/>
    </row>
    <row r="4676" spans="1:6" x14ac:dyDescent="0.3">
      <c r="A4676" s="63"/>
      <c r="B4676" s="64"/>
      <c r="C4676" s="64"/>
      <c r="D4676" s="64"/>
      <c r="E4676" s="63"/>
      <c r="F4676" s="64"/>
    </row>
    <row r="4677" spans="1:6" x14ac:dyDescent="0.3">
      <c r="A4677" s="2"/>
      <c r="B4677" s="65"/>
      <c r="C4677" s="65"/>
      <c r="D4677" s="2"/>
      <c r="E4677" s="2"/>
      <c r="F4677" s="2"/>
    </row>
    <row r="4678" spans="1:6" x14ac:dyDescent="0.3">
      <c r="A4678" s="63"/>
      <c r="B4678" s="64"/>
      <c r="C4678" s="64"/>
      <c r="D4678" s="64"/>
      <c r="E4678" s="63"/>
      <c r="F4678" s="64"/>
    </row>
    <row r="4679" spans="1:6" x14ac:dyDescent="0.3">
      <c r="A4679" s="2"/>
      <c r="B4679" s="65"/>
      <c r="C4679" s="65"/>
      <c r="D4679" s="2"/>
      <c r="E4679" s="2"/>
      <c r="F4679" s="2"/>
    </row>
    <row r="4680" spans="1:6" x14ac:dyDescent="0.3">
      <c r="A4680" s="63"/>
      <c r="B4680" s="64"/>
      <c r="C4680" s="64"/>
      <c r="D4680" s="64"/>
      <c r="E4680" s="63"/>
      <c r="F4680" s="64"/>
    </row>
    <row r="4681" spans="1:6" x14ac:dyDescent="0.3">
      <c r="A4681" s="2"/>
      <c r="B4681" s="65"/>
      <c r="C4681" s="65"/>
      <c r="D4681" s="2"/>
      <c r="E4681" s="2"/>
      <c r="F4681" s="2"/>
    </row>
    <row r="4682" spans="1:6" x14ac:dyDescent="0.3">
      <c r="A4682" s="63"/>
      <c r="B4682" s="64"/>
      <c r="C4682" s="64"/>
      <c r="D4682" s="64"/>
      <c r="E4682" s="63"/>
      <c r="F4682" s="64"/>
    </row>
    <row r="4683" spans="1:6" x14ac:dyDescent="0.3">
      <c r="A4683" s="2"/>
      <c r="B4683" s="65"/>
      <c r="C4683" s="65"/>
      <c r="D4683" s="2"/>
      <c r="E4683" s="2"/>
      <c r="F4683" s="2"/>
    </row>
    <row r="4684" spans="1:6" x14ac:dyDescent="0.3">
      <c r="A4684" s="63"/>
      <c r="B4684" s="64"/>
      <c r="C4684" s="64"/>
      <c r="D4684" s="64"/>
      <c r="E4684" s="63"/>
      <c r="F4684" s="64"/>
    </row>
    <row r="4685" spans="1:6" x14ac:dyDescent="0.3">
      <c r="A4685" s="2"/>
      <c r="B4685" s="65"/>
      <c r="C4685" s="65"/>
      <c r="D4685" s="2"/>
      <c r="E4685" s="2"/>
      <c r="F4685" s="2"/>
    </row>
    <row r="4686" spans="1:6" x14ac:dyDescent="0.3">
      <c r="A4686" s="63"/>
      <c r="B4686" s="64"/>
      <c r="C4686" s="64"/>
      <c r="D4686" s="64"/>
      <c r="E4686" s="63"/>
      <c r="F4686" s="64"/>
    </row>
    <row r="4687" spans="1:6" x14ac:dyDescent="0.3">
      <c r="A4687" s="2"/>
      <c r="B4687" s="65"/>
      <c r="C4687" s="65"/>
      <c r="D4687" s="2"/>
      <c r="E4687" s="2"/>
      <c r="F4687" s="2"/>
    </row>
    <row r="4688" spans="1:6" x14ac:dyDescent="0.3">
      <c r="A4688" s="63"/>
      <c r="B4688" s="64"/>
      <c r="C4688" s="64"/>
      <c r="D4688" s="64"/>
      <c r="E4688" s="63"/>
      <c r="F4688" s="64"/>
    </row>
    <row r="4689" spans="1:6" x14ac:dyDescent="0.3">
      <c r="A4689" s="2"/>
      <c r="B4689" s="65"/>
      <c r="C4689" s="65"/>
      <c r="D4689" s="2"/>
      <c r="E4689" s="2"/>
      <c r="F4689" s="2"/>
    </row>
    <row r="4690" spans="1:6" x14ac:dyDescent="0.3">
      <c r="A4690" s="63"/>
      <c r="B4690" s="64"/>
      <c r="C4690" s="64"/>
      <c r="D4690" s="64"/>
      <c r="E4690" s="63"/>
      <c r="F4690" s="64"/>
    </row>
    <row r="4691" spans="1:6" x14ac:dyDescent="0.3">
      <c r="A4691" s="2"/>
      <c r="B4691" s="65"/>
      <c r="C4691" s="65"/>
      <c r="D4691" s="2"/>
      <c r="E4691" s="2"/>
      <c r="F4691" s="2"/>
    </row>
    <row r="4692" spans="1:6" x14ac:dyDescent="0.3">
      <c r="A4692" s="63"/>
      <c r="B4692" s="64"/>
      <c r="C4692" s="64"/>
      <c r="D4692" s="64"/>
      <c r="E4692" s="63"/>
      <c r="F4692" s="64"/>
    </row>
    <row r="4693" spans="1:6" x14ac:dyDescent="0.3">
      <c r="A4693" s="2"/>
      <c r="B4693" s="65"/>
      <c r="C4693" s="65"/>
      <c r="D4693" s="2"/>
      <c r="E4693" s="2"/>
      <c r="F4693" s="2"/>
    </row>
    <row r="4694" spans="1:6" x14ac:dyDescent="0.3">
      <c r="A4694" s="63"/>
      <c r="B4694" s="64"/>
      <c r="C4694" s="64"/>
      <c r="D4694" s="64"/>
      <c r="E4694" s="63"/>
      <c r="F4694" s="64"/>
    </row>
    <row r="4695" spans="1:6" x14ac:dyDescent="0.3">
      <c r="A4695" s="2"/>
      <c r="B4695" s="65"/>
      <c r="C4695" s="65"/>
      <c r="D4695" s="2"/>
      <c r="E4695" s="2"/>
      <c r="F4695" s="2"/>
    </row>
    <row r="4696" spans="1:6" x14ac:dyDescent="0.3">
      <c r="A4696" s="63"/>
      <c r="B4696" s="64"/>
      <c r="C4696" s="64"/>
      <c r="D4696" s="64"/>
      <c r="E4696" s="63"/>
      <c r="F4696" s="64"/>
    </row>
    <row r="4697" spans="1:6" x14ac:dyDescent="0.3">
      <c r="A4697" s="2"/>
      <c r="B4697" s="65"/>
      <c r="C4697" s="65"/>
      <c r="D4697" s="2"/>
      <c r="E4697" s="2"/>
      <c r="F4697" s="2"/>
    </row>
    <row r="4698" spans="1:6" x14ac:dyDescent="0.3">
      <c r="A4698" s="63"/>
      <c r="B4698" s="64"/>
      <c r="C4698" s="64"/>
      <c r="D4698" s="64"/>
      <c r="E4698" s="63"/>
      <c r="F4698" s="64"/>
    </row>
    <row r="4699" spans="1:6" x14ac:dyDescent="0.3">
      <c r="A4699" s="2"/>
      <c r="B4699" s="65"/>
      <c r="C4699" s="65"/>
      <c r="D4699" s="2"/>
      <c r="E4699" s="2"/>
      <c r="F4699" s="2"/>
    </row>
    <row r="4700" spans="1:6" x14ac:dyDescent="0.3">
      <c r="A4700" s="63"/>
      <c r="B4700" s="64"/>
      <c r="C4700" s="64"/>
      <c r="D4700" s="64"/>
      <c r="E4700" s="63"/>
      <c r="F4700" s="64"/>
    </row>
    <row r="4701" spans="1:6" x14ac:dyDescent="0.3">
      <c r="A4701" s="2"/>
      <c r="B4701" s="65"/>
      <c r="C4701" s="65"/>
      <c r="D4701" s="2"/>
      <c r="E4701" s="2"/>
      <c r="F4701" s="2"/>
    </row>
    <row r="4702" spans="1:6" x14ac:dyDescent="0.3">
      <c r="A4702" s="63"/>
      <c r="B4702" s="64"/>
      <c r="C4702" s="64"/>
      <c r="D4702" s="64"/>
      <c r="E4702" s="63"/>
      <c r="F4702" s="64"/>
    </row>
    <row r="4703" spans="1:6" x14ac:dyDescent="0.3">
      <c r="A4703" s="2"/>
      <c r="B4703" s="65"/>
      <c r="C4703" s="65"/>
      <c r="D4703" s="2"/>
      <c r="E4703" s="2"/>
      <c r="F4703" s="2"/>
    </row>
    <row r="4704" spans="1:6" x14ac:dyDescent="0.3">
      <c r="A4704" s="63"/>
      <c r="B4704" s="64"/>
      <c r="C4704" s="64"/>
      <c r="D4704" s="64"/>
      <c r="E4704" s="63"/>
      <c r="F4704" s="64"/>
    </row>
    <row r="4705" spans="1:6" x14ac:dyDescent="0.3">
      <c r="A4705" s="2"/>
      <c r="B4705" s="65"/>
      <c r="C4705" s="65"/>
      <c r="D4705" s="2"/>
      <c r="E4705" s="2"/>
      <c r="F4705" s="2"/>
    </row>
    <row r="4706" spans="1:6" x14ac:dyDescent="0.3">
      <c r="A4706" s="63"/>
      <c r="B4706" s="64"/>
      <c r="C4706" s="64"/>
      <c r="D4706" s="64"/>
      <c r="E4706" s="63"/>
      <c r="F4706" s="64"/>
    </row>
    <row r="4707" spans="1:6" x14ac:dyDescent="0.3">
      <c r="A4707" s="2"/>
      <c r="B4707" s="65"/>
      <c r="C4707" s="65"/>
      <c r="D4707" s="2"/>
      <c r="E4707" s="2"/>
      <c r="F4707" s="2"/>
    </row>
    <row r="4708" spans="1:6" x14ac:dyDescent="0.3">
      <c r="A4708" s="63"/>
      <c r="B4708" s="64"/>
      <c r="C4708" s="64"/>
      <c r="D4708" s="64"/>
      <c r="E4708" s="63"/>
      <c r="F4708" s="64"/>
    </row>
    <row r="4709" spans="1:6" x14ac:dyDescent="0.3">
      <c r="A4709" s="2"/>
      <c r="B4709" s="65"/>
      <c r="C4709" s="65"/>
      <c r="D4709" s="2"/>
      <c r="E4709" s="2"/>
      <c r="F4709" s="2"/>
    </row>
    <row r="4710" spans="1:6" x14ac:dyDescent="0.3">
      <c r="A4710" s="63"/>
      <c r="B4710" s="64"/>
      <c r="C4710" s="64"/>
      <c r="D4710" s="64"/>
      <c r="E4710" s="63"/>
      <c r="F4710" s="64"/>
    </row>
    <row r="4711" spans="1:6" x14ac:dyDescent="0.3">
      <c r="A4711" s="2"/>
      <c r="B4711" s="65"/>
      <c r="C4711" s="65"/>
      <c r="D4711" s="2"/>
      <c r="E4711" s="2"/>
      <c r="F4711" s="2"/>
    </row>
    <row r="4712" spans="1:6" x14ac:dyDescent="0.3">
      <c r="A4712" s="63"/>
      <c r="B4712" s="64"/>
      <c r="C4712" s="64"/>
      <c r="D4712" s="64"/>
      <c r="E4712" s="63"/>
      <c r="F4712" s="64"/>
    </row>
    <row r="4713" spans="1:6" x14ac:dyDescent="0.3">
      <c r="A4713" s="2"/>
      <c r="B4713" s="65"/>
      <c r="C4713" s="65"/>
      <c r="D4713" s="2"/>
      <c r="E4713" s="2"/>
      <c r="F4713" s="2"/>
    </row>
    <row r="4714" spans="1:6" x14ac:dyDescent="0.3">
      <c r="A4714" s="63"/>
      <c r="B4714" s="64"/>
      <c r="C4714" s="64"/>
      <c r="D4714" s="64"/>
      <c r="E4714" s="63"/>
      <c r="F4714" s="64"/>
    </row>
    <row r="4715" spans="1:6" x14ac:dyDescent="0.3">
      <c r="A4715" s="2"/>
      <c r="B4715" s="65"/>
      <c r="C4715" s="65"/>
      <c r="D4715" s="2"/>
      <c r="E4715" s="2"/>
      <c r="F4715" s="2"/>
    </row>
    <row r="4716" spans="1:6" x14ac:dyDescent="0.3">
      <c r="A4716" s="63"/>
      <c r="B4716" s="64"/>
      <c r="C4716" s="64"/>
      <c r="D4716" s="64"/>
      <c r="E4716" s="63"/>
      <c r="F4716" s="64"/>
    </row>
    <row r="4717" spans="1:6" x14ac:dyDescent="0.3">
      <c r="A4717" s="2"/>
      <c r="B4717" s="65"/>
      <c r="C4717" s="65"/>
      <c r="D4717" s="2"/>
      <c r="E4717" s="2"/>
      <c r="F4717" s="2"/>
    </row>
    <row r="4718" spans="1:6" x14ac:dyDescent="0.3">
      <c r="A4718" s="63"/>
      <c r="B4718" s="64"/>
      <c r="C4718" s="64"/>
      <c r="D4718" s="64"/>
      <c r="E4718" s="63"/>
      <c r="F4718" s="64"/>
    </row>
    <row r="4719" spans="1:6" x14ac:dyDescent="0.3">
      <c r="A4719" s="2"/>
      <c r="B4719" s="65"/>
      <c r="C4719" s="65"/>
      <c r="D4719" s="2"/>
      <c r="E4719" s="2"/>
      <c r="F4719" s="2"/>
    </row>
    <row r="4720" spans="1:6" x14ac:dyDescent="0.3">
      <c r="A4720" s="63"/>
      <c r="B4720" s="64"/>
      <c r="C4720" s="64"/>
      <c r="D4720" s="64"/>
      <c r="E4720" s="63"/>
      <c r="F4720" s="64"/>
    </row>
    <row r="4721" spans="1:6" x14ac:dyDescent="0.3">
      <c r="A4721" s="2"/>
      <c r="B4721" s="65"/>
      <c r="C4721" s="65"/>
      <c r="D4721" s="2"/>
      <c r="E4721" s="2"/>
      <c r="F4721" s="2"/>
    </row>
    <row r="4722" spans="1:6" x14ac:dyDescent="0.3">
      <c r="A4722" s="63"/>
      <c r="B4722" s="64"/>
      <c r="C4722" s="64"/>
      <c r="D4722" s="64"/>
      <c r="E4722" s="63"/>
      <c r="F4722" s="64"/>
    </row>
    <row r="4723" spans="1:6" x14ac:dyDescent="0.3">
      <c r="A4723" s="2"/>
      <c r="B4723" s="65"/>
      <c r="C4723" s="65"/>
      <c r="D4723" s="2"/>
      <c r="E4723" s="2"/>
      <c r="F4723" s="2"/>
    </row>
    <row r="4724" spans="1:6" x14ac:dyDescent="0.3">
      <c r="A4724" s="63"/>
      <c r="B4724" s="64"/>
      <c r="C4724" s="64"/>
      <c r="D4724" s="64"/>
      <c r="E4724" s="63"/>
      <c r="F4724" s="64"/>
    </row>
    <row r="4725" spans="1:6" x14ac:dyDescent="0.3">
      <c r="A4725" s="2"/>
      <c r="B4725" s="65"/>
      <c r="C4725" s="65"/>
      <c r="D4725" s="2"/>
      <c r="E4725" s="2"/>
      <c r="F4725" s="2"/>
    </row>
    <row r="4726" spans="1:6" x14ac:dyDescent="0.3">
      <c r="A4726" s="63"/>
      <c r="B4726" s="64"/>
      <c r="C4726" s="64"/>
      <c r="D4726" s="64"/>
      <c r="E4726" s="63"/>
      <c r="F4726" s="64"/>
    </row>
    <row r="4727" spans="1:6" x14ac:dyDescent="0.3">
      <c r="A4727" s="2"/>
      <c r="B4727" s="65"/>
      <c r="C4727" s="65"/>
      <c r="D4727" s="2"/>
      <c r="E4727" s="2"/>
      <c r="F4727" s="2"/>
    </row>
    <row r="4728" spans="1:6" x14ac:dyDescent="0.3">
      <c r="A4728" s="63"/>
      <c r="B4728" s="64"/>
      <c r="C4728" s="64"/>
      <c r="D4728" s="64"/>
      <c r="E4728" s="63"/>
      <c r="F4728" s="64"/>
    </row>
    <row r="4729" spans="1:6" x14ac:dyDescent="0.3">
      <c r="A4729" s="2"/>
      <c r="B4729" s="65"/>
      <c r="C4729" s="65"/>
      <c r="D4729" s="2"/>
      <c r="E4729" s="2"/>
      <c r="F4729" s="2"/>
    </row>
    <row r="4730" spans="1:6" x14ac:dyDescent="0.3">
      <c r="A4730" s="63"/>
      <c r="B4730" s="64"/>
      <c r="C4730" s="64"/>
      <c r="D4730" s="64"/>
      <c r="E4730" s="63"/>
      <c r="F4730" s="64"/>
    </row>
    <row r="4731" spans="1:6" x14ac:dyDescent="0.3">
      <c r="A4731" s="2"/>
      <c r="B4731" s="65"/>
      <c r="C4731" s="65"/>
      <c r="D4731" s="2"/>
      <c r="E4731" s="2"/>
      <c r="F4731" s="2"/>
    </row>
    <row r="4732" spans="1:6" x14ac:dyDescent="0.3">
      <c r="A4732" s="63"/>
      <c r="B4732" s="64"/>
      <c r="C4732" s="64"/>
      <c r="D4732" s="64"/>
      <c r="E4732" s="63"/>
      <c r="F4732" s="64"/>
    </row>
    <row r="4733" spans="1:6" x14ac:dyDescent="0.3">
      <c r="A4733" s="2"/>
      <c r="B4733" s="65"/>
      <c r="C4733" s="65"/>
      <c r="D4733" s="2"/>
      <c r="E4733" s="2"/>
      <c r="F4733" s="2"/>
    </row>
    <row r="4734" spans="1:6" x14ac:dyDescent="0.3">
      <c r="A4734" s="63"/>
      <c r="B4734" s="64"/>
      <c r="C4734" s="64"/>
      <c r="D4734" s="64"/>
      <c r="E4734" s="63"/>
      <c r="F4734" s="64"/>
    </row>
    <row r="4735" spans="1:6" x14ac:dyDescent="0.3">
      <c r="A4735" s="2"/>
      <c r="B4735" s="65"/>
      <c r="C4735" s="65"/>
      <c r="D4735" s="2"/>
      <c r="E4735" s="2"/>
      <c r="F4735" s="2"/>
    </row>
    <row r="4736" spans="1:6" x14ac:dyDescent="0.3">
      <c r="A4736" s="63"/>
      <c r="B4736" s="64"/>
      <c r="C4736" s="64"/>
      <c r="D4736" s="64"/>
      <c r="E4736" s="63"/>
      <c r="F4736" s="64"/>
    </row>
    <row r="4737" spans="1:6" x14ac:dyDescent="0.3">
      <c r="A4737" s="2"/>
      <c r="B4737" s="65"/>
      <c r="C4737" s="65"/>
      <c r="D4737" s="2"/>
      <c r="E4737" s="2"/>
      <c r="F4737" s="2"/>
    </row>
    <row r="4738" spans="1:6" x14ac:dyDescent="0.3">
      <c r="A4738" s="63"/>
      <c r="B4738" s="64"/>
      <c r="C4738" s="64"/>
      <c r="D4738" s="64"/>
      <c r="E4738" s="63"/>
      <c r="F4738" s="64"/>
    </row>
    <row r="4739" spans="1:6" x14ac:dyDescent="0.3">
      <c r="A4739" s="2"/>
      <c r="B4739" s="65"/>
      <c r="C4739" s="65"/>
      <c r="D4739" s="2"/>
      <c r="E4739" s="2"/>
      <c r="F4739" s="2"/>
    </row>
    <row r="4740" spans="1:6" x14ac:dyDescent="0.3">
      <c r="A4740" s="63"/>
      <c r="B4740" s="64"/>
      <c r="C4740" s="64"/>
      <c r="D4740" s="64"/>
      <c r="E4740" s="63"/>
      <c r="F4740" s="64"/>
    </row>
    <row r="4741" spans="1:6" x14ac:dyDescent="0.3">
      <c r="A4741" s="2"/>
      <c r="B4741" s="65"/>
      <c r="C4741" s="65"/>
      <c r="D4741" s="2"/>
      <c r="E4741" s="2"/>
      <c r="F4741" s="2"/>
    </row>
    <row r="4742" spans="1:6" x14ac:dyDescent="0.3">
      <c r="A4742" s="63"/>
      <c r="B4742" s="64"/>
      <c r="C4742" s="64"/>
      <c r="D4742" s="64"/>
      <c r="E4742" s="63"/>
      <c r="F4742" s="64"/>
    </row>
    <row r="4743" spans="1:6" x14ac:dyDescent="0.3">
      <c r="A4743" s="2"/>
      <c r="B4743" s="65"/>
      <c r="C4743" s="65"/>
      <c r="D4743" s="2"/>
      <c r="E4743" s="2"/>
      <c r="F4743" s="2"/>
    </row>
    <row r="4744" spans="1:6" x14ac:dyDescent="0.3">
      <c r="A4744" s="63"/>
      <c r="B4744" s="64"/>
      <c r="C4744" s="64"/>
      <c r="D4744" s="64"/>
      <c r="E4744" s="63"/>
      <c r="F4744" s="64"/>
    </row>
    <row r="4745" spans="1:6" x14ac:dyDescent="0.3">
      <c r="A4745" s="2"/>
      <c r="B4745" s="65"/>
      <c r="C4745" s="65"/>
      <c r="D4745" s="2"/>
      <c r="E4745" s="2"/>
      <c r="F4745" s="2"/>
    </row>
    <row r="4746" spans="1:6" x14ac:dyDescent="0.3">
      <c r="A4746" s="63"/>
      <c r="B4746" s="64"/>
      <c r="C4746" s="64"/>
      <c r="D4746" s="64"/>
      <c r="E4746" s="63"/>
      <c r="F4746" s="64"/>
    </row>
    <row r="4747" spans="1:6" x14ac:dyDescent="0.3">
      <c r="A4747" s="2"/>
      <c r="B4747" s="65"/>
      <c r="C4747" s="65"/>
      <c r="D4747" s="2"/>
      <c r="E4747" s="2"/>
      <c r="F4747" s="2"/>
    </row>
    <row r="4748" spans="1:6" x14ac:dyDescent="0.3">
      <c r="A4748" s="63"/>
      <c r="B4748" s="64"/>
      <c r="C4748" s="64"/>
      <c r="D4748" s="64"/>
      <c r="E4748" s="63"/>
      <c r="F4748" s="64"/>
    </row>
    <row r="4749" spans="1:6" x14ac:dyDescent="0.3">
      <c r="A4749" s="2"/>
      <c r="B4749" s="65"/>
      <c r="C4749" s="65"/>
      <c r="D4749" s="2"/>
      <c r="E4749" s="2"/>
      <c r="F4749" s="2"/>
    </row>
    <row r="4750" spans="1:6" x14ac:dyDescent="0.3">
      <c r="A4750" s="63"/>
      <c r="B4750" s="64"/>
      <c r="C4750" s="64"/>
      <c r="D4750" s="64"/>
      <c r="E4750" s="63"/>
      <c r="F4750" s="64"/>
    </row>
    <row r="4751" spans="1:6" x14ac:dyDescent="0.3">
      <c r="A4751" s="2"/>
      <c r="B4751" s="65"/>
      <c r="C4751" s="65"/>
      <c r="D4751" s="2"/>
      <c r="E4751" s="2"/>
      <c r="F4751" s="2"/>
    </row>
    <row r="4752" spans="1:6" x14ac:dyDescent="0.3">
      <c r="A4752" s="63"/>
      <c r="B4752" s="64"/>
      <c r="C4752" s="64"/>
      <c r="D4752" s="64"/>
      <c r="E4752" s="63"/>
      <c r="F4752" s="64"/>
    </row>
    <row r="4753" spans="1:6" x14ac:dyDescent="0.3">
      <c r="A4753" s="2"/>
      <c r="B4753" s="65"/>
      <c r="C4753" s="65"/>
      <c r="D4753" s="2"/>
      <c r="E4753" s="2"/>
      <c r="F4753" s="2"/>
    </row>
    <row r="4754" spans="1:6" x14ac:dyDescent="0.3">
      <c r="A4754" s="63"/>
      <c r="B4754" s="64"/>
      <c r="C4754" s="64"/>
      <c r="D4754" s="64"/>
      <c r="E4754" s="63"/>
      <c r="F4754" s="64"/>
    </row>
    <row r="4755" spans="1:6" x14ac:dyDescent="0.3">
      <c r="A4755" s="2"/>
      <c r="B4755" s="65"/>
      <c r="C4755" s="65"/>
      <c r="D4755" s="2"/>
      <c r="E4755" s="2"/>
      <c r="F4755" s="2"/>
    </row>
    <row r="4756" spans="1:6" x14ac:dyDescent="0.3">
      <c r="A4756" s="63"/>
      <c r="B4756" s="64"/>
      <c r="C4756" s="64"/>
      <c r="D4756" s="64"/>
      <c r="E4756" s="63"/>
      <c r="F4756" s="64"/>
    </row>
    <row r="4757" spans="1:6" x14ac:dyDescent="0.3">
      <c r="A4757" s="2"/>
      <c r="B4757" s="65"/>
      <c r="C4757" s="65"/>
      <c r="D4757" s="2"/>
      <c r="E4757" s="2"/>
      <c r="F4757" s="2"/>
    </row>
    <row r="4758" spans="1:6" x14ac:dyDescent="0.3">
      <c r="A4758" s="63"/>
      <c r="B4758" s="64"/>
      <c r="C4758" s="64"/>
      <c r="D4758" s="64"/>
      <c r="E4758" s="63"/>
      <c r="F4758" s="64"/>
    </row>
    <row r="4759" spans="1:6" x14ac:dyDescent="0.3">
      <c r="A4759" s="2"/>
      <c r="B4759" s="65"/>
      <c r="C4759" s="65"/>
      <c r="D4759" s="2"/>
      <c r="E4759" s="2"/>
      <c r="F4759" s="2"/>
    </row>
    <row r="4760" spans="1:6" x14ac:dyDescent="0.3">
      <c r="A4760" s="63"/>
      <c r="B4760" s="64"/>
      <c r="C4760" s="64"/>
      <c r="D4760" s="64"/>
      <c r="E4760" s="63"/>
      <c r="F4760" s="64"/>
    </row>
    <row r="4761" spans="1:6" x14ac:dyDescent="0.3">
      <c r="A4761" s="2"/>
      <c r="B4761" s="65"/>
      <c r="C4761" s="65"/>
      <c r="D4761" s="2"/>
      <c r="E4761" s="2"/>
      <c r="F4761" s="2"/>
    </row>
    <row r="4762" spans="1:6" x14ac:dyDescent="0.3">
      <c r="A4762" s="63"/>
      <c r="B4762" s="64"/>
      <c r="C4762" s="64"/>
      <c r="D4762" s="64"/>
      <c r="E4762" s="63"/>
      <c r="F4762" s="64"/>
    </row>
    <row r="4763" spans="1:6" x14ac:dyDescent="0.3">
      <c r="A4763" s="2"/>
      <c r="B4763" s="65"/>
      <c r="C4763" s="65"/>
      <c r="D4763" s="2"/>
      <c r="E4763" s="2"/>
      <c r="F4763" s="2"/>
    </row>
    <row r="4764" spans="1:6" x14ac:dyDescent="0.3">
      <c r="A4764" s="63"/>
      <c r="B4764" s="64"/>
      <c r="C4764" s="64"/>
      <c r="D4764" s="64"/>
      <c r="E4764" s="63"/>
      <c r="F4764" s="64"/>
    </row>
    <row r="4765" spans="1:6" x14ac:dyDescent="0.3">
      <c r="A4765" s="2"/>
      <c r="B4765" s="65"/>
      <c r="C4765" s="65"/>
      <c r="D4765" s="2"/>
      <c r="E4765" s="2"/>
      <c r="F4765" s="2"/>
    </row>
    <row r="4766" spans="1:6" x14ac:dyDescent="0.3">
      <c r="A4766" s="63"/>
      <c r="B4766" s="64"/>
      <c r="C4766" s="64"/>
      <c r="D4766" s="64"/>
      <c r="E4766" s="63"/>
      <c r="F4766" s="64"/>
    </row>
    <row r="4767" spans="1:6" x14ac:dyDescent="0.3">
      <c r="A4767" s="2"/>
      <c r="B4767" s="65"/>
      <c r="C4767" s="65"/>
      <c r="D4767" s="2"/>
      <c r="E4767" s="2"/>
      <c r="F4767" s="2"/>
    </row>
    <row r="4768" spans="1:6" x14ac:dyDescent="0.3">
      <c r="A4768" s="63"/>
      <c r="B4768" s="64"/>
      <c r="C4768" s="64"/>
      <c r="D4768" s="64"/>
      <c r="E4768" s="63"/>
      <c r="F4768" s="64"/>
    </row>
    <row r="4769" spans="1:6" x14ac:dyDescent="0.3">
      <c r="A4769" s="2"/>
      <c r="B4769" s="65"/>
      <c r="C4769" s="65"/>
      <c r="D4769" s="2"/>
      <c r="E4769" s="2"/>
      <c r="F4769" s="2"/>
    </row>
    <row r="4770" spans="1:6" x14ac:dyDescent="0.3">
      <c r="A4770" s="63"/>
      <c r="B4770" s="64"/>
      <c r="C4770" s="64"/>
      <c r="D4770" s="64"/>
      <c r="E4770" s="63"/>
      <c r="F4770" s="64"/>
    </row>
    <row r="4771" spans="1:6" x14ac:dyDescent="0.3">
      <c r="A4771" s="2"/>
      <c r="B4771" s="65"/>
      <c r="C4771" s="65"/>
      <c r="D4771" s="2"/>
      <c r="E4771" s="2"/>
      <c r="F4771" s="2"/>
    </row>
    <row r="4772" spans="1:6" x14ac:dyDescent="0.3">
      <c r="A4772" s="63"/>
      <c r="B4772" s="64"/>
      <c r="C4772" s="64"/>
      <c r="D4772" s="64"/>
      <c r="E4772" s="63"/>
      <c r="F4772" s="64"/>
    </row>
    <row r="4773" spans="1:6" x14ac:dyDescent="0.3">
      <c r="A4773" s="2"/>
      <c r="B4773" s="65"/>
      <c r="C4773" s="65"/>
      <c r="D4773" s="2"/>
      <c r="E4773" s="2"/>
      <c r="F4773" s="2"/>
    </row>
    <row r="4774" spans="1:6" x14ac:dyDescent="0.3">
      <c r="A4774" s="63"/>
      <c r="B4774" s="64"/>
      <c r="C4774" s="64"/>
      <c r="D4774" s="64"/>
      <c r="E4774" s="63"/>
      <c r="F4774" s="64"/>
    </row>
    <row r="4775" spans="1:6" x14ac:dyDescent="0.3">
      <c r="A4775" s="2"/>
      <c r="B4775" s="65"/>
      <c r="C4775" s="65"/>
      <c r="D4775" s="2"/>
      <c r="E4775" s="2"/>
      <c r="F4775" s="2"/>
    </row>
    <row r="4776" spans="1:6" x14ac:dyDescent="0.3">
      <c r="A4776" s="63"/>
      <c r="B4776" s="64"/>
      <c r="C4776" s="64"/>
      <c r="D4776" s="64"/>
      <c r="E4776" s="63"/>
      <c r="F4776" s="64"/>
    </row>
    <row r="4777" spans="1:6" x14ac:dyDescent="0.3">
      <c r="A4777" s="2"/>
      <c r="B4777" s="65"/>
      <c r="C4777" s="65"/>
      <c r="D4777" s="2"/>
      <c r="E4777" s="2"/>
      <c r="F4777" s="2"/>
    </row>
    <row r="4778" spans="1:6" x14ac:dyDescent="0.3">
      <c r="A4778" s="63"/>
      <c r="B4778" s="64"/>
      <c r="C4778" s="64"/>
      <c r="D4778" s="64"/>
      <c r="E4778" s="63"/>
      <c r="F4778" s="64"/>
    </row>
    <row r="4779" spans="1:6" x14ac:dyDescent="0.3">
      <c r="A4779" s="2"/>
      <c r="B4779" s="65"/>
      <c r="C4779" s="65"/>
      <c r="D4779" s="2"/>
      <c r="E4779" s="2"/>
      <c r="F4779" s="2"/>
    </row>
    <row r="4780" spans="1:6" x14ac:dyDescent="0.3">
      <c r="A4780" s="63"/>
      <c r="B4780" s="64"/>
      <c r="C4780" s="64"/>
      <c r="D4780" s="64"/>
      <c r="E4780" s="63"/>
      <c r="F4780" s="64"/>
    </row>
    <row r="4781" spans="1:6" x14ac:dyDescent="0.3">
      <c r="A4781" s="2"/>
      <c r="B4781" s="65"/>
      <c r="C4781" s="65"/>
      <c r="D4781" s="2"/>
      <c r="E4781" s="2"/>
      <c r="F4781" s="2"/>
    </row>
    <row r="4782" spans="1:6" x14ac:dyDescent="0.3">
      <c r="A4782" s="63"/>
      <c r="B4782" s="64"/>
      <c r="C4782" s="64"/>
      <c r="D4782" s="64"/>
      <c r="E4782" s="63"/>
      <c r="F4782" s="64"/>
    </row>
    <row r="4783" spans="1:6" x14ac:dyDescent="0.3">
      <c r="A4783" s="2"/>
      <c r="B4783" s="65"/>
      <c r="C4783" s="65"/>
      <c r="D4783" s="2"/>
      <c r="E4783" s="2"/>
      <c r="F4783" s="2"/>
    </row>
    <row r="4784" spans="1:6" x14ac:dyDescent="0.3">
      <c r="A4784" s="63"/>
      <c r="B4784" s="64"/>
      <c r="C4784" s="64"/>
      <c r="D4784" s="64"/>
      <c r="E4784" s="63"/>
      <c r="F4784" s="64"/>
    </row>
    <row r="4785" spans="1:6" x14ac:dyDescent="0.3">
      <c r="A4785" s="2"/>
      <c r="B4785" s="65"/>
      <c r="C4785" s="65"/>
      <c r="D4785" s="2"/>
      <c r="E4785" s="2"/>
      <c r="F4785" s="2"/>
    </row>
    <row r="4786" spans="1:6" x14ac:dyDescent="0.3">
      <c r="A4786" s="63"/>
      <c r="B4786" s="64"/>
      <c r="C4786" s="64"/>
      <c r="D4786" s="64"/>
      <c r="E4786" s="63"/>
      <c r="F4786" s="64"/>
    </row>
    <row r="4787" spans="1:6" x14ac:dyDescent="0.3">
      <c r="A4787" s="2"/>
      <c r="B4787" s="65"/>
      <c r="C4787" s="65"/>
      <c r="D4787" s="2"/>
      <c r="E4787" s="2"/>
      <c r="F4787" s="2"/>
    </row>
    <row r="4788" spans="1:6" x14ac:dyDescent="0.3">
      <c r="A4788" s="63"/>
      <c r="B4788" s="64"/>
      <c r="C4788" s="64"/>
      <c r="D4788" s="64"/>
      <c r="E4788" s="63"/>
      <c r="F4788" s="64"/>
    </row>
    <row r="4789" spans="1:6" x14ac:dyDescent="0.3">
      <c r="A4789" s="2"/>
      <c r="B4789" s="65"/>
      <c r="C4789" s="65"/>
      <c r="D4789" s="2"/>
      <c r="E4789" s="2"/>
      <c r="F4789" s="2"/>
    </row>
    <row r="4790" spans="1:6" x14ac:dyDescent="0.3">
      <c r="A4790" s="63"/>
      <c r="B4790" s="64"/>
      <c r="C4790" s="64"/>
      <c r="D4790" s="64"/>
      <c r="E4790" s="63"/>
      <c r="F4790" s="64"/>
    </row>
    <row r="4791" spans="1:6" x14ac:dyDescent="0.3">
      <c r="A4791" s="2"/>
      <c r="B4791" s="65"/>
      <c r="C4791" s="65"/>
      <c r="D4791" s="2"/>
      <c r="E4791" s="2"/>
      <c r="F4791" s="2"/>
    </row>
    <row r="4792" spans="1:6" x14ac:dyDescent="0.3">
      <c r="A4792" s="63"/>
      <c r="B4792" s="64"/>
      <c r="C4792" s="64"/>
      <c r="D4792" s="64"/>
      <c r="E4792" s="63"/>
      <c r="F4792" s="64"/>
    </row>
    <row r="4793" spans="1:6" x14ac:dyDescent="0.3">
      <c r="A4793" s="2"/>
      <c r="B4793" s="65"/>
      <c r="C4793" s="65"/>
      <c r="D4793" s="2"/>
      <c r="E4793" s="2"/>
      <c r="F4793" s="2"/>
    </row>
    <row r="4794" spans="1:6" x14ac:dyDescent="0.3">
      <c r="A4794" s="63"/>
      <c r="B4794" s="64"/>
      <c r="C4794" s="64"/>
      <c r="D4794" s="64"/>
      <c r="E4794" s="63"/>
      <c r="F4794" s="64"/>
    </row>
    <row r="4795" spans="1:6" x14ac:dyDescent="0.3">
      <c r="A4795" s="2"/>
      <c r="B4795" s="65"/>
      <c r="C4795" s="65"/>
      <c r="D4795" s="2"/>
      <c r="E4795" s="2"/>
      <c r="F4795" s="2"/>
    </row>
    <row r="4796" spans="1:6" x14ac:dyDescent="0.3">
      <c r="A4796" s="63"/>
      <c r="B4796" s="64"/>
      <c r="C4796" s="64"/>
      <c r="D4796" s="64"/>
      <c r="E4796" s="63"/>
      <c r="F4796" s="64"/>
    </row>
    <row r="4797" spans="1:6" x14ac:dyDescent="0.3">
      <c r="A4797" s="2"/>
      <c r="B4797" s="65"/>
      <c r="C4797" s="65"/>
      <c r="D4797" s="2"/>
      <c r="E4797" s="2"/>
      <c r="F4797" s="2"/>
    </row>
    <row r="4798" spans="1:6" x14ac:dyDescent="0.3">
      <c r="A4798" s="63"/>
      <c r="B4798" s="64"/>
      <c r="C4798" s="64"/>
      <c r="D4798" s="64"/>
      <c r="E4798" s="63"/>
      <c r="F4798" s="64"/>
    </row>
    <row r="4799" spans="1:6" x14ac:dyDescent="0.3">
      <c r="A4799" s="2"/>
      <c r="B4799" s="65"/>
      <c r="C4799" s="65"/>
      <c r="D4799" s="2"/>
      <c r="E4799" s="2"/>
      <c r="F4799" s="2"/>
    </row>
    <row r="4800" spans="1:6" x14ac:dyDescent="0.3">
      <c r="A4800" s="63"/>
      <c r="B4800" s="64"/>
      <c r="C4800" s="64"/>
      <c r="D4800" s="64"/>
      <c r="E4800" s="63"/>
      <c r="F4800" s="64"/>
    </row>
    <row r="4801" spans="1:6" x14ac:dyDescent="0.3">
      <c r="A4801" s="2"/>
      <c r="B4801" s="65"/>
      <c r="C4801" s="65"/>
      <c r="D4801" s="2"/>
      <c r="E4801" s="2"/>
      <c r="F4801" s="2"/>
    </row>
    <row r="4802" spans="1:6" x14ac:dyDescent="0.3">
      <c r="A4802" s="63"/>
      <c r="B4802" s="64"/>
      <c r="C4802" s="64"/>
      <c r="D4802" s="64"/>
      <c r="E4802" s="63"/>
      <c r="F4802" s="64"/>
    </row>
    <row r="4803" spans="1:6" x14ac:dyDescent="0.3">
      <c r="A4803" s="2"/>
      <c r="B4803" s="65"/>
      <c r="C4803" s="65"/>
      <c r="D4803" s="2"/>
      <c r="E4803" s="2"/>
      <c r="F4803" s="2"/>
    </row>
    <row r="4804" spans="1:6" x14ac:dyDescent="0.3">
      <c r="A4804" s="63"/>
      <c r="B4804" s="64"/>
      <c r="C4804" s="64"/>
      <c r="D4804" s="64"/>
      <c r="E4804" s="63"/>
      <c r="F4804" s="64"/>
    </row>
    <row r="4805" spans="1:6" x14ac:dyDescent="0.3">
      <c r="A4805" s="2"/>
      <c r="B4805" s="65"/>
      <c r="C4805" s="65"/>
      <c r="D4805" s="2"/>
      <c r="E4805" s="2"/>
      <c r="F4805" s="2"/>
    </row>
    <row r="4806" spans="1:6" x14ac:dyDescent="0.3">
      <c r="A4806" s="63"/>
      <c r="B4806" s="64"/>
      <c r="C4806" s="64"/>
      <c r="D4806" s="64"/>
      <c r="E4806" s="63"/>
      <c r="F4806" s="64"/>
    </row>
    <row r="4807" spans="1:6" x14ac:dyDescent="0.3">
      <c r="A4807" s="2"/>
      <c r="B4807" s="65"/>
      <c r="C4807" s="65"/>
      <c r="D4807" s="2"/>
      <c r="E4807" s="2"/>
      <c r="F4807" s="2"/>
    </row>
    <row r="4808" spans="1:6" x14ac:dyDescent="0.3">
      <c r="A4808" s="63"/>
      <c r="B4808" s="64"/>
      <c r="C4808" s="64"/>
      <c r="D4808" s="64"/>
      <c r="E4808" s="63"/>
      <c r="F4808" s="64"/>
    </row>
    <row r="4809" spans="1:6" x14ac:dyDescent="0.3">
      <c r="A4809" s="2"/>
      <c r="B4809" s="65"/>
      <c r="C4809" s="65"/>
      <c r="D4809" s="2"/>
      <c r="E4809" s="2"/>
      <c r="F4809" s="2"/>
    </row>
    <row r="4810" spans="1:6" x14ac:dyDescent="0.3">
      <c r="A4810" s="63"/>
      <c r="B4810" s="64"/>
      <c r="C4810" s="64"/>
      <c r="D4810" s="64"/>
      <c r="E4810" s="63"/>
      <c r="F4810" s="64"/>
    </row>
    <row r="4811" spans="1:6" x14ac:dyDescent="0.3">
      <c r="A4811" s="2"/>
      <c r="B4811" s="65"/>
      <c r="C4811" s="65"/>
      <c r="D4811" s="2"/>
      <c r="E4811" s="2"/>
      <c r="F4811" s="2"/>
    </row>
    <row r="4812" spans="1:6" x14ac:dyDescent="0.3">
      <c r="A4812" s="63"/>
      <c r="B4812" s="64"/>
      <c r="C4812" s="64"/>
      <c r="D4812" s="64"/>
      <c r="E4812" s="63"/>
      <c r="F4812" s="64"/>
    </row>
    <row r="4813" spans="1:6" x14ac:dyDescent="0.3">
      <c r="A4813" s="2"/>
      <c r="B4813" s="65"/>
      <c r="C4813" s="65"/>
      <c r="D4813" s="2"/>
      <c r="E4813" s="2"/>
      <c r="F4813" s="2"/>
    </row>
    <row r="4814" spans="1:6" x14ac:dyDescent="0.3">
      <c r="A4814" s="63"/>
      <c r="B4814" s="64"/>
      <c r="C4814" s="64"/>
      <c r="D4814" s="64"/>
      <c r="E4814" s="63"/>
      <c r="F4814" s="64"/>
    </row>
    <row r="4815" spans="1:6" x14ac:dyDescent="0.3">
      <c r="A4815" s="2"/>
      <c r="B4815" s="65"/>
      <c r="C4815" s="65"/>
      <c r="D4815" s="2"/>
      <c r="E4815" s="2"/>
      <c r="F4815" s="2"/>
    </row>
    <row r="4816" spans="1:6" x14ac:dyDescent="0.3">
      <c r="A4816" s="63"/>
      <c r="B4816" s="64"/>
      <c r="C4816" s="64"/>
      <c r="D4816" s="64"/>
      <c r="E4816" s="63"/>
      <c r="F4816" s="64"/>
    </row>
    <row r="4817" spans="1:6" x14ac:dyDescent="0.3">
      <c r="A4817" s="2"/>
      <c r="B4817" s="65"/>
      <c r="C4817" s="65"/>
      <c r="D4817" s="2"/>
      <c r="E4817" s="2"/>
      <c r="F4817" s="2"/>
    </row>
    <row r="4818" spans="1:6" x14ac:dyDescent="0.3">
      <c r="A4818" s="63"/>
      <c r="B4818" s="64"/>
      <c r="C4818" s="64"/>
      <c r="D4818" s="64"/>
      <c r="E4818" s="63"/>
      <c r="F4818" s="64"/>
    </row>
    <row r="4819" spans="1:6" x14ac:dyDescent="0.3">
      <c r="A4819" s="2"/>
      <c r="B4819" s="65"/>
      <c r="C4819" s="65"/>
      <c r="D4819" s="2"/>
      <c r="E4819" s="2"/>
      <c r="F4819" s="2"/>
    </row>
    <row r="4820" spans="1:6" x14ac:dyDescent="0.3">
      <c r="A4820" s="63"/>
      <c r="B4820" s="64"/>
      <c r="C4820" s="64"/>
      <c r="D4820" s="64"/>
      <c r="E4820" s="63"/>
      <c r="F4820" s="64"/>
    </row>
    <row r="4821" spans="1:6" x14ac:dyDescent="0.3">
      <c r="A4821" s="2"/>
      <c r="B4821" s="65"/>
      <c r="C4821" s="65"/>
      <c r="D4821" s="2"/>
      <c r="E4821" s="2"/>
      <c r="F4821" s="2"/>
    </row>
    <row r="4822" spans="1:6" x14ac:dyDescent="0.3">
      <c r="A4822" s="63"/>
      <c r="B4822" s="64"/>
      <c r="C4822" s="64"/>
      <c r="D4822" s="64"/>
      <c r="E4822" s="63"/>
      <c r="F4822" s="64"/>
    </row>
    <row r="4823" spans="1:6" x14ac:dyDescent="0.3">
      <c r="A4823" s="2"/>
      <c r="B4823" s="65"/>
      <c r="C4823" s="65"/>
      <c r="D4823" s="2"/>
      <c r="E4823" s="2"/>
      <c r="F4823" s="2"/>
    </row>
    <row r="4824" spans="1:6" x14ac:dyDescent="0.3">
      <c r="A4824" s="63"/>
      <c r="B4824" s="64"/>
      <c r="C4824" s="64"/>
      <c r="D4824" s="64"/>
      <c r="E4824" s="63"/>
      <c r="F4824" s="64"/>
    </row>
    <row r="4825" spans="1:6" x14ac:dyDescent="0.3">
      <c r="A4825" s="2"/>
      <c r="B4825" s="65"/>
      <c r="C4825" s="65"/>
      <c r="D4825" s="2"/>
      <c r="E4825" s="2"/>
      <c r="F4825" s="2"/>
    </row>
    <row r="4826" spans="1:6" x14ac:dyDescent="0.3">
      <c r="A4826" s="63"/>
      <c r="B4826" s="64"/>
      <c r="C4826" s="64"/>
      <c r="D4826" s="64"/>
      <c r="E4826" s="63"/>
      <c r="F4826" s="64"/>
    </row>
    <row r="4827" spans="1:6" x14ac:dyDescent="0.3">
      <c r="A4827" s="2"/>
      <c r="B4827" s="65"/>
      <c r="C4827" s="65"/>
      <c r="D4827" s="2"/>
      <c r="E4827" s="2"/>
      <c r="F4827" s="2"/>
    </row>
    <row r="4828" spans="1:6" x14ac:dyDescent="0.3">
      <c r="A4828" s="63"/>
      <c r="B4828" s="64"/>
      <c r="C4828" s="64"/>
      <c r="D4828" s="64"/>
      <c r="E4828" s="63"/>
      <c r="F4828" s="64"/>
    </row>
    <row r="4829" spans="1:6" x14ac:dyDescent="0.3">
      <c r="A4829" s="2"/>
      <c r="B4829" s="65"/>
      <c r="C4829" s="65"/>
      <c r="D4829" s="2"/>
      <c r="E4829" s="2"/>
      <c r="F4829" s="2"/>
    </row>
    <row r="4830" spans="1:6" x14ac:dyDescent="0.3">
      <c r="A4830" s="63"/>
      <c r="B4830" s="64"/>
      <c r="C4830" s="64"/>
      <c r="D4830" s="64"/>
      <c r="E4830" s="63"/>
      <c r="F4830" s="64"/>
    </row>
    <row r="4831" spans="1:6" x14ac:dyDescent="0.3">
      <c r="A4831" s="2"/>
      <c r="B4831" s="65"/>
      <c r="C4831" s="65"/>
      <c r="D4831" s="2"/>
      <c r="E4831" s="2"/>
      <c r="F4831" s="2"/>
    </row>
    <row r="4832" spans="1:6" x14ac:dyDescent="0.3">
      <c r="A4832" s="63"/>
      <c r="B4832" s="64"/>
      <c r="C4832" s="64"/>
      <c r="D4832" s="64"/>
      <c r="E4832" s="63"/>
      <c r="F4832" s="64"/>
    </row>
    <row r="4833" spans="1:6" x14ac:dyDescent="0.3">
      <c r="A4833" s="2"/>
      <c r="B4833" s="65"/>
      <c r="C4833" s="65"/>
      <c r="D4833" s="2"/>
      <c r="E4833" s="2"/>
      <c r="F4833" s="2"/>
    </row>
    <row r="4834" spans="1:6" x14ac:dyDescent="0.3">
      <c r="A4834" s="63"/>
      <c r="B4834" s="64"/>
      <c r="C4834" s="64"/>
      <c r="D4834" s="64"/>
      <c r="E4834" s="63"/>
      <c r="F4834" s="64"/>
    </row>
    <row r="4835" spans="1:6" x14ac:dyDescent="0.3">
      <c r="A4835" s="2"/>
      <c r="B4835" s="65"/>
      <c r="C4835" s="65"/>
      <c r="D4835" s="2"/>
      <c r="E4835" s="2"/>
      <c r="F4835" s="2"/>
    </row>
    <row r="4836" spans="1:6" x14ac:dyDescent="0.3">
      <c r="A4836" s="63"/>
      <c r="B4836" s="64"/>
      <c r="C4836" s="64"/>
      <c r="D4836" s="64"/>
      <c r="E4836" s="63"/>
      <c r="F4836" s="64"/>
    </row>
    <row r="4837" spans="1:6" x14ac:dyDescent="0.3">
      <c r="A4837" s="2"/>
      <c r="B4837" s="65"/>
      <c r="C4837" s="65"/>
      <c r="D4837" s="2"/>
      <c r="E4837" s="2"/>
      <c r="F4837" s="2"/>
    </row>
    <row r="4838" spans="1:6" x14ac:dyDescent="0.3">
      <c r="A4838" s="63"/>
      <c r="B4838" s="64"/>
      <c r="C4838" s="64"/>
      <c r="D4838" s="64"/>
      <c r="E4838" s="63"/>
      <c r="F4838" s="64"/>
    </row>
    <row r="4839" spans="1:6" x14ac:dyDescent="0.3">
      <c r="A4839" s="2"/>
      <c r="B4839" s="65"/>
      <c r="C4839" s="65"/>
      <c r="D4839" s="2"/>
      <c r="E4839" s="2"/>
      <c r="F4839" s="2"/>
    </row>
    <row r="4840" spans="1:6" x14ac:dyDescent="0.3">
      <c r="A4840" s="63"/>
      <c r="B4840" s="64"/>
      <c r="C4840" s="64"/>
      <c r="D4840" s="64"/>
      <c r="E4840" s="63"/>
      <c r="F4840" s="64"/>
    </row>
    <row r="4841" spans="1:6" x14ac:dyDescent="0.3">
      <c r="A4841" s="2"/>
      <c r="B4841" s="65"/>
      <c r="C4841" s="65"/>
      <c r="D4841" s="2"/>
      <c r="E4841" s="2"/>
      <c r="F4841" s="2"/>
    </row>
    <row r="4842" spans="1:6" x14ac:dyDescent="0.3">
      <c r="A4842" s="63"/>
      <c r="B4842" s="64"/>
      <c r="C4842" s="64"/>
      <c r="D4842" s="64"/>
      <c r="E4842" s="63"/>
      <c r="F4842" s="64"/>
    </row>
    <row r="4843" spans="1:6" x14ac:dyDescent="0.3">
      <c r="A4843" s="2"/>
      <c r="B4843" s="65"/>
      <c r="C4843" s="65"/>
      <c r="D4843" s="2"/>
      <c r="E4843" s="2"/>
      <c r="F4843" s="2"/>
    </row>
    <row r="4844" spans="1:6" x14ac:dyDescent="0.3">
      <c r="A4844" s="63"/>
      <c r="B4844" s="64"/>
      <c r="C4844" s="64"/>
      <c r="D4844" s="64"/>
      <c r="E4844" s="63"/>
      <c r="F4844" s="64"/>
    </row>
    <row r="4845" spans="1:6" x14ac:dyDescent="0.3">
      <c r="A4845" s="2"/>
      <c r="B4845" s="65"/>
      <c r="C4845" s="65"/>
      <c r="D4845" s="2"/>
      <c r="E4845" s="2"/>
      <c r="F4845" s="2"/>
    </row>
    <row r="4846" spans="1:6" x14ac:dyDescent="0.3">
      <c r="A4846" s="63"/>
      <c r="B4846" s="64"/>
      <c r="C4846" s="64"/>
      <c r="D4846" s="64"/>
      <c r="E4846" s="63"/>
      <c r="F4846" s="64"/>
    </row>
    <row r="4847" spans="1:6" x14ac:dyDescent="0.3">
      <c r="A4847" s="2"/>
      <c r="B4847" s="65"/>
      <c r="C4847" s="65"/>
      <c r="D4847" s="2"/>
      <c r="E4847" s="2"/>
      <c r="F4847" s="2"/>
    </row>
    <row r="4848" spans="1:6" x14ac:dyDescent="0.3">
      <c r="A4848" s="63"/>
      <c r="B4848" s="64"/>
      <c r="C4848" s="64"/>
      <c r="D4848" s="64"/>
      <c r="E4848" s="63"/>
      <c r="F4848" s="64"/>
    </row>
    <row r="4849" spans="1:6" x14ac:dyDescent="0.3">
      <c r="A4849" s="2"/>
      <c r="B4849" s="65"/>
      <c r="C4849" s="65"/>
      <c r="D4849" s="2"/>
      <c r="E4849" s="2"/>
      <c r="F4849" s="2"/>
    </row>
    <row r="4850" spans="1:6" x14ac:dyDescent="0.3">
      <c r="A4850" s="63"/>
      <c r="B4850" s="64"/>
      <c r="C4850" s="64"/>
      <c r="D4850" s="64"/>
      <c r="E4850" s="63"/>
      <c r="F4850" s="64"/>
    </row>
    <row r="4851" spans="1:6" x14ac:dyDescent="0.3">
      <c r="A4851" s="2"/>
      <c r="B4851" s="65"/>
      <c r="C4851" s="65"/>
      <c r="D4851" s="2"/>
      <c r="E4851" s="2"/>
      <c r="F4851" s="2"/>
    </row>
    <row r="4852" spans="1:6" x14ac:dyDescent="0.3">
      <c r="A4852" s="63"/>
      <c r="B4852" s="64"/>
      <c r="C4852" s="64"/>
      <c r="D4852" s="64"/>
      <c r="E4852" s="63"/>
      <c r="F4852" s="64"/>
    </row>
    <row r="4853" spans="1:6" x14ac:dyDescent="0.3">
      <c r="A4853" s="2"/>
      <c r="B4853" s="65"/>
      <c r="C4853" s="65"/>
      <c r="D4853" s="2"/>
      <c r="E4853" s="2"/>
      <c r="F4853" s="2"/>
    </row>
    <row r="4854" spans="1:6" x14ac:dyDescent="0.3">
      <c r="A4854" s="63"/>
      <c r="B4854" s="64"/>
      <c r="C4854" s="64"/>
      <c r="D4854" s="64"/>
      <c r="E4854" s="63"/>
      <c r="F4854" s="64"/>
    </row>
    <row r="4855" spans="1:6" x14ac:dyDescent="0.3">
      <c r="A4855" s="2"/>
      <c r="B4855" s="65"/>
      <c r="C4855" s="65"/>
      <c r="D4855" s="2"/>
      <c r="E4855" s="2"/>
      <c r="F4855" s="2"/>
    </row>
    <row r="4856" spans="1:6" x14ac:dyDescent="0.3">
      <c r="A4856" s="63"/>
      <c r="B4856" s="64"/>
      <c r="C4856" s="64"/>
      <c r="D4856" s="64"/>
      <c r="E4856" s="63"/>
      <c r="F4856" s="64"/>
    </row>
    <row r="4857" spans="1:6" x14ac:dyDescent="0.3">
      <c r="A4857" s="2"/>
      <c r="B4857" s="65"/>
      <c r="C4857" s="65"/>
      <c r="D4857" s="2"/>
      <c r="E4857" s="2"/>
      <c r="F4857" s="2"/>
    </row>
    <row r="4858" spans="1:6" x14ac:dyDescent="0.3">
      <c r="A4858" s="63"/>
      <c r="B4858" s="64"/>
      <c r="C4858" s="64"/>
      <c r="D4858" s="64"/>
      <c r="E4858" s="63"/>
      <c r="F4858" s="64"/>
    </row>
    <row r="4859" spans="1:6" x14ac:dyDescent="0.3">
      <c r="A4859" s="2"/>
      <c r="B4859" s="65"/>
      <c r="C4859" s="65"/>
      <c r="D4859" s="2"/>
      <c r="E4859" s="2"/>
      <c r="F4859" s="2"/>
    </row>
    <row r="4860" spans="1:6" x14ac:dyDescent="0.3">
      <c r="A4860" s="63"/>
      <c r="B4860" s="64"/>
      <c r="C4860" s="64"/>
      <c r="D4860" s="64"/>
      <c r="E4860" s="63"/>
      <c r="F4860" s="64"/>
    </row>
    <row r="4861" spans="1:6" x14ac:dyDescent="0.3">
      <c r="A4861" s="2"/>
      <c r="B4861" s="65"/>
      <c r="C4861" s="65"/>
      <c r="D4861" s="2"/>
      <c r="E4861" s="2"/>
      <c r="F4861" s="2"/>
    </row>
    <row r="4862" spans="1:6" x14ac:dyDescent="0.3">
      <c r="A4862" s="63"/>
      <c r="B4862" s="64"/>
      <c r="C4862" s="64"/>
      <c r="D4862" s="64"/>
      <c r="E4862" s="63"/>
      <c r="F4862" s="64"/>
    </row>
    <row r="4863" spans="1:6" x14ac:dyDescent="0.3">
      <c r="A4863" s="2"/>
      <c r="B4863" s="65"/>
      <c r="C4863" s="65"/>
      <c r="D4863" s="2"/>
      <c r="E4863" s="2"/>
      <c r="F4863" s="2"/>
    </row>
    <row r="4864" spans="1:6" x14ac:dyDescent="0.3">
      <c r="A4864" s="63"/>
      <c r="B4864" s="64"/>
      <c r="C4864" s="64"/>
      <c r="D4864" s="64"/>
      <c r="E4864" s="63"/>
      <c r="F4864" s="64"/>
    </row>
    <row r="4865" spans="1:6" x14ac:dyDescent="0.3">
      <c r="A4865" s="2"/>
      <c r="B4865" s="65"/>
      <c r="C4865" s="65"/>
      <c r="D4865" s="2"/>
      <c r="E4865" s="2"/>
      <c r="F4865" s="2"/>
    </row>
    <row r="4866" spans="1:6" x14ac:dyDescent="0.3">
      <c r="A4866" s="63"/>
      <c r="B4866" s="64"/>
      <c r="C4866" s="64"/>
      <c r="D4866" s="64"/>
      <c r="E4866" s="63"/>
      <c r="F4866" s="64"/>
    </row>
    <row r="4867" spans="1:6" x14ac:dyDescent="0.3">
      <c r="A4867" s="2"/>
      <c r="B4867" s="65"/>
      <c r="C4867" s="65"/>
      <c r="D4867" s="2"/>
      <c r="E4867" s="2"/>
      <c r="F4867" s="2"/>
    </row>
    <row r="4868" spans="1:6" x14ac:dyDescent="0.3">
      <c r="A4868" s="63"/>
      <c r="B4868" s="64"/>
      <c r="C4868" s="64"/>
      <c r="D4868" s="64"/>
      <c r="E4868" s="63"/>
      <c r="F4868" s="64"/>
    </row>
    <row r="4869" spans="1:6" x14ac:dyDescent="0.3">
      <c r="A4869" s="2"/>
      <c r="B4869" s="65"/>
      <c r="C4869" s="65"/>
      <c r="D4869" s="2"/>
      <c r="E4869" s="2"/>
      <c r="F4869" s="2"/>
    </row>
    <row r="4870" spans="1:6" x14ac:dyDescent="0.3">
      <c r="A4870" s="63"/>
      <c r="B4870" s="64"/>
      <c r="C4870" s="64"/>
      <c r="D4870" s="64"/>
      <c r="E4870" s="63"/>
      <c r="F4870" s="64"/>
    </row>
    <row r="4871" spans="1:6" x14ac:dyDescent="0.3">
      <c r="A4871" s="2"/>
      <c r="B4871" s="65"/>
      <c r="C4871" s="65"/>
      <c r="D4871" s="2"/>
      <c r="E4871" s="2"/>
      <c r="F4871" s="2"/>
    </row>
    <row r="4872" spans="1:6" x14ac:dyDescent="0.3">
      <c r="A4872" s="63"/>
      <c r="B4872" s="64"/>
      <c r="C4872" s="64"/>
      <c r="D4872" s="64"/>
      <c r="E4872" s="63"/>
      <c r="F4872" s="64"/>
    </row>
    <row r="4873" spans="1:6" x14ac:dyDescent="0.3">
      <c r="A4873" s="2"/>
      <c r="B4873" s="65"/>
      <c r="C4873" s="65"/>
      <c r="D4873" s="2"/>
      <c r="E4873" s="2"/>
      <c r="F4873" s="2"/>
    </row>
    <row r="4874" spans="1:6" x14ac:dyDescent="0.3">
      <c r="A4874" s="63"/>
      <c r="B4874" s="64"/>
      <c r="C4874" s="64"/>
      <c r="D4874" s="64"/>
      <c r="E4874" s="63"/>
      <c r="F4874" s="64"/>
    </row>
    <row r="4875" spans="1:6" x14ac:dyDescent="0.3">
      <c r="A4875" s="2"/>
      <c r="B4875" s="65"/>
      <c r="C4875" s="65"/>
      <c r="D4875" s="2"/>
      <c r="E4875" s="2"/>
      <c r="F4875" s="2"/>
    </row>
    <row r="4876" spans="1:6" x14ac:dyDescent="0.3">
      <c r="A4876" s="63"/>
      <c r="B4876" s="64"/>
      <c r="C4876" s="64"/>
      <c r="D4876" s="64"/>
      <c r="E4876" s="63"/>
      <c r="F4876" s="64"/>
    </row>
    <row r="4877" spans="1:6" x14ac:dyDescent="0.3">
      <c r="A4877" s="2"/>
      <c r="B4877" s="65"/>
      <c r="C4877" s="65"/>
      <c r="D4877" s="2"/>
      <c r="E4877" s="2"/>
      <c r="F4877" s="2"/>
    </row>
    <row r="4878" spans="1:6" x14ac:dyDescent="0.3">
      <c r="A4878" s="63"/>
      <c r="B4878" s="64"/>
      <c r="C4878" s="64"/>
      <c r="D4878" s="64"/>
      <c r="E4878" s="63"/>
      <c r="F4878" s="64"/>
    </row>
    <row r="4879" spans="1:6" x14ac:dyDescent="0.3">
      <c r="A4879" s="2"/>
      <c r="B4879" s="65"/>
      <c r="C4879" s="65"/>
      <c r="D4879" s="2"/>
      <c r="E4879" s="2"/>
      <c r="F4879" s="2"/>
    </row>
    <row r="4880" spans="1:6" x14ac:dyDescent="0.3">
      <c r="A4880" s="63"/>
      <c r="B4880" s="64"/>
      <c r="C4880" s="64"/>
      <c r="D4880" s="64"/>
      <c r="E4880" s="63"/>
      <c r="F4880" s="64"/>
    </row>
    <row r="4881" spans="1:6" x14ac:dyDescent="0.3">
      <c r="A4881" s="2"/>
      <c r="B4881" s="65"/>
      <c r="C4881" s="65"/>
      <c r="D4881" s="2"/>
      <c r="E4881" s="2"/>
      <c r="F4881" s="2"/>
    </row>
    <row r="4882" spans="1:6" x14ac:dyDescent="0.3">
      <c r="A4882" s="63"/>
      <c r="B4882" s="64"/>
      <c r="C4882" s="64"/>
      <c r="D4882" s="64"/>
      <c r="E4882" s="63"/>
      <c r="F4882" s="64"/>
    </row>
    <row r="4883" spans="1:6" x14ac:dyDescent="0.3">
      <c r="A4883" s="2"/>
      <c r="B4883" s="65"/>
      <c r="C4883" s="65"/>
      <c r="D4883" s="2"/>
      <c r="E4883" s="2"/>
      <c r="F4883" s="2"/>
    </row>
    <row r="4884" spans="1:6" x14ac:dyDescent="0.3">
      <c r="A4884" s="63"/>
      <c r="B4884" s="64"/>
      <c r="C4884" s="64"/>
      <c r="D4884" s="64"/>
      <c r="E4884" s="63"/>
      <c r="F4884" s="64"/>
    </row>
    <row r="4885" spans="1:6" x14ac:dyDescent="0.3">
      <c r="A4885" s="2"/>
      <c r="B4885" s="65"/>
      <c r="C4885" s="65"/>
      <c r="D4885" s="2"/>
      <c r="E4885" s="2"/>
      <c r="F4885" s="2"/>
    </row>
    <row r="4886" spans="1:6" x14ac:dyDescent="0.3">
      <c r="A4886" s="63"/>
      <c r="B4886" s="64"/>
      <c r="C4886" s="64"/>
      <c r="D4886" s="64"/>
      <c r="E4886" s="63"/>
      <c r="F4886" s="64"/>
    </row>
    <row r="4887" spans="1:6" x14ac:dyDescent="0.3">
      <c r="A4887" s="2"/>
      <c r="B4887" s="65"/>
      <c r="C4887" s="65"/>
      <c r="D4887" s="2"/>
      <c r="E4887" s="2"/>
      <c r="F4887" s="2"/>
    </row>
    <row r="4888" spans="1:6" x14ac:dyDescent="0.3">
      <c r="A4888" s="63"/>
      <c r="B4888" s="64"/>
      <c r="C4888" s="64"/>
      <c r="D4888" s="64"/>
      <c r="E4888" s="63"/>
      <c r="F4888" s="64"/>
    </row>
    <row r="4889" spans="1:6" x14ac:dyDescent="0.3">
      <c r="A4889" s="2"/>
      <c r="B4889" s="65"/>
      <c r="C4889" s="65"/>
      <c r="D4889" s="2"/>
      <c r="E4889" s="2"/>
      <c r="F4889" s="2"/>
    </row>
    <row r="4890" spans="1:6" x14ac:dyDescent="0.3">
      <c r="A4890" s="63"/>
      <c r="B4890" s="64"/>
      <c r="C4890" s="64"/>
      <c r="D4890" s="64"/>
      <c r="E4890" s="63"/>
      <c r="F4890" s="64"/>
    </row>
    <row r="4891" spans="1:6" x14ac:dyDescent="0.3">
      <c r="A4891" s="2"/>
      <c r="B4891" s="65"/>
      <c r="C4891" s="65"/>
      <c r="D4891" s="2"/>
      <c r="E4891" s="2"/>
      <c r="F4891" s="2"/>
    </row>
    <row r="4892" spans="1:6" x14ac:dyDescent="0.3">
      <c r="A4892" s="63"/>
      <c r="B4892" s="64"/>
      <c r="C4892" s="64"/>
      <c r="D4892" s="64"/>
      <c r="E4892" s="63"/>
      <c r="F4892" s="64"/>
    </row>
    <row r="4893" spans="1:6" x14ac:dyDescent="0.3">
      <c r="A4893" s="2"/>
      <c r="B4893" s="65"/>
      <c r="C4893" s="65"/>
      <c r="D4893" s="2"/>
      <c r="E4893" s="2"/>
      <c r="F4893" s="2"/>
    </row>
    <row r="4894" spans="1:6" x14ac:dyDescent="0.3">
      <c r="A4894" s="63"/>
      <c r="B4894" s="64"/>
      <c r="C4894" s="64"/>
      <c r="D4894" s="64"/>
      <c r="E4894" s="63"/>
      <c r="F4894" s="64"/>
    </row>
    <row r="4895" spans="1:6" x14ac:dyDescent="0.3">
      <c r="A4895" s="2"/>
      <c r="B4895" s="65"/>
      <c r="C4895" s="65"/>
      <c r="D4895" s="2"/>
      <c r="E4895" s="2"/>
      <c r="F4895" s="2"/>
    </row>
    <row r="4896" spans="1:6" x14ac:dyDescent="0.3">
      <c r="A4896" s="63"/>
      <c r="B4896" s="64"/>
      <c r="C4896" s="64"/>
      <c r="D4896" s="64"/>
      <c r="E4896" s="63"/>
      <c r="F4896" s="64"/>
    </row>
    <row r="4897" spans="1:6" x14ac:dyDescent="0.3">
      <c r="A4897" s="2"/>
      <c r="B4897" s="65"/>
      <c r="C4897" s="65"/>
      <c r="D4897" s="2"/>
      <c r="E4897" s="2"/>
      <c r="F4897" s="2"/>
    </row>
    <row r="4898" spans="1:6" x14ac:dyDescent="0.3">
      <c r="A4898" s="63"/>
      <c r="B4898" s="64"/>
      <c r="C4898" s="64"/>
      <c r="D4898" s="64"/>
      <c r="E4898" s="63"/>
      <c r="F4898" s="64"/>
    </row>
    <row r="4899" spans="1:6" x14ac:dyDescent="0.3">
      <c r="A4899" s="2"/>
      <c r="B4899" s="65"/>
      <c r="C4899" s="65"/>
      <c r="D4899" s="2"/>
      <c r="E4899" s="2"/>
      <c r="F4899" s="2"/>
    </row>
    <row r="4900" spans="1:6" x14ac:dyDescent="0.3">
      <c r="A4900" s="63"/>
      <c r="B4900" s="64"/>
      <c r="C4900" s="64"/>
      <c r="D4900" s="64"/>
      <c r="E4900" s="63"/>
      <c r="F4900" s="64"/>
    </row>
    <row r="4901" spans="1:6" x14ac:dyDescent="0.3">
      <c r="A4901" s="2"/>
      <c r="B4901" s="65"/>
      <c r="C4901" s="65"/>
      <c r="D4901" s="2"/>
      <c r="E4901" s="2"/>
      <c r="F4901" s="2"/>
    </row>
    <row r="4902" spans="1:6" x14ac:dyDescent="0.3">
      <c r="A4902" s="63"/>
      <c r="B4902" s="64"/>
      <c r="C4902" s="64"/>
      <c r="D4902" s="64"/>
      <c r="E4902" s="63"/>
      <c r="F4902" s="64"/>
    </row>
    <row r="4903" spans="1:6" x14ac:dyDescent="0.3">
      <c r="A4903" s="2"/>
      <c r="B4903" s="65"/>
      <c r="C4903" s="65"/>
      <c r="D4903" s="2"/>
      <c r="E4903" s="2"/>
      <c r="F4903" s="2"/>
    </row>
    <row r="4904" spans="1:6" x14ac:dyDescent="0.3">
      <c r="A4904" s="63"/>
      <c r="B4904" s="64"/>
      <c r="C4904" s="64"/>
      <c r="D4904" s="64"/>
      <c r="E4904" s="63"/>
      <c r="F4904" s="64"/>
    </row>
    <row r="4905" spans="1:6" x14ac:dyDescent="0.3">
      <c r="A4905" s="2"/>
      <c r="B4905" s="65"/>
      <c r="C4905" s="65"/>
      <c r="D4905" s="2"/>
      <c r="E4905" s="2"/>
      <c r="F4905" s="2"/>
    </row>
    <row r="4906" spans="1:6" x14ac:dyDescent="0.3">
      <c r="A4906" s="63"/>
      <c r="B4906" s="64"/>
      <c r="C4906" s="64"/>
      <c r="D4906" s="64"/>
      <c r="E4906" s="63"/>
      <c r="F4906" s="64"/>
    </row>
    <row r="4907" spans="1:6" x14ac:dyDescent="0.3">
      <c r="A4907" s="2"/>
      <c r="B4907" s="65"/>
      <c r="C4907" s="65"/>
      <c r="D4907" s="2"/>
      <c r="E4907" s="2"/>
      <c r="F4907" s="2"/>
    </row>
    <row r="4908" spans="1:6" x14ac:dyDescent="0.3">
      <c r="A4908" s="63"/>
      <c r="B4908" s="64"/>
      <c r="C4908" s="64"/>
      <c r="D4908" s="64"/>
      <c r="E4908" s="63"/>
      <c r="F4908" s="64"/>
    </row>
    <row r="4909" spans="1:6" x14ac:dyDescent="0.3">
      <c r="A4909" s="2"/>
      <c r="B4909" s="65"/>
      <c r="C4909" s="65"/>
      <c r="D4909" s="2"/>
      <c r="E4909" s="2"/>
      <c r="F4909" s="2"/>
    </row>
    <row r="4910" spans="1:6" x14ac:dyDescent="0.3">
      <c r="A4910" s="63"/>
      <c r="B4910" s="64"/>
      <c r="C4910" s="64"/>
      <c r="D4910" s="64"/>
      <c r="E4910" s="63"/>
      <c r="F4910" s="64"/>
    </row>
    <row r="4911" spans="1:6" x14ac:dyDescent="0.3">
      <c r="A4911" s="2"/>
      <c r="B4911" s="65"/>
      <c r="C4911" s="65"/>
      <c r="D4911" s="2"/>
      <c r="E4911" s="2"/>
      <c r="F4911" s="2"/>
    </row>
    <row r="4912" spans="1:6" x14ac:dyDescent="0.3">
      <c r="A4912" s="63"/>
      <c r="B4912" s="64"/>
      <c r="C4912" s="64"/>
      <c r="D4912" s="64"/>
      <c r="E4912" s="63"/>
      <c r="F4912" s="64"/>
    </row>
    <row r="4913" spans="1:6" x14ac:dyDescent="0.3">
      <c r="A4913" s="2"/>
      <c r="B4913" s="65"/>
      <c r="C4913" s="65"/>
      <c r="D4913" s="2"/>
      <c r="E4913" s="2"/>
      <c r="F4913" s="2"/>
    </row>
    <row r="4914" spans="1:6" x14ac:dyDescent="0.3">
      <c r="A4914" s="63"/>
      <c r="B4914" s="64"/>
      <c r="C4914" s="64"/>
      <c r="D4914" s="64"/>
      <c r="E4914" s="63"/>
      <c r="F4914" s="64"/>
    </row>
    <row r="4915" spans="1:6" x14ac:dyDescent="0.3">
      <c r="A4915" s="2"/>
      <c r="B4915" s="65"/>
      <c r="C4915" s="65"/>
      <c r="D4915" s="2"/>
      <c r="E4915" s="2"/>
      <c r="F4915" s="2"/>
    </row>
    <row r="4916" spans="1:6" x14ac:dyDescent="0.3">
      <c r="A4916" s="63"/>
      <c r="B4916" s="64"/>
      <c r="C4916" s="64"/>
      <c r="D4916" s="64"/>
      <c r="E4916" s="63"/>
      <c r="F4916" s="64"/>
    </row>
    <row r="4917" spans="1:6" x14ac:dyDescent="0.3">
      <c r="A4917" s="2"/>
      <c r="B4917" s="65"/>
      <c r="C4917" s="65"/>
      <c r="D4917" s="2"/>
      <c r="E4917" s="2"/>
      <c r="F4917" s="2"/>
    </row>
    <row r="4918" spans="1:6" x14ac:dyDescent="0.3">
      <c r="A4918" s="63"/>
      <c r="B4918" s="64"/>
      <c r="C4918" s="64"/>
      <c r="D4918" s="64"/>
      <c r="E4918" s="63"/>
      <c r="F4918" s="64"/>
    </row>
    <row r="4919" spans="1:6" x14ac:dyDescent="0.3">
      <c r="A4919" s="2"/>
      <c r="B4919" s="65"/>
      <c r="C4919" s="65"/>
      <c r="D4919" s="2"/>
      <c r="E4919" s="2"/>
      <c r="F4919" s="2"/>
    </row>
    <row r="4920" spans="1:6" x14ac:dyDescent="0.3">
      <c r="A4920" s="63"/>
      <c r="B4920" s="64"/>
      <c r="C4920" s="64"/>
      <c r="D4920" s="64"/>
      <c r="E4920" s="63"/>
      <c r="F4920" s="64"/>
    </row>
    <row r="4921" spans="1:6" x14ac:dyDescent="0.3">
      <c r="A4921" s="2"/>
      <c r="B4921" s="65"/>
      <c r="C4921" s="65"/>
      <c r="D4921" s="2"/>
      <c r="E4921" s="2"/>
      <c r="F4921" s="2"/>
    </row>
    <row r="4922" spans="1:6" x14ac:dyDescent="0.3">
      <c r="A4922" s="63"/>
      <c r="B4922" s="64"/>
      <c r="C4922" s="64"/>
      <c r="D4922" s="64"/>
      <c r="E4922" s="63"/>
      <c r="F4922" s="64"/>
    </row>
    <row r="4923" spans="1:6" x14ac:dyDescent="0.3">
      <c r="A4923" s="2"/>
      <c r="B4923" s="65"/>
      <c r="C4923" s="65"/>
      <c r="D4923" s="2"/>
      <c r="E4923" s="2"/>
      <c r="F4923" s="2"/>
    </row>
    <row r="4924" spans="1:6" x14ac:dyDescent="0.3">
      <c r="A4924" s="63"/>
      <c r="B4924" s="64"/>
      <c r="C4924" s="64"/>
      <c r="D4924" s="64"/>
      <c r="E4924" s="63"/>
      <c r="F4924" s="64"/>
    </row>
    <row r="4925" spans="1:6" x14ac:dyDescent="0.3">
      <c r="A4925" s="2"/>
      <c r="B4925" s="65"/>
      <c r="C4925" s="65"/>
      <c r="D4925" s="2"/>
      <c r="E4925" s="2"/>
      <c r="F4925" s="2"/>
    </row>
    <row r="4926" spans="1:6" x14ac:dyDescent="0.3">
      <c r="A4926" s="63"/>
      <c r="B4926" s="64"/>
      <c r="C4926" s="64"/>
      <c r="D4926" s="64"/>
      <c r="E4926" s="63"/>
      <c r="F4926" s="64"/>
    </row>
    <row r="4927" spans="1:6" x14ac:dyDescent="0.3">
      <c r="A4927" s="2"/>
      <c r="B4927" s="65"/>
      <c r="C4927" s="65"/>
      <c r="D4927" s="2"/>
      <c r="E4927" s="2"/>
      <c r="F4927" s="2"/>
    </row>
    <row r="4928" spans="1:6" x14ac:dyDescent="0.3">
      <c r="A4928" s="63"/>
      <c r="B4928" s="64"/>
      <c r="C4928" s="64"/>
      <c r="D4928" s="64"/>
      <c r="E4928" s="63"/>
      <c r="F4928" s="64"/>
    </row>
    <row r="4929" spans="1:6" x14ac:dyDescent="0.3">
      <c r="A4929" s="2"/>
      <c r="B4929" s="65"/>
      <c r="C4929" s="65"/>
      <c r="D4929" s="2"/>
      <c r="E4929" s="2"/>
      <c r="F4929" s="2"/>
    </row>
    <row r="4930" spans="1:6" x14ac:dyDescent="0.3">
      <c r="A4930" s="63"/>
      <c r="B4930" s="64"/>
      <c r="C4930" s="64"/>
      <c r="D4930" s="64"/>
      <c r="E4930" s="63"/>
      <c r="F4930" s="64"/>
    </row>
    <row r="4931" spans="1:6" x14ac:dyDescent="0.3">
      <c r="A4931" s="2"/>
      <c r="B4931" s="65"/>
      <c r="C4931" s="65"/>
      <c r="D4931" s="2"/>
      <c r="E4931" s="2"/>
      <c r="F4931" s="2"/>
    </row>
    <row r="4932" spans="1:6" x14ac:dyDescent="0.3">
      <c r="A4932" s="63"/>
      <c r="B4932" s="64"/>
      <c r="C4932" s="64"/>
      <c r="D4932" s="64"/>
      <c r="E4932" s="63"/>
      <c r="F4932" s="64"/>
    </row>
    <row r="4933" spans="1:6" x14ac:dyDescent="0.3">
      <c r="A4933" s="2"/>
      <c r="B4933" s="65"/>
      <c r="C4933" s="65"/>
      <c r="D4933" s="2"/>
      <c r="E4933" s="2"/>
      <c r="F4933" s="2"/>
    </row>
    <row r="4934" spans="1:6" x14ac:dyDescent="0.3">
      <c r="A4934" s="63"/>
      <c r="B4934" s="64"/>
      <c r="C4934" s="64"/>
      <c r="D4934" s="64"/>
      <c r="E4934" s="63"/>
      <c r="F4934" s="64"/>
    </row>
    <row r="4935" spans="1:6" x14ac:dyDescent="0.3">
      <c r="A4935" s="2"/>
      <c r="B4935" s="65"/>
      <c r="C4935" s="65"/>
      <c r="D4935" s="2"/>
      <c r="E4935" s="2"/>
      <c r="F4935" s="2"/>
    </row>
    <row r="4936" spans="1:6" x14ac:dyDescent="0.3">
      <c r="A4936" s="63"/>
      <c r="B4936" s="64"/>
      <c r="C4936" s="64"/>
      <c r="D4936" s="64"/>
      <c r="E4936" s="63"/>
      <c r="F4936" s="64"/>
    </row>
    <row r="4937" spans="1:6" x14ac:dyDescent="0.3">
      <c r="A4937" s="2"/>
      <c r="B4937" s="65"/>
      <c r="C4937" s="65"/>
      <c r="D4937" s="2"/>
      <c r="E4937" s="2"/>
      <c r="F4937" s="2"/>
    </row>
    <row r="4938" spans="1:6" x14ac:dyDescent="0.3">
      <c r="A4938" s="63"/>
      <c r="B4938" s="64"/>
      <c r="C4938" s="64"/>
      <c r="D4938" s="64"/>
      <c r="E4938" s="63"/>
      <c r="F4938" s="64"/>
    </row>
    <row r="4939" spans="1:6" x14ac:dyDescent="0.3">
      <c r="A4939" s="2"/>
      <c r="B4939" s="65"/>
      <c r="C4939" s="65"/>
      <c r="D4939" s="2"/>
      <c r="E4939" s="2"/>
      <c r="F4939" s="2"/>
    </row>
    <row r="4940" spans="1:6" x14ac:dyDescent="0.3">
      <c r="A4940" s="63"/>
      <c r="B4940" s="64"/>
      <c r="C4940" s="64"/>
      <c r="D4940" s="64"/>
      <c r="E4940" s="63"/>
      <c r="F4940" s="64"/>
    </row>
    <row r="4941" spans="1:6" x14ac:dyDescent="0.3">
      <c r="A4941" s="2"/>
      <c r="B4941" s="65"/>
      <c r="C4941" s="65"/>
      <c r="D4941" s="2"/>
      <c r="E4941" s="2"/>
      <c r="F4941" s="2"/>
    </row>
    <row r="4942" spans="1:6" x14ac:dyDescent="0.3">
      <c r="A4942" s="63"/>
      <c r="B4942" s="64"/>
      <c r="C4942" s="64"/>
      <c r="D4942" s="64"/>
      <c r="E4942" s="63"/>
      <c r="F4942" s="64"/>
    </row>
    <row r="4943" spans="1:6" x14ac:dyDescent="0.3">
      <c r="A4943" s="2"/>
      <c r="B4943" s="65"/>
      <c r="C4943" s="65"/>
      <c r="D4943" s="2"/>
      <c r="E4943" s="2"/>
      <c r="F4943" s="2"/>
    </row>
    <row r="4944" spans="1:6" x14ac:dyDescent="0.3">
      <c r="A4944" s="63"/>
      <c r="B4944" s="64"/>
      <c r="C4944" s="64"/>
      <c r="D4944" s="64"/>
      <c r="E4944" s="63"/>
      <c r="F4944" s="64"/>
    </row>
    <row r="4945" spans="1:6" x14ac:dyDescent="0.3">
      <c r="A4945" s="2"/>
      <c r="B4945" s="65"/>
      <c r="C4945" s="65"/>
      <c r="D4945" s="2"/>
      <c r="E4945" s="2"/>
      <c r="F4945" s="2"/>
    </row>
    <row r="4946" spans="1:6" x14ac:dyDescent="0.3">
      <c r="A4946" s="63"/>
      <c r="B4946" s="64"/>
      <c r="C4946" s="64"/>
      <c r="D4946" s="64"/>
      <c r="E4946" s="63"/>
      <c r="F4946" s="64"/>
    </row>
    <row r="4947" spans="1:6" x14ac:dyDescent="0.3">
      <c r="A4947" s="2"/>
      <c r="B4947" s="65"/>
      <c r="C4947" s="65"/>
      <c r="D4947" s="2"/>
      <c r="E4947" s="2"/>
      <c r="F4947" s="2"/>
    </row>
    <row r="4948" spans="1:6" x14ac:dyDescent="0.3">
      <c r="A4948" s="63"/>
      <c r="B4948" s="64"/>
      <c r="C4948" s="64"/>
      <c r="D4948" s="64"/>
      <c r="E4948" s="63"/>
      <c r="F4948" s="64"/>
    </row>
    <row r="4949" spans="1:6" x14ac:dyDescent="0.3">
      <c r="A4949" s="2"/>
      <c r="B4949" s="65"/>
      <c r="C4949" s="65"/>
      <c r="D4949" s="2"/>
      <c r="E4949" s="2"/>
      <c r="F4949" s="2"/>
    </row>
    <row r="4950" spans="1:6" x14ac:dyDescent="0.3">
      <c r="A4950" s="63"/>
      <c r="B4950" s="64"/>
      <c r="C4950" s="64"/>
      <c r="D4950" s="64"/>
      <c r="E4950" s="63"/>
      <c r="F4950" s="64"/>
    </row>
    <row r="4951" spans="1:6" x14ac:dyDescent="0.3">
      <c r="A4951" s="2"/>
      <c r="B4951" s="65"/>
      <c r="C4951" s="65"/>
      <c r="D4951" s="2"/>
      <c r="E4951" s="2"/>
      <c r="F4951" s="2"/>
    </row>
    <row r="4952" spans="1:6" x14ac:dyDescent="0.3">
      <c r="A4952" s="63"/>
      <c r="B4952" s="64"/>
      <c r="C4952" s="64"/>
      <c r="D4952" s="64"/>
      <c r="E4952" s="63"/>
      <c r="F4952" s="64"/>
    </row>
    <row r="4953" spans="1:6" x14ac:dyDescent="0.3">
      <c r="A4953" s="2"/>
      <c r="B4953" s="65"/>
      <c r="C4953" s="65"/>
      <c r="D4953" s="2"/>
      <c r="E4953" s="2"/>
      <c r="F4953" s="2"/>
    </row>
    <row r="4954" spans="1:6" x14ac:dyDescent="0.3">
      <c r="A4954" s="63"/>
      <c r="B4954" s="64"/>
      <c r="C4954" s="64"/>
      <c r="D4954" s="64"/>
      <c r="E4954" s="63"/>
      <c r="F4954" s="64"/>
    </row>
    <row r="4955" spans="1:6" x14ac:dyDescent="0.3">
      <c r="A4955" s="2"/>
      <c r="B4955" s="65"/>
      <c r="C4955" s="65"/>
      <c r="D4955" s="2"/>
      <c r="E4955" s="2"/>
      <c r="F4955" s="2"/>
    </row>
    <row r="4956" spans="1:6" x14ac:dyDescent="0.3">
      <c r="A4956" s="63"/>
      <c r="B4956" s="64"/>
      <c r="C4956" s="64"/>
      <c r="D4956" s="64"/>
      <c r="E4956" s="63"/>
      <c r="F4956" s="64"/>
    </row>
    <row r="4957" spans="1:6" x14ac:dyDescent="0.3">
      <c r="A4957" s="2"/>
      <c r="B4957" s="65"/>
      <c r="C4957" s="65"/>
      <c r="D4957" s="2"/>
      <c r="E4957" s="2"/>
      <c r="F4957" s="2"/>
    </row>
    <row r="4958" spans="1:6" x14ac:dyDescent="0.3">
      <c r="A4958" s="63"/>
      <c r="B4958" s="64"/>
      <c r="C4958" s="64"/>
      <c r="D4958" s="64"/>
      <c r="E4958" s="63"/>
      <c r="F4958" s="64"/>
    </row>
    <row r="4959" spans="1:6" x14ac:dyDescent="0.3">
      <c r="A4959" s="2"/>
      <c r="B4959" s="65"/>
      <c r="C4959" s="65"/>
      <c r="D4959" s="2"/>
      <c r="E4959" s="2"/>
      <c r="F4959" s="2"/>
    </row>
    <row r="4960" spans="1:6" x14ac:dyDescent="0.3">
      <c r="A4960" s="63"/>
      <c r="B4960" s="64"/>
      <c r="C4960" s="64"/>
      <c r="D4960" s="64"/>
      <c r="E4960" s="63"/>
      <c r="F4960" s="64"/>
    </row>
    <row r="4961" spans="1:6" x14ac:dyDescent="0.3">
      <c r="A4961" s="2"/>
      <c r="B4961" s="65"/>
      <c r="C4961" s="65"/>
      <c r="D4961" s="2"/>
      <c r="E4961" s="2"/>
      <c r="F4961" s="2"/>
    </row>
    <row r="4962" spans="1:6" x14ac:dyDescent="0.3">
      <c r="A4962" s="63"/>
      <c r="B4962" s="64"/>
      <c r="C4962" s="64"/>
      <c r="D4962" s="64"/>
      <c r="E4962" s="63"/>
      <c r="F4962" s="64"/>
    </row>
    <row r="4963" spans="1:6" x14ac:dyDescent="0.3">
      <c r="A4963" s="2"/>
      <c r="B4963" s="65"/>
      <c r="C4963" s="65"/>
      <c r="D4963" s="2"/>
      <c r="E4963" s="2"/>
      <c r="F4963" s="2"/>
    </row>
    <row r="4964" spans="1:6" x14ac:dyDescent="0.3">
      <c r="A4964" s="63"/>
      <c r="B4964" s="64"/>
      <c r="C4964" s="64"/>
      <c r="D4964" s="64"/>
      <c r="E4964" s="63"/>
      <c r="F4964" s="64"/>
    </row>
    <row r="4965" spans="1:6" x14ac:dyDescent="0.3">
      <c r="A4965" s="2"/>
      <c r="B4965" s="65"/>
      <c r="C4965" s="65"/>
      <c r="D4965" s="2"/>
      <c r="E4965" s="2"/>
      <c r="F4965" s="2"/>
    </row>
    <row r="4966" spans="1:6" x14ac:dyDescent="0.3">
      <c r="A4966" s="63"/>
      <c r="B4966" s="64"/>
      <c r="C4966" s="64"/>
      <c r="D4966" s="64"/>
      <c r="E4966" s="63"/>
      <c r="F4966" s="64"/>
    </row>
    <row r="4967" spans="1:6" x14ac:dyDescent="0.3">
      <c r="A4967" s="2"/>
      <c r="B4967" s="65"/>
      <c r="C4967" s="65"/>
      <c r="D4967" s="2"/>
      <c r="E4967" s="2"/>
      <c r="F4967" s="2"/>
    </row>
    <row r="4968" spans="1:6" x14ac:dyDescent="0.3">
      <c r="A4968" s="63"/>
      <c r="B4968" s="64"/>
      <c r="C4968" s="64"/>
      <c r="D4968" s="64"/>
      <c r="E4968" s="63"/>
      <c r="F4968" s="64"/>
    </row>
    <row r="4969" spans="1:6" x14ac:dyDescent="0.3">
      <c r="A4969" s="2"/>
      <c r="B4969" s="65"/>
      <c r="C4969" s="65"/>
      <c r="D4969" s="2"/>
      <c r="E4969" s="2"/>
      <c r="F4969" s="2"/>
    </row>
    <row r="4970" spans="1:6" x14ac:dyDescent="0.3">
      <c r="A4970" s="63"/>
      <c r="B4970" s="64"/>
      <c r="C4970" s="64"/>
      <c r="D4970" s="64"/>
      <c r="E4970" s="63"/>
      <c r="F4970" s="64"/>
    </row>
    <row r="4971" spans="1:6" x14ac:dyDescent="0.3">
      <c r="A4971" s="2"/>
      <c r="B4971" s="65"/>
      <c r="C4971" s="65"/>
      <c r="D4971" s="2"/>
      <c r="E4971" s="2"/>
      <c r="F4971" s="2"/>
    </row>
    <row r="4972" spans="1:6" x14ac:dyDescent="0.3">
      <c r="A4972" s="63"/>
      <c r="B4972" s="64"/>
      <c r="C4972" s="64"/>
      <c r="D4972" s="64"/>
      <c r="E4972" s="63"/>
      <c r="F4972" s="64"/>
    </row>
    <row r="4973" spans="1:6" x14ac:dyDescent="0.3">
      <c r="A4973" s="2"/>
      <c r="B4973" s="65"/>
      <c r="C4973" s="65"/>
      <c r="D4973" s="2"/>
      <c r="E4973" s="2"/>
      <c r="F4973" s="2"/>
    </row>
    <row r="4974" spans="1:6" x14ac:dyDescent="0.3">
      <c r="A4974" s="63"/>
      <c r="B4974" s="64"/>
      <c r="C4974" s="64"/>
      <c r="D4974" s="64"/>
      <c r="E4974" s="63"/>
      <c r="F4974" s="64"/>
    </row>
    <row r="4975" spans="1:6" x14ac:dyDescent="0.3">
      <c r="A4975" s="2"/>
      <c r="B4975" s="65"/>
      <c r="C4975" s="65"/>
      <c r="D4975" s="2"/>
      <c r="E4975" s="2"/>
      <c r="F4975" s="2"/>
    </row>
    <row r="4976" spans="1:6" x14ac:dyDescent="0.3">
      <c r="A4976" s="63"/>
      <c r="B4976" s="64"/>
      <c r="C4976" s="64"/>
      <c r="D4976" s="64"/>
      <c r="E4976" s="63"/>
      <c r="F4976" s="64"/>
    </row>
    <row r="4977" spans="1:6" x14ac:dyDescent="0.3">
      <c r="A4977" s="2"/>
      <c r="B4977" s="65"/>
      <c r="C4977" s="65"/>
      <c r="D4977" s="2"/>
      <c r="E4977" s="2"/>
      <c r="F4977" s="2"/>
    </row>
    <row r="4978" spans="1:6" x14ac:dyDescent="0.3">
      <c r="A4978" s="63"/>
      <c r="B4978" s="64"/>
      <c r="C4978" s="64"/>
      <c r="D4978" s="64"/>
      <c r="E4978" s="63"/>
      <c r="F4978" s="64"/>
    </row>
    <row r="4979" spans="1:6" x14ac:dyDescent="0.3">
      <c r="A4979" s="2"/>
      <c r="B4979" s="65"/>
      <c r="C4979" s="65"/>
      <c r="D4979" s="2"/>
      <c r="E4979" s="2"/>
      <c r="F4979" s="2"/>
    </row>
    <row r="4980" spans="1:6" x14ac:dyDescent="0.3">
      <c r="A4980" s="63"/>
      <c r="B4980" s="64"/>
      <c r="C4980" s="64"/>
      <c r="D4980" s="64"/>
      <c r="E4980" s="63"/>
      <c r="F4980" s="64"/>
    </row>
    <row r="4981" spans="1:6" x14ac:dyDescent="0.3">
      <c r="A4981" s="2"/>
      <c r="B4981" s="65"/>
      <c r="C4981" s="65"/>
      <c r="D4981" s="2"/>
      <c r="E4981" s="2"/>
      <c r="F4981" s="2"/>
    </row>
    <row r="4982" spans="1:6" x14ac:dyDescent="0.3">
      <c r="A4982" s="63"/>
      <c r="B4982" s="64"/>
      <c r="C4982" s="64"/>
      <c r="D4982" s="64"/>
      <c r="E4982" s="63"/>
      <c r="F4982" s="64"/>
    </row>
    <row r="4983" spans="1:6" x14ac:dyDescent="0.3">
      <c r="A4983" s="2"/>
      <c r="B4983" s="65"/>
      <c r="C4983" s="65"/>
      <c r="D4983" s="2"/>
      <c r="E4983" s="2"/>
      <c r="F4983" s="2"/>
    </row>
    <row r="4984" spans="1:6" x14ac:dyDescent="0.3">
      <c r="A4984" s="63"/>
      <c r="B4984" s="64"/>
      <c r="C4984" s="64"/>
      <c r="D4984" s="64"/>
      <c r="E4984" s="63"/>
      <c r="F4984" s="64"/>
    </row>
    <row r="4985" spans="1:6" x14ac:dyDescent="0.3">
      <c r="A4985" s="2"/>
      <c r="B4985" s="65"/>
      <c r="C4985" s="65"/>
      <c r="D4985" s="2"/>
      <c r="E4985" s="2"/>
      <c r="F4985" s="2"/>
    </row>
    <row r="4986" spans="1:6" x14ac:dyDescent="0.3">
      <c r="A4986" s="63"/>
      <c r="B4986" s="64"/>
      <c r="C4986" s="64"/>
      <c r="D4986" s="64"/>
      <c r="E4986" s="63"/>
      <c r="F4986" s="64"/>
    </row>
    <row r="4987" spans="1:6" x14ac:dyDescent="0.3">
      <c r="A4987" s="2"/>
      <c r="B4987" s="65"/>
      <c r="C4987" s="65"/>
      <c r="D4987" s="2"/>
      <c r="E4987" s="2"/>
      <c r="F4987" s="2"/>
    </row>
    <row r="4988" spans="1:6" x14ac:dyDescent="0.3">
      <c r="A4988" s="63"/>
      <c r="B4988" s="64"/>
      <c r="C4988" s="64"/>
      <c r="D4988" s="64"/>
      <c r="E4988" s="63"/>
      <c r="F4988" s="64"/>
    </row>
    <row r="4989" spans="1:6" x14ac:dyDescent="0.3">
      <c r="A4989" s="2"/>
      <c r="B4989" s="65"/>
      <c r="C4989" s="65"/>
      <c r="D4989" s="2"/>
      <c r="E4989" s="2"/>
      <c r="F4989" s="2"/>
    </row>
    <row r="4990" spans="1:6" x14ac:dyDescent="0.3">
      <c r="A4990" s="63"/>
      <c r="B4990" s="64"/>
      <c r="C4990" s="64"/>
      <c r="D4990" s="64"/>
      <c r="E4990" s="63"/>
      <c r="F4990" s="64"/>
    </row>
    <row r="4991" spans="1:6" x14ac:dyDescent="0.3">
      <c r="A4991" s="2"/>
      <c r="B4991" s="65"/>
      <c r="C4991" s="65"/>
      <c r="D4991" s="2"/>
      <c r="E4991" s="2"/>
      <c r="F4991" s="2"/>
    </row>
    <row r="4992" spans="1:6" x14ac:dyDescent="0.3">
      <c r="A4992" s="63"/>
      <c r="B4992" s="64"/>
      <c r="C4992" s="64"/>
      <c r="D4992" s="64"/>
      <c r="E4992" s="63"/>
      <c r="F4992" s="64"/>
    </row>
    <row r="4993" spans="1:6" x14ac:dyDescent="0.3">
      <c r="A4993" s="2"/>
      <c r="B4993" s="65"/>
      <c r="C4993" s="65"/>
      <c r="D4993" s="2"/>
      <c r="E4993" s="2"/>
      <c r="F4993" s="2"/>
    </row>
    <row r="4994" spans="1:6" x14ac:dyDescent="0.3">
      <c r="A4994" s="63"/>
      <c r="B4994" s="64"/>
      <c r="C4994" s="64"/>
      <c r="D4994" s="64"/>
      <c r="E4994" s="63"/>
      <c r="F4994" s="64"/>
    </row>
    <row r="4995" spans="1:6" x14ac:dyDescent="0.3">
      <c r="A4995" s="2"/>
      <c r="B4995" s="65"/>
      <c r="C4995" s="65"/>
      <c r="D4995" s="2"/>
      <c r="E4995" s="2"/>
      <c r="F4995" s="2"/>
    </row>
    <row r="4996" spans="1:6" x14ac:dyDescent="0.3">
      <c r="A4996" s="63"/>
      <c r="B4996" s="64"/>
      <c r="C4996" s="64"/>
      <c r="D4996" s="64"/>
      <c r="E4996" s="63"/>
      <c r="F4996" s="64"/>
    </row>
    <row r="4997" spans="1:6" x14ac:dyDescent="0.3">
      <c r="A4997" s="2"/>
      <c r="B4997" s="65"/>
      <c r="C4997" s="65"/>
      <c r="D4997" s="2"/>
      <c r="E4997" s="2"/>
      <c r="F4997" s="2"/>
    </row>
    <row r="4998" spans="1:6" x14ac:dyDescent="0.3">
      <c r="A4998" s="63"/>
      <c r="B4998" s="64"/>
      <c r="C4998" s="64"/>
      <c r="D4998" s="64"/>
      <c r="E4998" s="63"/>
      <c r="F4998" s="64"/>
    </row>
    <row r="4999" spans="1:6" x14ac:dyDescent="0.3">
      <c r="A4999" s="2"/>
      <c r="B4999" s="65"/>
      <c r="C4999" s="65"/>
      <c r="D4999" s="2"/>
      <c r="E4999" s="2"/>
      <c r="F4999" s="2"/>
    </row>
    <row r="5000" spans="1:6" x14ac:dyDescent="0.3">
      <c r="A5000" s="63"/>
      <c r="B5000" s="64"/>
      <c r="C5000" s="64"/>
      <c r="D5000" s="64"/>
      <c r="E5000" s="63"/>
      <c r="F5000" s="64"/>
    </row>
    <row r="5001" spans="1:6" x14ac:dyDescent="0.3">
      <c r="A5001" s="2"/>
      <c r="B5001" s="65"/>
      <c r="C5001" s="65"/>
      <c r="D5001" s="2"/>
      <c r="E5001" s="2"/>
      <c r="F5001" s="2"/>
    </row>
    <row r="5002" spans="1:6" x14ac:dyDescent="0.3">
      <c r="A5002" s="63"/>
      <c r="B5002" s="64"/>
      <c r="C5002" s="64"/>
      <c r="D5002" s="64"/>
      <c r="E5002" s="63"/>
      <c r="F5002" s="64"/>
    </row>
    <row r="5003" spans="1:6" x14ac:dyDescent="0.3">
      <c r="A5003" s="2"/>
      <c r="B5003" s="65"/>
      <c r="C5003" s="65"/>
      <c r="D5003" s="2"/>
      <c r="E5003" s="2"/>
      <c r="F5003" s="2"/>
    </row>
    <row r="5004" spans="1:6" x14ac:dyDescent="0.3">
      <c r="A5004" s="63"/>
      <c r="B5004" s="64"/>
      <c r="C5004" s="64"/>
      <c r="D5004" s="64"/>
      <c r="E5004" s="63"/>
      <c r="F5004" s="64"/>
    </row>
    <row r="5005" spans="1:6" x14ac:dyDescent="0.3">
      <c r="A5005" s="2"/>
      <c r="B5005" s="65"/>
      <c r="C5005" s="65"/>
      <c r="D5005" s="2"/>
      <c r="E5005" s="2"/>
      <c r="F5005" s="2"/>
    </row>
    <row r="5006" spans="1:6" x14ac:dyDescent="0.3">
      <c r="A5006" s="63"/>
      <c r="B5006" s="64"/>
      <c r="C5006" s="64"/>
      <c r="D5006" s="64"/>
      <c r="E5006" s="63"/>
      <c r="F5006" s="64"/>
    </row>
    <row r="5007" spans="1:6" x14ac:dyDescent="0.3">
      <c r="A5007" s="2"/>
      <c r="B5007" s="65"/>
      <c r="C5007" s="65"/>
      <c r="D5007" s="2"/>
      <c r="E5007" s="2"/>
      <c r="F5007" s="2"/>
    </row>
    <row r="5008" spans="1:6" x14ac:dyDescent="0.3">
      <c r="A5008" s="63"/>
      <c r="B5008" s="64"/>
      <c r="C5008" s="64"/>
      <c r="D5008" s="64"/>
      <c r="E5008" s="63"/>
      <c r="F5008" s="64"/>
    </row>
    <row r="5009" spans="1:6" x14ac:dyDescent="0.3">
      <c r="A5009" s="2"/>
      <c r="B5009" s="65"/>
      <c r="C5009" s="65"/>
      <c r="D5009" s="2"/>
      <c r="E5009" s="2"/>
      <c r="F5009" s="2"/>
    </row>
    <row r="5010" spans="1:6" x14ac:dyDescent="0.3">
      <c r="A5010" s="63"/>
      <c r="B5010" s="64"/>
      <c r="C5010" s="64"/>
      <c r="D5010" s="64"/>
      <c r="E5010" s="63"/>
      <c r="F5010" s="64"/>
    </row>
    <row r="5011" spans="1:6" x14ac:dyDescent="0.3">
      <c r="A5011" s="2"/>
      <c r="B5011" s="65"/>
      <c r="C5011" s="65"/>
      <c r="D5011" s="2"/>
      <c r="E5011" s="2"/>
      <c r="F5011" s="2"/>
    </row>
    <row r="5012" spans="1:6" x14ac:dyDescent="0.3">
      <c r="A5012" s="63"/>
      <c r="B5012" s="64"/>
      <c r="C5012" s="64"/>
      <c r="D5012" s="64"/>
      <c r="E5012" s="63"/>
      <c r="F5012" s="64"/>
    </row>
    <row r="5013" spans="1:6" x14ac:dyDescent="0.3">
      <c r="A5013" s="2"/>
      <c r="B5013" s="65"/>
      <c r="C5013" s="65"/>
      <c r="D5013" s="2"/>
      <c r="E5013" s="2"/>
      <c r="F5013" s="2"/>
    </row>
    <row r="5014" spans="1:6" x14ac:dyDescent="0.3">
      <c r="A5014" s="63"/>
      <c r="B5014" s="64"/>
      <c r="C5014" s="64"/>
      <c r="D5014" s="64"/>
      <c r="E5014" s="63"/>
      <c r="F5014" s="64"/>
    </row>
    <row r="5015" spans="1:6" x14ac:dyDescent="0.3">
      <c r="A5015" s="2"/>
      <c r="B5015" s="65"/>
      <c r="C5015" s="65"/>
      <c r="D5015" s="2"/>
      <c r="E5015" s="2"/>
      <c r="F5015" s="2"/>
    </row>
    <row r="5016" spans="1:6" x14ac:dyDescent="0.3">
      <c r="A5016" s="63"/>
      <c r="B5016" s="64"/>
      <c r="C5016" s="64"/>
      <c r="D5016" s="64"/>
      <c r="E5016" s="63"/>
      <c r="F5016" s="64"/>
    </row>
    <row r="5017" spans="1:6" x14ac:dyDescent="0.3">
      <c r="A5017" s="2"/>
      <c r="B5017" s="65"/>
      <c r="C5017" s="65"/>
      <c r="D5017" s="2"/>
      <c r="E5017" s="2"/>
      <c r="F5017" s="2"/>
    </row>
    <row r="5018" spans="1:6" x14ac:dyDescent="0.3">
      <c r="A5018" s="63"/>
      <c r="B5018" s="64"/>
      <c r="C5018" s="64"/>
      <c r="D5018" s="64"/>
      <c r="E5018" s="63"/>
      <c r="F5018" s="64"/>
    </row>
    <row r="5019" spans="1:6" x14ac:dyDescent="0.3">
      <c r="A5019" s="2"/>
      <c r="B5019" s="65"/>
      <c r="C5019" s="65"/>
      <c r="D5019" s="2"/>
      <c r="E5019" s="2"/>
      <c r="F5019" s="2"/>
    </row>
    <row r="5020" spans="1:6" x14ac:dyDescent="0.3">
      <c r="A5020" s="63"/>
      <c r="B5020" s="64"/>
      <c r="C5020" s="64"/>
      <c r="D5020" s="64"/>
      <c r="E5020" s="63"/>
      <c r="F5020" s="64"/>
    </row>
    <row r="5021" spans="1:6" x14ac:dyDescent="0.3">
      <c r="A5021" s="2"/>
      <c r="B5021" s="65"/>
      <c r="C5021" s="65"/>
      <c r="D5021" s="2"/>
      <c r="E5021" s="2"/>
      <c r="F5021" s="2"/>
    </row>
    <row r="5022" spans="1:6" x14ac:dyDescent="0.3">
      <c r="A5022" s="63"/>
      <c r="B5022" s="64"/>
      <c r="C5022" s="64"/>
      <c r="D5022" s="64"/>
      <c r="E5022" s="63"/>
      <c r="F5022" s="64"/>
    </row>
    <row r="5023" spans="1:6" x14ac:dyDescent="0.3">
      <c r="A5023" s="2"/>
      <c r="B5023" s="65"/>
      <c r="C5023" s="65"/>
      <c r="D5023" s="2"/>
      <c r="E5023" s="2"/>
      <c r="F5023" s="2"/>
    </row>
    <row r="5024" spans="1:6" x14ac:dyDescent="0.3">
      <c r="A5024" s="63"/>
      <c r="B5024" s="64"/>
      <c r="C5024" s="64"/>
      <c r="D5024" s="64"/>
      <c r="E5024" s="63"/>
      <c r="F5024" s="64"/>
    </row>
    <row r="5025" spans="1:6" x14ac:dyDescent="0.3">
      <c r="A5025" s="2"/>
      <c r="B5025" s="65"/>
      <c r="C5025" s="65"/>
      <c r="D5025" s="2"/>
      <c r="E5025" s="2"/>
      <c r="F5025" s="2"/>
    </row>
    <row r="5026" spans="1:6" x14ac:dyDescent="0.3">
      <c r="A5026" s="63"/>
      <c r="B5026" s="64"/>
      <c r="C5026" s="64"/>
      <c r="D5026" s="64"/>
      <c r="E5026" s="63"/>
      <c r="F5026" s="64"/>
    </row>
    <row r="5027" spans="1:6" x14ac:dyDescent="0.3">
      <c r="A5027" s="2"/>
      <c r="B5027" s="65"/>
      <c r="C5027" s="65"/>
      <c r="D5027" s="2"/>
      <c r="E5027" s="2"/>
      <c r="F5027" s="2"/>
    </row>
    <row r="5028" spans="1:6" x14ac:dyDescent="0.3">
      <c r="A5028" s="63"/>
      <c r="B5028" s="64"/>
      <c r="C5028" s="64"/>
      <c r="D5028" s="64"/>
      <c r="E5028" s="63"/>
      <c r="F5028" s="64"/>
    </row>
    <row r="5029" spans="1:6" x14ac:dyDescent="0.3">
      <c r="A5029" s="2"/>
      <c r="B5029" s="65"/>
      <c r="C5029" s="65"/>
      <c r="D5029" s="2"/>
      <c r="E5029" s="2"/>
      <c r="F5029" s="2"/>
    </row>
    <row r="5030" spans="1:6" x14ac:dyDescent="0.3">
      <c r="A5030" s="63"/>
      <c r="B5030" s="64"/>
      <c r="C5030" s="64"/>
      <c r="D5030" s="64"/>
      <c r="E5030" s="63"/>
      <c r="F5030" s="64"/>
    </row>
    <row r="5031" spans="1:6" x14ac:dyDescent="0.3">
      <c r="A5031" s="2"/>
      <c r="B5031" s="65"/>
      <c r="C5031" s="65"/>
      <c r="D5031" s="2"/>
      <c r="E5031" s="2"/>
      <c r="F5031" s="2"/>
    </row>
    <row r="5032" spans="1:6" x14ac:dyDescent="0.3">
      <c r="A5032" s="63"/>
      <c r="B5032" s="64"/>
      <c r="C5032" s="64"/>
      <c r="D5032" s="64"/>
      <c r="E5032" s="63"/>
      <c r="F5032" s="64"/>
    </row>
    <row r="5033" spans="1:6" x14ac:dyDescent="0.3">
      <c r="A5033" s="2"/>
      <c r="B5033" s="65"/>
      <c r="C5033" s="65"/>
      <c r="D5033" s="2"/>
      <c r="E5033" s="2"/>
      <c r="F5033" s="2"/>
    </row>
    <row r="5034" spans="1:6" x14ac:dyDescent="0.3">
      <c r="A5034" s="63"/>
      <c r="B5034" s="64"/>
      <c r="C5034" s="64"/>
      <c r="D5034" s="64"/>
      <c r="E5034" s="63"/>
      <c r="F5034" s="64"/>
    </row>
    <row r="5035" spans="1:6" x14ac:dyDescent="0.3">
      <c r="A5035" s="2"/>
      <c r="B5035" s="65"/>
      <c r="C5035" s="65"/>
      <c r="D5035" s="2"/>
      <c r="E5035" s="2"/>
      <c r="F5035" s="2"/>
    </row>
  </sheetData>
  <sheetProtection algorithmName="SHA-512" hashValue="S8W4dg61WZR3CMC92yVEcyCy2pH1NREsA5ka9VcHuO3FJZ/CwCxo6mbAzfXPMmRGojosU51jq1W4DoiE54xdYQ==" saltValue="2qzWJqQyzufakgYBIey6qQ==" spinCount="100000" sheet="1" objects="1" scenarios="1"/>
  <sortState xmlns:xlrd2="http://schemas.microsoft.com/office/spreadsheetml/2017/richdata2" ref="A3:F581">
    <sortCondition ref="B3"/>
  </sortState>
  <mergeCells count="1">
    <mergeCell ref="A1:F1"/>
  </mergeCells>
  <phoneticPr fontId="4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3</vt:i4>
      </vt:variant>
    </vt:vector>
  </HeadingPairs>
  <TitlesOfParts>
    <vt:vector size="6" baseType="lpstr">
      <vt:lpstr>Questionários_FP</vt:lpstr>
      <vt:lpstr>TAB_F_Presencial</vt:lpstr>
      <vt:lpstr>Formadores</vt:lpstr>
      <vt:lpstr>Questionários_FP!Área_de_Impressão</vt:lpstr>
      <vt:lpstr>TAB_F_Presencial!Área_de_Impressão</vt:lpstr>
      <vt:lpstr>TAB_F_Presencial!Títulos_de_Impressão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Grilo</dc:creator>
  <cp:lastModifiedBy>João Grilo</cp:lastModifiedBy>
  <cp:lastPrinted>2023-03-06T15:46:34Z</cp:lastPrinted>
  <dcterms:created xsi:type="dcterms:W3CDTF">2015-06-05T18:17:20Z</dcterms:created>
  <dcterms:modified xsi:type="dcterms:W3CDTF">2023-03-10T19:10:44Z</dcterms:modified>
</cp:coreProperties>
</file>